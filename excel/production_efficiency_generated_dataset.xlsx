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mc:AlternateContent xmlns:mc="http://schemas.openxmlformats.org/markup-compatibility/2006">
    <mc:Choice Requires="x15">
      <x15ac:absPath xmlns:x15ac="http://schemas.microsoft.com/office/spreadsheetml/2010/11/ac" url="C:\Users\LENOVO\OneDrive\Desktop\Projects\Production Efficiency &amp; Cost Optimization\"/>
    </mc:Choice>
  </mc:AlternateContent>
  <xr:revisionPtr revIDLastSave="0" documentId="13_ncr:1_{9C3A2137-0B2D-4CCF-88F6-6A1DAFAF8492}" xr6:coauthVersionLast="47" xr6:coauthVersionMax="47" xr10:uidLastSave="{00000000-0000-0000-0000-000000000000}"/>
  <bookViews>
    <workbookView xWindow="-108" yWindow="-108" windowWidth="23256" windowHeight="12456" firstSheet="13" activeTab="15" xr2:uid="{00000000-000D-0000-FFFF-FFFF00000000}"/>
  </bookViews>
  <sheets>
    <sheet name="Line_Efficiency_Analysis" sheetId="3" r:id="rId1"/>
    <sheet name="Insights" sheetId="4" r:id="rId2"/>
    <sheet name="Line_Downtime_Analysis" sheetId="5" r:id="rId3"/>
    <sheet name="Product_Defect_Analysis" sheetId="6" r:id="rId4"/>
    <sheet name="Product_Profit_Analysis" sheetId="7" r:id="rId5"/>
    <sheet name="Line_Profit_Analysis" sheetId="8" r:id="rId6"/>
    <sheet name="Shift_Profit_Analysis" sheetId="9" r:id="rId7"/>
    <sheet name="Shift_Efficiency_Analysis" sheetId="10" r:id="rId8"/>
    <sheet name="Shift_Downtime_Analysis" sheetId="11" r:id="rId9"/>
    <sheet name="Line_Shift_Downtime" sheetId="12" r:id="rId10"/>
    <sheet name="Product_Cost_Analysis" sheetId="14" r:id="rId11"/>
    <sheet name="Monthly_Profit_Trend" sheetId="15" r:id="rId12"/>
    <sheet name="Product_Margin_Analysis" sheetId="16" r:id="rId13"/>
    <sheet name="Line2_Night_Savings_Model" sheetId="21" r:id="rId14"/>
    <sheet name="Raw_Data" sheetId="1" r:id="rId15"/>
    <sheet name="Executive_Report" sheetId="23" r:id="rId16"/>
    <sheet name="Dashboard" sheetId="22" r:id="rId17"/>
    <sheet name="KPI_Definitions" sheetId="2" r:id="rId18"/>
  </sheets>
  <calcPr calcId="191029"/>
  <pivotCaches>
    <pivotCache cacheId="0" r:id="rId1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B14" i="21"/>
  <c r="B10" i="2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U9" i="1"/>
  <c r="U10" i="1"/>
  <c r="U11" i="1"/>
  <c r="U20" i="1"/>
  <c r="U21" i="1"/>
  <c r="U24" i="1"/>
  <c r="U42" i="1"/>
  <c r="U53" i="1"/>
  <c r="U54" i="1"/>
  <c r="U55" i="1"/>
  <c r="U56" i="1"/>
  <c r="U59" i="1"/>
  <c r="U70" i="1"/>
  <c r="U71" i="1"/>
  <c r="U72" i="1"/>
  <c r="U73" i="1"/>
  <c r="U76" i="1"/>
  <c r="U89" i="1"/>
  <c r="U101" i="1"/>
  <c r="U102" i="1"/>
  <c r="U103" i="1"/>
  <c r="U106" i="1"/>
  <c r="U107" i="1"/>
  <c r="U118" i="1"/>
  <c r="U119" i="1"/>
  <c r="U120" i="1"/>
  <c r="U134" i="1"/>
  <c r="U137" i="1"/>
  <c r="U138" i="1"/>
  <c r="U139" i="1"/>
  <c r="U149" i="1"/>
  <c r="U150" i="1"/>
  <c r="U151" i="1"/>
  <c r="U152" i="1"/>
  <c r="U153" i="1"/>
  <c r="U154" i="1"/>
  <c r="U155" i="1"/>
  <c r="U181" i="1"/>
  <c r="U182" i="1"/>
  <c r="U185" i="1"/>
  <c r="U186" i="1"/>
  <c r="U187" i="1"/>
  <c r="U196" i="1"/>
  <c r="U197" i="1"/>
  <c r="U198" i="1"/>
  <c r="U199" i="1"/>
  <c r="U200" i="1"/>
  <c r="U230" i="1"/>
  <c r="U231" i="1"/>
  <c r="U232" i="1"/>
  <c r="U233" i="1"/>
  <c r="U234" i="1"/>
  <c r="U235" i="1"/>
  <c r="U247" i="1"/>
  <c r="U248" i="1"/>
  <c r="U265" i="1"/>
  <c r="U277" i="1"/>
  <c r="U278" i="1"/>
  <c r="U294" i="1"/>
  <c r="U295" i="1"/>
  <c r="U298" i="1"/>
  <c r="U299" i="1"/>
  <c r="U308" i="1"/>
  <c r="U325" i="1"/>
  <c r="U327" i="1"/>
  <c r="U328" i="1"/>
  <c r="U329" i="1"/>
  <c r="U343" i="1"/>
  <c r="U344" i="1"/>
  <c r="U345" i="1"/>
  <c r="U346" i="1"/>
  <c r="U361" i="1"/>
  <c r="U362" i="1"/>
  <c r="U363" i="1"/>
  <c r="U391" i="1"/>
  <c r="U392" i="1"/>
  <c r="U393" i="1"/>
  <c r="U394" i="1"/>
  <c r="U395" i="1"/>
  <c r="U404" i="1"/>
  <c r="U405" i="1"/>
  <c r="U406" i="1"/>
  <c r="U407" i="1"/>
  <c r="U423" i="1"/>
  <c r="U424" i="1"/>
  <c r="U425" i="1"/>
  <c r="U426" i="1"/>
  <c r="U427" i="1"/>
  <c r="U436" i="1"/>
  <c r="U441" i="1"/>
  <c r="U442" i="1"/>
  <c r="U443" i="1"/>
  <c r="U452" i="1"/>
  <c r="U458" i="1"/>
  <c r="U470" i="1"/>
  <c r="U471" i="1"/>
  <c r="U472" i="1"/>
  <c r="U473" i="1"/>
  <c r="U474" i="1"/>
  <c r="U486" i="1"/>
  <c r="U487" i="1"/>
  <c r="U488" i="1"/>
  <c r="U489" i="1"/>
  <c r="U490" i="1"/>
  <c r="U505" i="1"/>
  <c r="U521" i="1"/>
  <c r="U522" i="1"/>
  <c r="U523" i="1"/>
  <c r="U532" i="1"/>
  <c r="U537" i="1"/>
  <c r="U538" i="1"/>
  <c r="U539" i="1"/>
  <c r="U548" i="1"/>
  <c r="U566" i="1"/>
  <c r="U581" i="1"/>
  <c r="U582" i="1"/>
  <c r="U583" i="1"/>
  <c r="U584" i="1"/>
  <c r="U585" i="1"/>
  <c r="U588" i="1"/>
  <c r="U598" i="1"/>
  <c r="U601" i="1"/>
  <c r="U602" i="1"/>
  <c r="U617" i="1"/>
  <c r="U618" i="1"/>
  <c r="U619" i="1"/>
  <c r="U630" i="1"/>
  <c r="U633" i="1"/>
  <c r="U634" i="1"/>
  <c r="U635" i="1"/>
  <c r="U646" i="1"/>
  <c r="U649" i="1"/>
  <c r="U661" i="1"/>
  <c r="U662" i="1"/>
  <c r="U663" i="1"/>
  <c r="U665" i="1"/>
  <c r="U666" i="1"/>
  <c r="U667" i="1"/>
  <c r="U677" i="1"/>
  <c r="U678" i="1"/>
  <c r="U679" i="1"/>
  <c r="U680" i="1"/>
  <c r="U681" i="1"/>
  <c r="U697" i="1"/>
  <c r="U698" i="1"/>
  <c r="U699" i="1"/>
  <c r="U709" i="1"/>
  <c r="U713" i="1"/>
  <c r="U714" i="1"/>
  <c r="U715" i="1"/>
  <c r="U725" i="1"/>
  <c r="U726" i="1"/>
  <c r="U727" i="1"/>
  <c r="U746" i="1"/>
  <c r="U759" i="1"/>
  <c r="U760" i="1"/>
  <c r="U761" i="1"/>
  <c r="U762" i="1"/>
  <c r="U763" i="1"/>
  <c r="U776" i="1"/>
  <c r="U777" i="1"/>
  <c r="U778" i="1"/>
  <c r="U779" i="1"/>
  <c r="U810" i="1"/>
  <c r="U822" i="1"/>
  <c r="U823" i="1"/>
  <c r="U824" i="1"/>
  <c r="U838" i="1"/>
  <c r="U839" i="1"/>
  <c r="U841" i="1"/>
  <c r="U853" i="1"/>
  <c r="U854" i="1"/>
  <c r="U855" i="1"/>
  <c r="U856" i="1"/>
  <c r="U857" i="1"/>
  <c r="U873" i="1"/>
  <c r="U874" i="1"/>
  <c r="U875" i="1"/>
  <c r="U884" i="1"/>
  <c r="U889" i="1"/>
  <c r="U890" i="1"/>
  <c r="U891" i="1"/>
  <c r="U892" i="1"/>
  <c r="U902" i="1"/>
  <c r="U903" i="1"/>
  <c r="U921" i="1"/>
  <c r="U922" i="1"/>
  <c r="U932" i="1"/>
  <c r="U933" i="1"/>
  <c r="U934" i="1"/>
  <c r="U935" i="1"/>
  <c r="U936" i="1"/>
  <c r="U937" i="1"/>
  <c r="U938" i="1"/>
  <c r="U968" i="1"/>
  <c r="U969" i="1"/>
  <c r="U970" i="1"/>
  <c r="U971" i="1"/>
  <c r="U986" i="1"/>
  <c r="U998" i="1"/>
  <c r="U999" i="1"/>
  <c r="U1000" i="1"/>
  <c r="U1001" i="1"/>
  <c r="U1012" i="1"/>
  <c r="U1015" i="1"/>
  <c r="U1016" i="1"/>
  <c r="U1033" i="1"/>
  <c r="U1034" i="1"/>
  <c r="U1035" i="1"/>
  <c r="U1049" i="1"/>
  <c r="U1050" i="1"/>
  <c r="U1051" i="1"/>
  <c r="U1066" i="1"/>
  <c r="U1067" i="1"/>
  <c r="U1077" i="1"/>
  <c r="U1093" i="1"/>
  <c r="U1110" i="1"/>
  <c r="U1111" i="1"/>
  <c r="U1112" i="1"/>
  <c r="U1113" i="1"/>
  <c r="U1114" i="1"/>
  <c r="U1126" i="1"/>
  <c r="U1127" i="1"/>
  <c r="U1128" i="1"/>
  <c r="U1129" i="1"/>
  <c r="U1130" i="1"/>
  <c r="U1157" i="1"/>
  <c r="U1161" i="1"/>
  <c r="U1162" i="1"/>
  <c r="U1163" i="1"/>
  <c r="U1164" i="1"/>
  <c r="U1165" i="1"/>
  <c r="U1174" i="1"/>
  <c r="U1190" i="1"/>
  <c r="U1191" i="1"/>
  <c r="U1192" i="1"/>
  <c r="U1193" i="1"/>
  <c r="U1194" i="1"/>
  <c r="U1195" i="1"/>
  <c r="U1206" i="1"/>
  <c r="U1207" i="1"/>
  <c r="U1208" i="1"/>
  <c r="U1209" i="1"/>
  <c r="U1210" i="1"/>
  <c r="U1240" i="1"/>
  <c r="U1241" i="1"/>
  <c r="U1242" i="1"/>
  <c r="U1243" i="1"/>
  <c r="U1254" i="1"/>
  <c r="U1255" i="1"/>
  <c r="U1258" i="1"/>
  <c r="U1259" i="1"/>
  <c r="U1273" i="1"/>
  <c r="U1274" i="1"/>
  <c r="U1285" i="1"/>
  <c r="U1288" i="1"/>
  <c r="U1289" i="1"/>
  <c r="U1290" i="1"/>
  <c r="U1291" i="1"/>
  <c r="U1302" i="1"/>
  <c r="U1305" i="1"/>
  <c r="U1318" i="1"/>
  <c r="U1336" i="1"/>
  <c r="U1339" i="1"/>
  <c r="U1350" i="1"/>
  <c r="U1351" i="1"/>
  <c r="U1367" i="1"/>
  <c r="U1368" i="1"/>
  <c r="U1369" i="1"/>
  <c r="U1381" i="1"/>
  <c r="U1383" i="1"/>
  <c r="U1384" i="1"/>
  <c r="U1385" i="1"/>
  <c r="U1397" i="1"/>
  <c r="U1398" i="1"/>
  <c r="U1399" i="1"/>
  <c r="U1400" i="1"/>
  <c r="U1401" i="1"/>
  <c r="U1414" i="1"/>
  <c r="U1415" i="1"/>
  <c r="U1430" i="1"/>
  <c r="U1431" i="1"/>
  <c r="U1432" i="1"/>
  <c r="U1433" i="1"/>
  <c r="U1447" i="1"/>
  <c r="U1448" i="1"/>
  <c r="U1449" i="1"/>
  <c r="U1451" i="1"/>
  <c r="U1452" i="1"/>
  <c r="U1492" i="1"/>
  <c r="U1493" i="1"/>
  <c r="U1494" i="1"/>
  <c r="U1497" i="1"/>
  <c r="U1499" i="1"/>
  <c r="U1510" i="1"/>
  <c r="U1525" i="1"/>
  <c r="U1526" i="1"/>
  <c r="U1527" i="1"/>
  <c r="U1528" i="1"/>
  <c r="U1542" i="1"/>
  <c r="U1543" i="1"/>
  <c r="U1544" i="1"/>
  <c r="U1545" i="1"/>
  <c r="U1561" i="1"/>
  <c r="U1574" i="1"/>
  <c r="U1575" i="1"/>
  <c r="U1576" i="1"/>
  <c r="U1577" i="1"/>
  <c r="U1579" i="1"/>
  <c r="U1588" i="1"/>
  <c r="U1589" i="1"/>
  <c r="U1590" i="1"/>
  <c r="U1591" i="1"/>
  <c r="U1592" i="1"/>
  <c r="U1607" i="1"/>
  <c r="U1608" i="1"/>
  <c r="U1609" i="1"/>
  <c r="U1611" i="1"/>
  <c r="U1618" i="1"/>
  <c r="U1620" i="1"/>
  <c r="U1621" i="1"/>
  <c r="U1625" i="1"/>
  <c r="U1627" i="1"/>
  <c r="U1629" i="1"/>
  <c r="U1638" i="1"/>
  <c r="U1639" i="1"/>
  <c r="U1641" i="1"/>
  <c r="U1653" i="1"/>
  <c r="U1654" i="1"/>
  <c r="U1655" i="1"/>
  <c r="U1656" i="1"/>
  <c r="U1657" i="1"/>
  <c r="T2" i="1"/>
  <c r="U2" i="1" s="1"/>
  <c r="T3" i="1"/>
  <c r="U3" i="1" s="1"/>
  <c r="T4" i="1"/>
  <c r="U4" i="1" s="1"/>
  <c r="T5" i="1"/>
  <c r="U5" i="1" s="1"/>
  <c r="T6" i="1"/>
  <c r="U6" i="1" s="1"/>
  <c r="T7" i="1"/>
  <c r="U7" i="1" s="1"/>
  <c r="T8" i="1"/>
  <c r="U8" i="1" s="1"/>
  <c r="T9" i="1"/>
  <c r="T10" i="1"/>
  <c r="T11" i="1"/>
  <c r="T12" i="1"/>
  <c r="U12" i="1" s="1"/>
  <c r="T13" i="1"/>
  <c r="U13" i="1" s="1"/>
  <c r="T14" i="1"/>
  <c r="U14" i="1" s="1"/>
  <c r="T15" i="1"/>
  <c r="U15" i="1" s="1"/>
  <c r="T16" i="1"/>
  <c r="U16" i="1" s="1"/>
  <c r="T17" i="1"/>
  <c r="U17" i="1" s="1"/>
  <c r="T18" i="1"/>
  <c r="U18" i="1" s="1"/>
  <c r="T19" i="1"/>
  <c r="U19" i="1" s="1"/>
  <c r="T20" i="1"/>
  <c r="T21" i="1"/>
  <c r="T22" i="1"/>
  <c r="U22" i="1" s="1"/>
  <c r="T23" i="1"/>
  <c r="U23" i="1" s="1"/>
  <c r="T24" i="1"/>
  <c r="T25" i="1"/>
  <c r="U25" i="1" s="1"/>
  <c r="T26" i="1"/>
  <c r="U26" i="1" s="1"/>
  <c r="T27" i="1"/>
  <c r="U27" i="1" s="1"/>
  <c r="T28" i="1"/>
  <c r="U28" i="1" s="1"/>
  <c r="T29" i="1"/>
  <c r="U29" i="1" s="1"/>
  <c r="T30" i="1"/>
  <c r="U30" i="1" s="1"/>
  <c r="T31" i="1"/>
  <c r="U31" i="1" s="1"/>
  <c r="T32" i="1"/>
  <c r="U32" i="1" s="1"/>
  <c r="T33" i="1"/>
  <c r="U33" i="1" s="1"/>
  <c r="T34" i="1"/>
  <c r="U34" i="1" s="1"/>
  <c r="T35" i="1"/>
  <c r="U35" i="1" s="1"/>
  <c r="T36" i="1"/>
  <c r="U36" i="1" s="1"/>
  <c r="T37" i="1"/>
  <c r="U37" i="1" s="1"/>
  <c r="T38" i="1"/>
  <c r="U38" i="1" s="1"/>
  <c r="T39" i="1"/>
  <c r="U39" i="1" s="1"/>
  <c r="T40" i="1"/>
  <c r="U40" i="1" s="1"/>
  <c r="T41" i="1"/>
  <c r="U41" i="1" s="1"/>
  <c r="T42" i="1"/>
  <c r="T43" i="1"/>
  <c r="U43" i="1" s="1"/>
  <c r="T44" i="1"/>
  <c r="U44" i="1" s="1"/>
  <c r="T45" i="1"/>
  <c r="U45" i="1" s="1"/>
  <c r="T46" i="1"/>
  <c r="U46" i="1" s="1"/>
  <c r="T47" i="1"/>
  <c r="U47" i="1" s="1"/>
  <c r="T48" i="1"/>
  <c r="U48" i="1" s="1"/>
  <c r="T49" i="1"/>
  <c r="U49" i="1" s="1"/>
  <c r="T50" i="1"/>
  <c r="U50" i="1" s="1"/>
  <c r="T51" i="1"/>
  <c r="U51" i="1" s="1"/>
  <c r="T52" i="1"/>
  <c r="U52" i="1" s="1"/>
  <c r="T53" i="1"/>
  <c r="T54" i="1"/>
  <c r="T55" i="1"/>
  <c r="T56" i="1"/>
  <c r="T57" i="1"/>
  <c r="U57" i="1" s="1"/>
  <c r="T58" i="1"/>
  <c r="U58" i="1" s="1"/>
  <c r="T59" i="1"/>
  <c r="T60" i="1"/>
  <c r="U60" i="1" s="1"/>
  <c r="T61" i="1"/>
  <c r="U61" i="1" s="1"/>
  <c r="T62" i="1"/>
  <c r="U62" i="1" s="1"/>
  <c r="T63" i="1"/>
  <c r="U63" i="1" s="1"/>
  <c r="T64" i="1"/>
  <c r="U64" i="1" s="1"/>
  <c r="T65" i="1"/>
  <c r="U65" i="1" s="1"/>
  <c r="T66" i="1"/>
  <c r="U66" i="1" s="1"/>
  <c r="T67" i="1"/>
  <c r="U67" i="1" s="1"/>
  <c r="T68" i="1"/>
  <c r="U68" i="1" s="1"/>
  <c r="T69" i="1"/>
  <c r="U69" i="1" s="1"/>
  <c r="T70" i="1"/>
  <c r="T71" i="1"/>
  <c r="T72" i="1"/>
  <c r="T73" i="1"/>
  <c r="T74" i="1"/>
  <c r="U74" i="1" s="1"/>
  <c r="T75" i="1"/>
  <c r="U75" i="1" s="1"/>
  <c r="T76" i="1"/>
  <c r="T77" i="1"/>
  <c r="U77" i="1" s="1"/>
  <c r="T78" i="1"/>
  <c r="U78" i="1" s="1"/>
  <c r="T79" i="1"/>
  <c r="U79" i="1" s="1"/>
  <c r="T80" i="1"/>
  <c r="U80" i="1" s="1"/>
  <c r="T81" i="1"/>
  <c r="U81" i="1" s="1"/>
  <c r="T82" i="1"/>
  <c r="U82" i="1" s="1"/>
  <c r="T83" i="1"/>
  <c r="U83" i="1" s="1"/>
  <c r="T84" i="1"/>
  <c r="U84" i="1" s="1"/>
  <c r="T85" i="1"/>
  <c r="U85" i="1" s="1"/>
  <c r="T86" i="1"/>
  <c r="U86" i="1" s="1"/>
  <c r="T87" i="1"/>
  <c r="U87" i="1" s="1"/>
  <c r="T88" i="1"/>
  <c r="U88" i="1" s="1"/>
  <c r="T89" i="1"/>
  <c r="T90" i="1"/>
  <c r="U90" i="1" s="1"/>
  <c r="T91" i="1"/>
  <c r="U91" i="1" s="1"/>
  <c r="T92" i="1"/>
  <c r="U92" i="1" s="1"/>
  <c r="T93" i="1"/>
  <c r="U93" i="1" s="1"/>
  <c r="T94" i="1"/>
  <c r="U94" i="1" s="1"/>
  <c r="T95" i="1"/>
  <c r="U95" i="1" s="1"/>
  <c r="T96" i="1"/>
  <c r="U96" i="1" s="1"/>
  <c r="T97" i="1"/>
  <c r="U97" i="1" s="1"/>
  <c r="T98" i="1"/>
  <c r="U98" i="1" s="1"/>
  <c r="T99" i="1"/>
  <c r="U99" i="1" s="1"/>
  <c r="T100" i="1"/>
  <c r="U100" i="1" s="1"/>
  <c r="T101" i="1"/>
  <c r="T102" i="1"/>
  <c r="T103" i="1"/>
  <c r="T104" i="1"/>
  <c r="U104" i="1" s="1"/>
  <c r="T105" i="1"/>
  <c r="U105" i="1" s="1"/>
  <c r="T106" i="1"/>
  <c r="T107" i="1"/>
  <c r="T108" i="1"/>
  <c r="U108" i="1" s="1"/>
  <c r="T109" i="1"/>
  <c r="U109" i="1" s="1"/>
  <c r="T110" i="1"/>
  <c r="U110" i="1" s="1"/>
  <c r="T111" i="1"/>
  <c r="U111" i="1" s="1"/>
  <c r="T112" i="1"/>
  <c r="U112" i="1" s="1"/>
  <c r="T113" i="1"/>
  <c r="U113" i="1" s="1"/>
  <c r="T114" i="1"/>
  <c r="U114" i="1" s="1"/>
  <c r="T115" i="1"/>
  <c r="U115" i="1" s="1"/>
  <c r="T116" i="1"/>
  <c r="U116" i="1" s="1"/>
  <c r="T117" i="1"/>
  <c r="U117" i="1" s="1"/>
  <c r="T118" i="1"/>
  <c r="T119" i="1"/>
  <c r="T120" i="1"/>
  <c r="T121" i="1"/>
  <c r="U121" i="1" s="1"/>
  <c r="T122" i="1"/>
  <c r="U122" i="1" s="1"/>
  <c r="T123" i="1"/>
  <c r="U123" i="1" s="1"/>
  <c r="T124" i="1"/>
  <c r="U124" i="1" s="1"/>
  <c r="T125" i="1"/>
  <c r="U125" i="1" s="1"/>
  <c r="T126" i="1"/>
  <c r="U126" i="1" s="1"/>
  <c r="T127" i="1"/>
  <c r="U127" i="1" s="1"/>
  <c r="T128" i="1"/>
  <c r="U128" i="1" s="1"/>
  <c r="T129" i="1"/>
  <c r="U129" i="1" s="1"/>
  <c r="T130" i="1"/>
  <c r="U130" i="1" s="1"/>
  <c r="T131" i="1"/>
  <c r="U131" i="1" s="1"/>
  <c r="T132" i="1"/>
  <c r="U132" i="1" s="1"/>
  <c r="T133" i="1"/>
  <c r="U133" i="1" s="1"/>
  <c r="T134" i="1"/>
  <c r="T135" i="1"/>
  <c r="U135" i="1" s="1"/>
  <c r="T136" i="1"/>
  <c r="U136" i="1" s="1"/>
  <c r="T137" i="1"/>
  <c r="T138" i="1"/>
  <c r="T139" i="1"/>
  <c r="T140" i="1"/>
  <c r="U140" i="1" s="1"/>
  <c r="T141" i="1"/>
  <c r="U141" i="1" s="1"/>
  <c r="T142" i="1"/>
  <c r="U142" i="1" s="1"/>
  <c r="T143" i="1"/>
  <c r="U143" i="1" s="1"/>
  <c r="T144" i="1"/>
  <c r="U144" i="1" s="1"/>
  <c r="T145" i="1"/>
  <c r="U145" i="1" s="1"/>
  <c r="T146" i="1"/>
  <c r="U146" i="1" s="1"/>
  <c r="T147" i="1"/>
  <c r="U147" i="1" s="1"/>
  <c r="T148" i="1"/>
  <c r="U148" i="1" s="1"/>
  <c r="T149" i="1"/>
  <c r="T150" i="1"/>
  <c r="T151" i="1"/>
  <c r="T152" i="1"/>
  <c r="T153" i="1"/>
  <c r="T154" i="1"/>
  <c r="T155" i="1"/>
  <c r="T156" i="1"/>
  <c r="U156" i="1" s="1"/>
  <c r="T157" i="1"/>
  <c r="U157" i="1" s="1"/>
  <c r="T158" i="1"/>
  <c r="U158" i="1" s="1"/>
  <c r="T159" i="1"/>
  <c r="U159" i="1" s="1"/>
  <c r="T160" i="1"/>
  <c r="U160" i="1" s="1"/>
  <c r="T161" i="1"/>
  <c r="U161" i="1" s="1"/>
  <c r="T162" i="1"/>
  <c r="U162" i="1" s="1"/>
  <c r="T163" i="1"/>
  <c r="U163" i="1" s="1"/>
  <c r="T164" i="1"/>
  <c r="U164" i="1" s="1"/>
  <c r="T165" i="1"/>
  <c r="U165" i="1" s="1"/>
  <c r="T166" i="1"/>
  <c r="U166" i="1" s="1"/>
  <c r="T167" i="1"/>
  <c r="U167" i="1" s="1"/>
  <c r="T168" i="1"/>
  <c r="U168" i="1" s="1"/>
  <c r="T169" i="1"/>
  <c r="U169" i="1" s="1"/>
  <c r="T170" i="1"/>
  <c r="U170" i="1" s="1"/>
  <c r="T171" i="1"/>
  <c r="U171" i="1" s="1"/>
  <c r="T172" i="1"/>
  <c r="U172" i="1" s="1"/>
  <c r="T173" i="1"/>
  <c r="U173" i="1" s="1"/>
  <c r="T174" i="1"/>
  <c r="U174" i="1" s="1"/>
  <c r="T175" i="1"/>
  <c r="U175" i="1" s="1"/>
  <c r="T176" i="1"/>
  <c r="U176" i="1" s="1"/>
  <c r="T177" i="1"/>
  <c r="U177" i="1" s="1"/>
  <c r="T178" i="1"/>
  <c r="U178" i="1" s="1"/>
  <c r="T179" i="1"/>
  <c r="U179" i="1" s="1"/>
  <c r="T180" i="1"/>
  <c r="U180" i="1" s="1"/>
  <c r="T181" i="1"/>
  <c r="T182" i="1"/>
  <c r="T183" i="1"/>
  <c r="U183" i="1" s="1"/>
  <c r="T184" i="1"/>
  <c r="U184" i="1" s="1"/>
  <c r="T185" i="1"/>
  <c r="T186" i="1"/>
  <c r="T187" i="1"/>
  <c r="T188" i="1"/>
  <c r="U188" i="1" s="1"/>
  <c r="T189" i="1"/>
  <c r="U189" i="1" s="1"/>
  <c r="T190" i="1"/>
  <c r="U190" i="1" s="1"/>
  <c r="T191" i="1"/>
  <c r="U191" i="1" s="1"/>
  <c r="T192" i="1"/>
  <c r="U192" i="1" s="1"/>
  <c r="T193" i="1"/>
  <c r="U193" i="1" s="1"/>
  <c r="T194" i="1"/>
  <c r="U194" i="1" s="1"/>
  <c r="T195" i="1"/>
  <c r="U195" i="1" s="1"/>
  <c r="T196" i="1"/>
  <c r="T197" i="1"/>
  <c r="T198" i="1"/>
  <c r="T199" i="1"/>
  <c r="T200" i="1"/>
  <c r="T201" i="1"/>
  <c r="U201" i="1" s="1"/>
  <c r="T202" i="1"/>
  <c r="U202" i="1" s="1"/>
  <c r="T203" i="1"/>
  <c r="U203" i="1" s="1"/>
  <c r="T204" i="1"/>
  <c r="U204" i="1" s="1"/>
  <c r="T205" i="1"/>
  <c r="U205" i="1" s="1"/>
  <c r="T206" i="1"/>
  <c r="U206" i="1" s="1"/>
  <c r="T207" i="1"/>
  <c r="U207" i="1" s="1"/>
  <c r="T208" i="1"/>
  <c r="U208" i="1" s="1"/>
  <c r="T209" i="1"/>
  <c r="U209" i="1" s="1"/>
  <c r="T210" i="1"/>
  <c r="U210" i="1" s="1"/>
  <c r="T211" i="1"/>
  <c r="U211" i="1" s="1"/>
  <c r="T212" i="1"/>
  <c r="U212" i="1" s="1"/>
  <c r="T213" i="1"/>
  <c r="U213" i="1" s="1"/>
  <c r="T214" i="1"/>
  <c r="U214" i="1" s="1"/>
  <c r="T215" i="1"/>
  <c r="U215" i="1" s="1"/>
  <c r="T216" i="1"/>
  <c r="U216" i="1" s="1"/>
  <c r="T217" i="1"/>
  <c r="U217" i="1" s="1"/>
  <c r="T218" i="1"/>
  <c r="U218" i="1" s="1"/>
  <c r="T219" i="1"/>
  <c r="U219" i="1" s="1"/>
  <c r="T220" i="1"/>
  <c r="U220" i="1" s="1"/>
  <c r="T221" i="1"/>
  <c r="U221" i="1" s="1"/>
  <c r="T222" i="1"/>
  <c r="U222" i="1" s="1"/>
  <c r="T223" i="1"/>
  <c r="U223" i="1" s="1"/>
  <c r="T224" i="1"/>
  <c r="U224" i="1" s="1"/>
  <c r="T225" i="1"/>
  <c r="U225" i="1" s="1"/>
  <c r="T226" i="1"/>
  <c r="U226" i="1" s="1"/>
  <c r="T227" i="1"/>
  <c r="U227" i="1" s="1"/>
  <c r="T228" i="1"/>
  <c r="U228" i="1" s="1"/>
  <c r="T229" i="1"/>
  <c r="U229" i="1" s="1"/>
  <c r="T230" i="1"/>
  <c r="T231" i="1"/>
  <c r="T232" i="1"/>
  <c r="T233" i="1"/>
  <c r="T234" i="1"/>
  <c r="T235" i="1"/>
  <c r="T236" i="1"/>
  <c r="U236" i="1" s="1"/>
  <c r="T237" i="1"/>
  <c r="U237" i="1" s="1"/>
  <c r="T238" i="1"/>
  <c r="U238" i="1" s="1"/>
  <c r="T239" i="1"/>
  <c r="U239" i="1" s="1"/>
  <c r="T240" i="1"/>
  <c r="U240" i="1" s="1"/>
  <c r="T241" i="1"/>
  <c r="U241" i="1" s="1"/>
  <c r="T242" i="1"/>
  <c r="U242" i="1" s="1"/>
  <c r="T243" i="1"/>
  <c r="U243" i="1" s="1"/>
  <c r="T244" i="1"/>
  <c r="U244" i="1" s="1"/>
  <c r="T245" i="1"/>
  <c r="U245" i="1" s="1"/>
  <c r="T246" i="1"/>
  <c r="U246" i="1" s="1"/>
  <c r="T247" i="1"/>
  <c r="T248" i="1"/>
  <c r="T249" i="1"/>
  <c r="U249" i="1" s="1"/>
  <c r="T250" i="1"/>
  <c r="U250" i="1" s="1"/>
  <c r="T251" i="1"/>
  <c r="U251" i="1" s="1"/>
  <c r="T252" i="1"/>
  <c r="U252" i="1" s="1"/>
  <c r="T253" i="1"/>
  <c r="U253" i="1" s="1"/>
  <c r="T254" i="1"/>
  <c r="U254" i="1" s="1"/>
  <c r="T255" i="1"/>
  <c r="U255" i="1" s="1"/>
  <c r="T256" i="1"/>
  <c r="U256" i="1" s="1"/>
  <c r="T257" i="1"/>
  <c r="U257" i="1" s="1"/>
  <c r="T258" i="1"/>
  <c r="U258" i="1" s="1"/>
  <c r="T259" i="1"/>
  <c r="U259" i="1" s="1"/>
  <c r="T260" i="1"/>
  <c r="U260" i="1" s="1"/>
  <c r="T261" i="1"/>
  <c r="U261" i="1" s="1"/>
  <c r="T262" i="1"/>
  <c r="U262" i="1" s="1"/>
  <c r="T263" i="1"/>
  <c r="U263" i="1" s="1"/>
  <c r="T264" i="1"/>
  <c r="U264" i="1" s="1"/>
  <c r="T265" i="1"/>
  <c r="T266" i="1"/>
  <c r="U266" i="1" s="1"/>
  <c r="T267" i="1"/>
  <c r="U267" i="1" s="1"/>
  <c r="T268" i="1"/>
  <c r="U268" i="1" s="1"/>
  <c r="T269" i="1"/>
  <c r="U269" i="1" s="1"/>
  <c r="T270" i="1"/>
  <c r="U270" i="1" s="1"/>
  <c r="T271" i="1"/>
  <c r="U271" i="1" s="1"/>
  <c r="T272" i="1"/>
  <c r="U272" i="1" s="1"/>
  <c r="T273" i="1"/>
  <c r="U273" i="1" s="1"/>
  <c r="T274" i="1"/>
  <c r="U274" i="1" s="1"/>
  <c r="T275" i="1"/>
  <c r="U275" i="1" s="1"/>
  <c r="T276" i="1"/>
  <c r="U276" i="1" s="1"/>
  <c r="T277" i="1"/>
  <c r="T278" i="1"/>
  <c r="T279" i="1"/>
  <c r="U279" i="1" s="1"/>
  <c r="T280" i="1"/>
  <c r="U280" i="1" s="1"/>
  <c r="T281" i="1"/>
  <c r="U281" i="1" s="1"/>
  <c r="T282" i="1"/>
  <c r="U282" i="1" s="1"/>
  <c r="T283" i="1"/>
  <c r="U283" i="1" s="1"/>
  <c r="T284" i="1"/>
  <c r="U284" i="1" s="1"/>
  <c r="T285" i="1"/>
  <c r="U285" i="1" s="1"/>
  <c r="T286" i="1"/>
  <c r="U286" i="1" s="1"/>
  <c r="T287" i="1"/>
  <c r="U287" i="1" s="1"/>
  <c r="T288" i="1"/>
  <c r="U288" i="1" s="1"/>
  <c r="T289" i="1"/>
  <c r="U289" i="1" s="1"/>
  <c r="T290" i="1"/>
  <c r="U290" i="1" s="1"/>
  <c r="T291" i="1"/>
  <c r="U291" i="1" s="1"/>
  <c r="T292" i="1"/>
  <c r="U292" i="1" s="1"/>
  <c r="T293" i="1"/>
  <c r="U293" i="1" s="1"/>
  <c r="T294" i="1"/>
  <c r="T295" i="1"/>
  <c r="T296" i="1"/>
  <c r="U296" i="1" s="1"/>
  <c r="T297" i="1"/>
  <c r="U297" i="1" s="1"/>
  <c r="T298" i="1"/>
  <c r="T299" i="1"/>
  <c r="T300" i="1"/>
  <c r="U300" i="1" s="1"/>
  <c r="T301" i="1"/>
  <c r="U301" i="1" s="1"/>
  <c r="T302" i="1"/>
  <c r="U302" i="1" s="1"/>
  <c r="T303" i="1"/>
  <c r="U303" i="1" s="1"/>
  <c r="T304" i="1"/>
  <c r="U304" i="1" s="1"/>
  <c r="T305" i="1"/>
  <c r="U305" i="1" s="1"/>
  <c r="T306" i="1"/>
  <c r="U306" i="1" s="1"/>
  <c r="T307" i="1"/>
  <c r="U307" i="1" s="1"/>
  <c r="T308" i="1"/>
  <c r="T309" i="1"/>
  <c r="U309" i="1" s="1"/>
  <c r="T310" i="1"/>
  <c r="U310" i="1" s="1"/>
  <c r="T311" i="1"/>
  <c r="U311" i="1" s="1"/>
  <c r="T312" i="1"/>
  <c r="U312" i="1" s="1"/>
  <c r="T313" i="1"/>
  <c r="U313" i="1" s="1"/>
  <c r="T314" i="1"/>
  <c r="U314" i="1" s="1"/>
  <c r="T315" i="1"/>
  <c r="U315" i="1" s="1"/>
  <c r="T316" i="1"/>
  <c r="U316" i="1" s="1"/>
  <c r="T317" i="1"/>
  <c r="U317" i="1" s="1"/>
  <c r="T318" i="1"/>
  <c r="U318" i="1" s="1"/>
  <c r="T319" i="1"/>
  <c r="U319" i="1" s="1"/>
  <c r="T320" i="1"/>
  <c r="U320" i="1" s="1"/>
  <c r="T321" i="1"/>
  <c r="U321" i="1" s="1"/>
  <c r="T322" i="1"/>
  <c r="U322" i="1" s="1"/>
  <c r="T323" i="1"/>
  <c r="U323" i="1" s="1"/>
  <c r="T324" i="1"/>
  <c r="U324" i="1" s="1"/>
  <c r="T325" i="1"/>
  <c r="T326" i="1"/>
  <c r="U326" i="1" s="1"/>
  <c r="T327" i="1"/>
  <c r="T328" i="1"/>
  <c r="T329" i="1"/>
  <c r="T330" i="1"/>
  <c r="U330" i="1" s="1"/>
  <c r="T331" i="1"/>
  <c r="U331" i="1" s="1"/>
  <c r="T332" i="1"/>
  <c r="U332" i="1" s="1"/>
  <c r="T333" i="1"/>
  <c r="U333" i="1" s="1"/>
  <c r="T334" i="1"/>
  <c r="U334" i="1" s="1"/>
  <c r="T335" i="1"/>
  <c r="U335" i="1" s="1"/>
  <c r="T336" i="1"/>
  <c r="U336" i="1" s="1"/>
  <c r="T337" i="1"/>
  <c r="U337" i="1" s="1"/>
  <c r="T338" i="1"/>
  <c r="U338" i="1" s="1"/>
  <c r="T339" i="1"/>
  <c r="U339" i="1" s="1"/>
  <c r="T340" i="1"/>
  <c r="U340" i="1" s="1"/>
  <c r="T341" i="1"/>
  <c r="U341" i="1" s="1"/>
  <c r="T342" i="1"/>
  <c r="U342" i="1" s="1"/>
  <c r="T343" i="1"/>
  <c r="T344" i="1"/>
  <c r="T345" i="1"/>
  <c r="T346" i="1"/>
  <c r="T347" i="1"/>
  <c r="U347" i="1" s="1"/>
  <c r="T348" i="1"/>
  <c r="U348" i="1" s="1"/>
  <c r="T349" i="1"/>
  <c r="U349" i="1" s="1"/>
  <c r="T350" i="1"/>
  <c r="U350" i="1" s="1"/>
  <c r="T351" i="1"/>
  <c r="U351" i="1" s="1"/>
  <c r="T352" i="1"/>
  <c r="U352" i="1" s="1"/>
  <c r="T353" i="1"/>
  <c r="U353" i="1" s="1"/>
  <c r="T354" i="1"/>
  <c r="U354" i="1" s="1"/>
  <c r="T355" i="1"/>
  <c r="U355" i="1" s="1"/>
  <c r="T356" i="1"/>
  <c r="U356" i="1" s="1"/>
  <c r="T357" i="1"/>
  <c r="U357" i="1" s="1"/>
  <c r="T358" i="1"/>
  <c r="U358" i="1" s="1"/>
  <c r="T359" i="1"/>
  <c r="U359" i="1" s="1"/>
  <c r="T360" i="1"/>
  <c r="U360" i="1" s="1"/>
  <c r="T361" i="1"/>
  <c r="T362" i="1"/>
  <c r="T363" i="1"/>
  <c r="T364" i="1"/>
  <c r="U364" i="1" s="1"/>
  <c r="T365" i="1"/>
  <c r="U365" i="1" s="1"/>
  <c r="T366" i="1"/>
  <c r="U366" i="1" s="1"/>
  <c r="T367" i="1"/>
  <c r="U367" i="1" s="1"/>
  <c r="T368" i="1"/>
  <c r="U368" i="1" s="1"/>
  <c r="T369" i="1"/>
  <c r="U369" i="1" s="1"/>
  <c r="T370" i="1"/>
  <c r="U370" i="1" s="1"/>
  <c r="T371" i="1"/>
  <c r="U371" i="1" s="1"/>
  <c r="T372" i="1"/>
  <c r="U372" i="1" s="1"/>
  <c r="T373" i="1"/>
  <c r="U373" i="1" s="1"/>
  <c r="T374" i="1"/>
  <c r="U374" i="1" s="1"/>
  <c r="T375" i="1"/>
  <c r="U375" i="1" s="1"/>
  <c r="T376" i="1"/>
  <c r="U376" i="1" s="1"/>
  <c r="T377" i="1"/>
  <c r="U377" i="1" s="1"/>
  <c r="T378" i="1"/>
  <c r="U378" i="1" s="1"/>
  <c r="T379" i="1"/>
  <c r="U379" i="1" s="1"/>
  <c r="T380" i="1"/>
  <c r="U380" i="1" s="1"/>
  <c r="T381" i="1"/>
  <c r="U381" i="1" s="1"/>
  <c r="T382" i="1"/>
  <c r="U382" i="1" s="1"/>
  <c r="T383" i="1"/>
  <c r="U383" i="1" s="1"/>
  <c r="T384" i="1"/>
  <c r="U384" i="1" s="1"/>
  <c r="T385" i="1"/>
  <c r="U385" i="1" s="1"/>
  <c r="T386" i="1"/>
  <c r="U386" i="1" s="1"/>
  <c r="T387" i="1"/>
  <c r="U387" i="1" s="1"/>
  <c r="T388" i="1"/>
  <c r="U388" i="1" s="1"/>
  <c r="T389" i="1"/>
  <c r="U389" i="1" s="1"/>
  <c r="T390" i="1"/>
  <c r="U390" i="1" s="1"/>
  <c r="T391" i="1"/>
  <c r="T392" i="1"/>
  <c r="T393" i="1"/>
  <c r="T394" i="1"/>
  <c r="T395" i="1"/>
  <c r="T396" i="1"/>
  <c r="U396" i="1" s="1"/>
  <c r="T397" i="1"/>
  <c r="U397" i="1" s="1"/>
  <c r="T398" i="1"/>
  <c r="U398" i="1" s="1"/>
  <c r="T399" i="1"/>
  <c r="U399" i="1" s="1"/>
  <c r="T400" i="1"/>
  <c r="U400" i="1" s="1"/>
  <c r="T401" i="1"/>
  <c r="U401" i="1" s="1"/>
  <c r="T402" i="1"/>
  <c r="U402" i="1" s="1"/>
  <c r="T403" i="1"/>
  <c r="U403" i="1" s="1"/>
  <c r="T404" i="1"/>
  <c r="T405" i="1"/>
  <c r="T406" i="1"/>
  <c r="T407" i="1"/>
  <c r="T408" i="1"/>
  <c r="U408" i="1" s="1"/>
  <c r="T409" i="1"/>
  <c r="U409" i="1" s="1"/>
  <c r="T410" i="1"/>
  <c r="U410" i="1" s="1"/>
  <c r="T411" i="1"/>
  <c r="U411" i="1" s="1"/>
  <c r="T412" i="1"/>
  <c r="U412" i="1" s="1"/>
  <c r="T413" i="1"/>
  <c r="U413" i="1" s="1"/>
  <c r="T414" i="1"/>
  <c r="U414" i="1" s="1"/>
  <c r="T415" i="1"/>
  <c r="U415" i="1" s="1"/>
  <c r="T416" i="1"/>
  <c r="U416" i="1" s="1"/>
  <c r="T417" i="1"/>
  <c r="U417" i="1" s="1"/>
  <c r="T418" i="1"/>
  <c r="U418" i="1" s="1"/>
  <c r="T419" i="1"/>
  <c r="U419" i="1" s="1"/>
  <c r="T420" i="1"/>
  <c r="U420" i="1" s="1"/>
  <c r="T421" i="1"/>
  <c r="U421" i="1" s="1"/>
  <c r="T422" i="1"/>
  <c r="U422" i="1" s="1"/>
  <c r="T423" i="1"/>
  <c r="T424" i="1"/>
  <c r="T425" i="1"/>
  <c r="T426" i="1"/>
  <c r="T427" i="1"/>
  <c r="T428" i="1"/>
  <c r="U428" i="1" s="1"/>
  <c r="T429" i="1"/>
  <c r="U429" i="1" s="1"/>
  <c r="T430" i="1"/>
  <c r="U430" i="1" s="1"/>
  <c r="T431" i="1"/>
  <c r="U431" i="1" s="1"/>
  <c r="T432" i="1"/>
  <c r="U432" i="1" s="1"/>
  <c r="T433" i="1"/>
  <c r="U433" i="1" s="1"/>
  <c r="T434" i="1"/>
  <c r="U434" i="1" s="1"/>
  <c r="T435" i="1"/>
  <c r="U435" i="1" s="1"/>
  <c r="T436" i="1"/>
  <c r="T437" i="1"/>
  <c r="U437" i="1" s="1"/>
  <c r="T438" i="1"/>
  <c r="U438" i="1" s="1"/>
  <c r="T439" i="1"/>
  <c r="U439" i="1" s="1"/>
  <c r="T440" i="1"/>
  <c r="U440" i="1" s="1"/>
  <c r="T441" i="1"/>
  <c r="T442" i="1"/>
  <c r="T443" i="1"/>
  <c r="T444" i="1"/>
  <c r="U444" i="1" s="1"/>
  <c r="T445" i="1"/>
  <c r="U445" i="1" s="1"/>
  <c r="T446" i="1"/>
  <c r="U446" i="1" s="1"/>
  <c r="T447" i="1"/>
  <c r="U447" i="1" s="1"/>
  <c r="T448" i="1"/>
  <c r="U448" i="1" s="1"/>
  <c r="T449" i="1"/>
  <c r="U449" i="1" s="1"/>
  <c r="T450" i="1"/>
  <c r="U450" i="1" s="1"/>
  <c r="T451" i="1"/>
  <c r="U451" i="1" s="1"/>
  <c r="T452" i="1"/>
  <c r="T453" i="1"/>
  <c r="U453" i="1" s="1"/>
  <c r="T454" i="1"/>
  <c r="U454" i="1" s="1"/>
  <c r="T455" i="1"/>
  <c r="U455" i="1" s="1"/>
  <c r="T456" i="1"/>
  <c r="U456" i="1" s="1"/>
  <c r="T457" i="1"/>
  <c r="U457" i="1" s="1"/>
  <c r="T458" i="1"/>
  <c r="T459" i="1"/>
  <c r="U459" i="1" s="1"/>
  <c r="T460" i="1"/>
  <c r="U460" i="1" s="1"/>
  <c r="T461" i="1"/>
  <c r="U461" i="1" s="1"/>
  <c r="T462" i="1"/>
  <c r="U462" i="1" s="1"/>
  <c r="T463" i="1"/>
  <c r="U463" i="1" s="1"/>
  <c r="T464" i="1"/>
  <c r="U464" i="1" s="1"/>
  <c r="T465" i="1"/>
  <c r="U465" i="1" s="1"/>
  <c r="T466" i="1"/>
  <c r="U466" i="1" s="1"/>
  <c r="T467" i="1"/>
  <c r="U467" i="1" s="1"/>
  <c r="T468" i="1"/>
  <c r="U468" i="1" s="1"/>
  <c r="T469" i="1"/>
  <c r="U469" i="1" s="1"/>
  <c r="T470" i="1"/>
  <c r="T471" i="1"/>
  <c r="T472" i="1"/>
  <c r="T473" i="1"/>
  <c r="T474" i="1"/>
  <c r="T475" i="1"/>
  <c r="U475" i="1" s="1"/>
  <c r="T476" i="1"/>
  <c r="U476" i="1" s="1"/>
  <c r="T477" i="1"/>
  <c r="U477" i="1" s="1"/>
  <c r="T478" i="1"/>
  <c r="U478" i="1" s="1"/>
  <c r="T479" i="1"/>
  <c r="U479" i="1" s="1"/>
  <c r="T480" i="1"/>
  <c r="U480" i="1" s="1"/>
  <c r="T481" i="1"/>
  <c r="U481" i="1" s="1"/>
  <c r="T482" i="1"/>
  <c r="U482" i="1" s="1"/>
  <c r="T483" i="1"/>
  <c r="U483" i="1" s="1"/>
  <c r="T484" i="1"/>
  <c r="U484" i="1" s="1"/>
  <c r="T485" i="1"/>
  <c r="U485" i="1" s="1"/>
  <c r="T486" i="1"/>
  <c r="T487" i="1"/>
  <c r="T488" i="1"/>
  <c r="T489" i="1"/>
  <c r="T490" i="1"/>
  <c r="T491" i="1"/>
  <c r="U491" i="1" s="1"/>
  <c r="T492" i="1"/>
  <c r="U492" i="1" s="1"/>
  <c r="T493" i="1"/>
  <c r="U493" i="1" s="1"/>
  <c r="T494" i="1"/>
  <c r="U494" i="1" s="1"/>
  <c r="T495" i="1"/>
  <c r="U495" i="1" s="1"/>
  <c r="T496" i="1"/>
  <c r="U496" i="1" s="1"/>
  <c r="T497" i="1"/>
  <c r="U497" i="1" s="1"/>
  <c r="T498" i="1"/>
  <c r="U498" i="1" s="1"/>
  <c r="T499" i="1"/>
  <c r="U499" i="1" s="1"/>
  <c r="T500" i="1"/>
  <c r="U500" i="1" s="1"/>
  <c r="T501" i="1"/>
  <c r="U501" i="1" s="1"/>
  <c r="T502" i="1"/>
  <c r="U502" i="1" s="1"/>
  <c r="T503" i="1"/>
  <c r="U503" i="1" s="1"/>
  <c r="T504" i="1"/>
  <c r="U504" i="1" s="1"/>
  <c r="T505" i="1"/>
  <c r="T506" i="1"/>
  <c r="U506" i="1" s="1"/>
  <c r="T507" i="1"/>
  <c r="U507" i="1" s="1"/>
  <c r="T508" i="1"/>
  <c r="U508" i="1" s="1"/>
  <c r="T509" i="1"/>
  <c r="U509" i="1" s="1"/>
  <c r="T510" i="1"/>
  <c r="U510" i="1" s="1"/>
  <c r="T511" i="1"/>
  <c r="U511" i="1" s="1"/>
  <c r="T512" i="1"/>
  <c r="U512" i="1" s="1"/>
  <c r="T513" i="1"/>
  <c r="U513" i="1" s="1"/>
  <c r="T514" i="1"/>
  <c r="U514" i="1" s="1"/>
  <c r="T515" i="1"/>
  <c r="U515" i="1" s="1"/>
  <c r="T516" i="1"/>
  <c r="U516" i="1" s="1"/>
  <c r="T517" i="1"/>
  <c r="U517" i="1" s="1"/>
  <c r="T518" i="1"/>
  <c r="U518" i="1" s="1"/>
  <c r="T519" i="1"/>
  <c r="U519" i="1" s="1"/>
  <c r="T520" i="1"/>
  <c r="U520" i="1" s="1"/>
  <c r="T521" i="1"/>
  <c r="T522" i="1"/>
  <c r="T523" i="1"/>
  <c r="T524" i="1"/>
  <c r="U524" i="1" s="1"/>
  <c r="T525" i="1"/>
  <c r="U525" i="1" s="1"/>
  <c r="T526" i="1"/>
  <c r="U526" i="1" s="1"/>
  <c r="T527" i="1"/>
  <c r="U527" i="1" s="1"/>
  <c r="T528" i="1"/>
  <c r="U528" i="1" s="1"/>
  <c r="T529" i="1"/>
  <c r="U529" i="1" s="1"/>
  <c r="T530" i="1"/>
  <c r="U530" i="1" s="1"/>
  <c r="T531" i="1"/>
  <c r="U531" i="1" s="1"/>
  <c r="T532" i="1"/>
  <c r="T533" i="1"/>
  <c r="U533" i="1" s="1"/>
  <c r="T534" i="1"/>
  <c r="U534" i="1" s="1"/>
  <c r="T535" i="1"/>
  <c r="U535" i="1" s="1"/>
  <c r="T536" i="1"/>
  <c r="U536" i="1" s="1"/>
  <c r="T537" i="1"/>
  <c r="T538" i="1"/>
  <c r="T539" i="1"/>
  <c r="T540" i="1"/>
  <c r="U540" i="1" s="1"/>
  <c r="T541" i="1"/>
  <c r="U541" i="1" s="1"/>
  <c r="T542" i="1"/>
  <c r="U542" i="1" s="1"/>
  <c r="T543" i="1"/>
  <c r="U543" i="1" s="1"/>
  <c r="T544" i="1"/>
  <c r="U544" i="1" s="1"/>
  <c r="T545" i="1"/>
  <c r="U545" i="1" s="1"/>
  <c r="T546" i="1"/>
  <c r="U546" i="1" s="1"/>
  <c r="T547" i="1"/>
  <c r="U547" i="1" s="1"/>
  <c r="T548" i="1"/>
  <c r="T549" i="1"/>
  <c r="U549" i="1" s="1"/>
  <c r="T550" i="1"/>
  <c r="U550" i="1" s="1"/>
  <c r="T551" i="1"/>
  <c r="U551" i="1" s="1"/>
  <c r="T552" i="1"/>
  <c r="U552" i="1" s="1"/>
  <c r="T553" i="1"/>
  <c r="U553" i="1" s="1"/>
  <c r="T554" i="1"/>
  <c r="U554" i="1" s="1"/>
  <c r="T555" i="1"/>
  <c r="U555" i="1" s="1"/>
  <c r="T556" i="1"/>
  <c r="U556" i="1" s="1"/>
  <c r="T557" i="1"/>
  <c r="U557" i="1" s="1"/>
  <c r="T558" i="1"/>
  <c r="U558" i="1" s="1"/>
  <c r="T559" i="1"/>
  <c r="U559" i="1" s="1"/>
  <c r="T560" i="1"/>
  <c r="U560" i="1" s="1"/>
  <c r="T561" i="1"/>
  <c r="U561" i="1" s="1"/>
  <c r="T562" i="1"/>
  <c r="U562" i="1" s="1"/>
  <c r="T563" i="1"/>
  <c r="U563" i="1" s="1"/>
  <c r="T564" i="1"/>
  <c r="U564" i="1" s="1"/>
  <c r="T565" i="1"/>
  <c r="U565" i="1" s="1"/>
  <c r="T566" i="1"/>
  <c r="T567" i="1"/>
  <c r="U567" i="1" s="1"/>
  <c r="T568" i="1"/>
  <c r="U568" i="1" s="1"/>
  <c r="T569" i="1"/>
  <c r="U569" i="1" s="1"/>
  <c r="T570" i="1"/>
  <c r="U570" i="1" s="1"/>
  <c r="T571" i="1"/>
  <c r="U571" i="1" s="1"/>
  <c r="T572" i="1"/>
  <c r="U572" i="1" s="1"/>
  <c r="T573" i="1"/>
  <c r="U573" i="1" s="1"/>
  <c r="T574" i="1"/>
  <c r="U574" i="1" s="1"/>
  <c r="T575" i="1"/>
  <c r="U575" i="1" s="1"/>
  <c r="T576" i="1"/>
  <c r="U576" i="1" s="1"/>
  <c r="T577" i="1"/>
  <c r="U577" i="1" s="1"/>
  <c r="T578" i="1"/>
  <c r="U578" i="1" s="1"/>
  <c r="T579" i="1"/>
  <c r="U579" i="1" s="1"/>
  <c r="T580" i="1"/>
  <c r="U580" i="1" s="1"/>
  <c r="T581" i="1"/>
  <c r="T582" i="1"/>
  <c r="T583" i="1"/>
  <c r="T584" i="1"/>
  <c r="T585" i="1"/>
  <c r="T586" i="1"/>
  <c r="U586" i="1" s="1"/>
  <c r="T587" i="1"/>
  <c r="U587" i="1" s="1"/>
  <c r="T588" i="1"/>
  <c r="T589" i="1"/>
  <c r="U589" i="1" s="1"/>
  <c r="T590" i="1"/>
  <c r="U590" i="1" s="1"/>
  <c r="T591" i="1"/>
  <c r="U591" i="1" s="1"/>
  <c r="T592" i="1"/>
  <c r="U592" i="1" s="1"/>
  <c r="T593" i="1"/>
  <c r="U593" i="1" s="1"/>
  <c r="T594" i="1"/>
  <c r="U594" i="1" s="1"/>
  <c r="T595" i="1"/>
  <c r="U595" i="1" s="1"/>
  <c r="T596" i="1"/>
  <c r="U596" i="1" s="1"/>
  <c r="T597" i="1"/>
  <c r="U597" i="1" s="1"/>
  <c r="T598" i="1"/>
  <c r="T599" i="1"/>
  <c r="U599" i="1" s="1"/>
  <c r="T600" i="1"/>
  <c r="U600" i="1" s="1"/>
  <c r="T601" i="1"/>
  <c r="T602" i="1"/>
  <c r="T603" i="1"/>
  <c r="U603" i="1" s="1"/>
  <c r="T604" i="1"/>
  <c r="U604" i="1" s="1"/>
  <c r="T605" i="1"/>
  <c r="U605" i="1" s="1"/>
  <c r="T606" i="1"/>
  <c r="U606" i="1" s="1"/>
  <c r="T607" i="1"/>
  <c r="U607" i="1" s="1"/>
  <c r="T608" i="1"/>
  <c r="U608" i="1" s="1"/>
  <c r="T609" i="1"/>
  <c r="U609" i="1" s="1"/>
  <c r="T610" i="1"/>
  <c r="U610" i="1" s="1"/>
  <c r="T611" i="1"/>
  <c r="U611" i="1" s="1"/>
  <c r="T612" i="1"/>
  <c r="U612" i="1" s="1"/>
  <c r="T613" i="1"/>
  <c r="U613" i="1" s="1"/>
  <c r="T614" i="1"/>
  <c r="U614" i="1" s="1"/>
  <c r="T615" i="1"/>
  <c r="U615" i="1" s="1"/>
  <c r="T616" i="1"/>
  <c r="U616" i="1" s="1"/>
  <c r="T617" i="1"/>
  <c r="T618" i="1"/>
  <c r="T619" i="1"/>
  <c r="T620" i="1"/>
  <c r="U620" i="1" s="1"/>
  <c r="T621" i="1"/>
  <c r="U621" i="1" s="1"/>
  <c r="T622" i="1"/>
  <c r="U622" i="1" s="1"/>
  <c r="T623" i="1"/>
  <c r="U623" i="1" s="1"/>
  <c r="T624" i="1"/>
  <c r="U624" i="1" s="1"/>
  <c r="T625" i="1"/>
  <c r="U625" i="1" s="1"/>
  <c r="T626" i="1"/>
  <c r="U626" i="1" s="1"/>
  <c r="T627" i="1"/>
  <c r="U627" i="1" s="1"/>
  <c r="T628" i="1"/>
  <c r="U628" i="1" s="1"/>
  <c r="T629" i="1"/>
  <c r="U629" i="1" s="1"/>
  <c r="T630" i="1"/>
  <c r="T631" i="1"/>
  <c r="U631" i="1" s="1"/>
  <c r="T632" i="1"/>
  <c r="U632" i="1" s="1"/>
  <c r="T633" i="1"/>
  <c r="T634" i="1"/>
  <c r="T635" i="1"/>
  <c r="T636" i="1"/>
  <c r="U636" i="1" s="1"/>
  <c r="T637" i="1"/>
  <c r="U637" i="1" s="1"/>
  <c r="T638" i="1"/>
  <c r="U638" i="1" s="1"/>
  <c r="T639" i="1"/>
  <c r="U639" i="1" s="1"/>
  <c r="T640" i="1"/>
  <c r="U640" i="1" s="1"/>
  <c r="T641" i="1"/>
  <c r="U641" i="1" s="1"/>
  <c r="T642" i="1"/>
  <c r="U642" i="1" s="1"/>
  <c r="T643" i="1"/>
  <c r="U643" i="1" s="1"/>
  <c r="T644" i="1"/>
  <c r="U644" i="1" s="1"/>
  <c r="T645" i="1"/>
  <c r="U645" i="1" s="1"/>
  <c r="T646" i="1"/>
  <c r="T647" i="1"/>
  <c r="U647" i="1" s="1"/>
  <c r="T648" i="1"/>
  <c r="U648" i="1" s="1"/>
  <c r="T649" i="1"/>
  <c r="T650" i="1"/>
  <c r="U650" i="1" s="1"/>
  <c r="T651" i="1"/>
  <c r="U651" i="1" s="1"/>
  <c r="T652" i="1"/>
  <c r="U652" i="1" s="1"/>
  <c r="T653" i="1"/>
  <c r="U653" i="1" s="1"/>
  <c r="T654" i="1"/>
  <c r="U654" i="1" s="1"/>
  <c r="T655" i="1"/>
  <c r="U655" i="1" s="1"/>
  <c r="T656" i="1"/>
  <c r="U656" i="1" s="1"/>
  <c r="T657" i="1"/>
  <c r="U657" i="1" s="1"/>
  <c r="T658" i="1"/>
  <c r="U658" i="1" s="1"/>
  <c r="T659" i="1"/>
  <c r="U659" i="1" s="1"/>
  <c r="T660" i="1"/>
  <c r="U660" i="1" s="1"/>
  <c r="T661" i="1"/>
  <c r="T662" i="1"/>
  <c r="T663" i="1"/>
  <c r="T664" i="1"/>
  <c r="U664" i="1" s="1"/>
  <c r="T665" i="1"/>
  <c r="T666" i="1"/>
  <c r="T667" i="1"/>
  <c r="T668" i="1"/>
  <c r="U668" i="1" s="1"/>
  <c r="T669" i="1"/>
  <c r="U669" i="1" s="1"/>
  <c r="T670" i="1"/>
  <c r="U670" i="1" s="1"/>
  <c r="T671" i="1"/>
  <c r="U671" i="1" s="1"/>
  <c r="T672" i="1"/>
  <c r="U672" i="1" s="1"/>
  <c r="T673" i="1"/>
  <c r="U673" i="1" s="1"/>
  <c r="T674" i="1"/>
  <c r="U674" i="1" s="1"/>
  <c r="T675" i="1"/>
  <c r="U675" i="1" s="1"/>
  <c r="T676" i="1"/>
  <c r="U676" i="1" s="1"/>
  <c r="T677" i="1"/>
  <c r="T678" i="1"/>
  <c r="T679" i="1"/>
  <c r="T680" i="1"/>
  <c r="T681" i="1"/>
  <c r="T682" i="1"/>
  <c r="U682" i="1" s="1"/>
  <c r="T683" i="1"/>
  <c r="U683" i="1" s="1"/>
  <c r="T684" i="1"/>
  <c r="U684" i="1" s="1"/>
  <c r="T685" i="1"/>
  <c r="U685" i="1" s="1"/>
  <c r="T686" i="1"/>
  <c r="U686" i="1" s="1"/>
  <c r="T687" i="1"/>
  <c r="U687" i="1" s="1"/>
  <c r="T688" i="1"/>
  <c r="U688" i="1" s="1"/>
  <c r="T689" i="1"/>
  <c r="U689" i="1" s="1"/>
  <c r="T690" i="1"/>
  <c r="U690" i="1" s="1"/>
  <c r="T691" i="1"/>
  <c r="U691" i="1" s="1"/>
  <c r="T692" i="1"/>
  <c r="U692" i="1" s="1"/>
  <c r="T693" i="1"/>
  <c r="U693" i="1" s="1"/>
  <c r="T694" i="1"/>
  <c r="U694" i="1" s="1"/>
  <c r="T695" i="1"/>
  <c r="U695" i="1" s="1"/>
  <c r="T696" i="1"/>
  <c r="U696" i="1" s="1"/>
  <c r="T697" i="1"/>
  <c r="T698" i="1"/>
  <c r="T699" i="1"/>
  <c r="T700" i="1"/>
  <c r="U700" i="1" s="1"/>
  <c r="T701" i="1"/>
  <c r="U701" i="1" s="1"/>
  <c r="T702" i="1"/>
  <c r="U702" i="1" s="1"/>
  <c r="T703" i="1"/>
  <c r="U703" i="1" s="1"/>
  <c r="T704" i="1"/>
  <c r="U704" i="1" s="1"/>
  <c r="T705" i="1"/>
  <c r="U705" i="1" s="1"/>
  <c r="T706" i="1"/>
  <c r="U706" i="1" s="1"/>
  <c r="T707" i="1"/>
  <c r="U707" i="1" s="1"/>
  <c r="T708" i="1"/>
  <c r="U708" i="1" s="1"/>
  <c r="T709" i="1"/>
  <c r="T710" i="1"/>
  <c r="U710" i="1" s="1"/>
  <c r="T711" i="1"/>
  <c r="U711" i="1" s="1"/>
  <c r="T712" i="1"/>
  <c r="U712" i="1" s="1"/>
  <c r="T713" i="1"/>
  <c r="T714" i="1"/>
  <c r="T715" i="1"/>
  <c r="T716" i="1"/>
  <c r="U716" i="1" s="1"/>
  <c r="T717" i="1"/>
  <c r="U717" i="1" s="1"/>
  <c r="T718" i="1"/>
  <c r="U718" i="1" s="1"/>
  <c r="T719" i="1"/>
  <c r="U719" i="1" s="1"/>
  <c r="T720" i="1"/>
  <c r="U720" i="1" s="1"/>
  <c r="T721" i="1"/>
  <c r="U721" i="1" s="1"/>
  <c r="T722" i="1"/>
  <c r="U722" i="1" s="1"/>
  <c r="T723" i="1"/>
  <c r="U723" i="1" s="1"/>
  <c r="T724" i="1"/>
  <c r="U724" i="1" s="1"/>
  <c r="T725" i="1"/>
  <c r="T726" i="1"/>
  <c r="T727" i="1"/>
  <c r="T728" i="1"/>
  <c r="U728" i="1" s="1"/>
  <c r="T729" i="1"/>
  <c r="U729" i="1" s="1"/>
  <c r="T730" i="1"/>
  <c r="U730" i="1" s="1"/>
  <c r="T731" i="1"/>
  <c r="U731" i="1" s="1"/>
  <c r="T732" i="1"/>
  <c r="U732" i="1" s="1"/>
  <c r="T733" i="1"/>
  <c r="U733" i="1" s="1"/>
  <c r="T734" i="1"/>
  <c r="U734" i="1" s="1"/>
  <c r="T735" i="1"/>
  <c r="U735" i="1" s="1"/>
  <c r="T736" i="1"/>
  <c r="U736" i="1" s="1"/>
  <c r="T737" i="1"/>
  <c r="U737" i="1" s="1"/>
  <c r="T738" i="1"/>
  <c r="U738" i="1" s="1"/>
  <c r="T739" i="1"/>
  <c r="U739" i="1" s="1"/>
  <c r="T740" i="1"/>
  <c r="U740" i="1" s="1"/>
  <c r="T741" i="1"/>
  <c r="U741" i="1" s="1"/>
  <c r="T742" i="1"/>
  <c r="U742" i="1" s="1"/>
  <c r="T743" i="1"/>
  <c r="U743" i="1" s="1"/>
  <c r="T744" i="1"/>
  <c r="U744" i="1" s="1"/>
  <c r="T745" i="1"/>
  <c r="U745" i="1" s="1"/>
  <c r="T746" i="1"/>
  <c r="T747" i="1"/>
  <c r="U747" i="1" s="1"/>
  <c r="T748" i="1"/>
  <c r="U748" i="1" s="1"/>
  <c r="T749" i="1"/>
  <c r="U749" i="1" s="1"/>
  <c r="T750" i="1"/>
  <c r="U750" i="1" s="1"/>
  <c r="T751" i="1"/>
  <c r="U751" i="1" s="1"/>
  <c r="T752" i="1"/>
  <c r="U752" i="1" s="1"/>
  <c r="T753" i="1"/>
  <c r="U753" i="1" s="1"/>
  <c r="T754" i="1"/>
  <c r="U754" i="1" s="1"/>
  <c r="T755" i="1"/>
  <c r="U755" i="1" s="1"/>
  <c r="T756" i="1"/>
  <c r="U756" i="1" s="1"/>
  <c r="T757" i="1"/>
  <c r="U757" i="1" s="1"/>
  <c r="T758" i="1"/>
  <c r="U758" i="1" s="1"/>
  <c r="T759" i="1"/>
  <c r="T760" i="1"/>
  <c r="T761" i="1"/>
  <c r="T762" i="1"/>
  <c r="T763" i="1"/>
  <c r="T764" i="1"/>
  <c r="U764" i="1" s="1"/>
  <c r="T765" i="1"/>
  <c r="U765" i="1" s="1"/>
  <c r="T766" i="1"/>
  <c r="U766" i="1" s="1"/>
  <c r="T767" i="1"/>
  <c r="U767" i="1" s="1"/>
  <c r="T768" i="1"/>
  <c r="U768" i="1" s="1"/>
  <c r="T769" i="1"/>
  <c r="U769" i="1" s="1"/>
  <c r="T770" i="1"/>
  <c r="U770" i="1" s="1"/>
  <c r="T771" i="1"/>
  <c r="U771" i="1" s="1"/>
  <c r="T772" i="1"/>
  <c r="U772" i="1" s="1"/>
  <c r="T773" i="1"/>
  <c r="U773" i="1" s="1"/>
  <c r="T774" i="1"/>
  <c r="U774" i="1" s="1"/>
  <c r="T775" i="1"/>
  <c r="U775" i="1" s="1"/>
  <c r="T776" i="1"/>
  <c r="T777" i="1"/>
  <c r="T778" i="1"/>
  <c r="T779" i="1"/>
  <c r="T780" i="1"/>
  <c r="U780" i="1" s="1"/>
  <c r="T781" i="1"/>
  <c r="U781" i="1" s="1"/>
  <c r="T782" i="1"/>
  <c r="U782" i="1" s="1"/>
  <c r="T783" i="1"/>
  <c r="U783" i="1" s="1"/>
  <c r="T784" i="1"/>
  <c r="U784" i="1" s="1"/>
  <c r="T785" i="1"/>
  <c r="U785" i="1" s="1"/>
  <c r="T786" i="1"/>
  <c r="U786" i="1" s="1"/>
  <c r="T787" i="1"/>
  <c r="U787" i="1" s="1"/>
  <c r="T788" i="1"/>
  <c r="U788" i="1" s="1"/>
  <c r="T789" i="1"/>
  <c r="U789" i="1" s="1"/>
  <c r="T790" i="1"/>
  <c r="U790" i="1" s="1"/>
  <c r="T791" i="1"/>
  <c r="U791" i="1" s="1"/>
  <c r="T792" i="1"/>
  <c r="U792" i="1" s="1"/>
  <c r="T793" i="1"/>
  <c r="U793" i="1" s="1"/>
  <c r="T794" i="1"/>
  <c r="U794" i="1" s="1"/>
  <c r="T795" i="1"/>
  <c r="U795" i="1" s="1"/>
  <c r="T796" i="1"/>
  <c r="U796" i="1" s="1"/>
  <c r="T797" i="1"/>
  <c r="U797" i="1" s="1"/>
  <c r="T798" i="1"/>
  <c r="U798" i="1" s="1"/>
  <c r="T799" i="1"/>
  <c r="U799" i="1" s="1"/>
  <c r="T800" i="1"/>
  <c r="U800" i="1" s="1"/>
  <c r="T801" i="1"/>
  <c r="U801" i="1" s="1"/>
  <c r="T802" i="1"/>
  <c r="U802" i="1" s="1"/>
  <c r="T803" i="1"/>
  <c r="U803" i="1" s="1"/>
  <c r="T804" i="1"/>
  <c r="U804" i="1" s="1"/>
  <c r="T805" i="1"/>
  <c r="U805" i="1" s="1"/>
  <c r="T806" i="1"/>
  <c r="U806" i="1" s="1"/>
  <c r="T807" i="1"/>
  <c r="U807" i="1" s="1"/>
  <c r="T808" i="1"/>
  <c r="U808" i="1" s="1"/>
  <c r="T809" i="1"/>
  <c r="U809" i="1" s="1"/>
  <c r="T810" i="1"/>
  <c r="T811" i="1"/>
  <c r="U811" i="1" s="1"/>
  <c r="T812" i="1"/>
  <c r="U812" i="1" s="1"/>
  <c r="T813" i="1"/>
  <c r="U813" i="1" s="1"/>
  <c r="T814" i="1"/>
  <c r="U814" i="1" s="1"/>
  <c r="T815" i="1"/>
  <c r="U815" i="1" s="1"/>
  <c r="T816" i="1"/>
  <c r="U816" i="1" s="1"/>
  <c r="T817" i="1"/>
  <c r="U817" i="1" s="1"/>
  <c r="T818" i="1"/>
  <c r="U818" i="1" s="1"/>
  <c r="T819" i="1"/>
  <c r="U819" i="1" s="1"/>
  <c r="T820" i="1"/>
  <c r="U820" i="1" s="1"/>
  <c r="T821" i="1"/>
  <c r="U821" i="1" s="1"/>
  <c r="T822" i="1"/>
  <c r="T823" i="1"/>
  <c r="T824" i="1"/>
  <c r="T825" i="1"/>
  <c r="U825" i="1" s="1"/>
  <c r="T826" i="1"/>
  <c r="U826" i="1" s="1"/>
  <c r="T827" i="1"/>
  <c r="U827" i="1" s="1"/>
  <c r="T828" i="1"/>
  <c r="U828" i="1" s="1"/>
  <c r="T829" i="1"/>
  <c r="U829" i="1" s="1"/>
  <c r="T830" i="1"/>
  <c r="U830" i="1" s="1"/>
  <c r="T831" i="1"/>
  <c r="U831" i="1" s="1"/>
  <c r="T832" i="1"/>
  <c r="U832" i="1" s="1"/>
  <c r="T833" i="1"/>
  <c r="U833" i="1" s="1"/>
  <c r="T834" i="1"/>
  <c r="U834" i="1" s="1"/>
  <c r="T835" i="1"/>
  <c r="U835" i="1" s="1"/>
  <c r="T836" i="1"/>
  <c r="U836" i="1" s="1"/>
  <c r="T837" i="1"/>
  <c r="U837" i="1" s="1"/>
  <c r="T838" i="1"/>
  <c r="T839" i="1"/>
  <c r="T840" i="1"/>
  <c r="U840" i="1" s="1"/>
  <c r="T841" i="1"/>
  <c r="T842" i="1"/>
  <c r="U842" i="1" s="1"/>
  <c r="T843" i="1"/>
  <c r="U843" i="1" s="1"/>
  <c r="T844" i="1"/>
  <c r="U844" i="1" s="1"/>
  <c r="T845" i="1"/>
  <c r="U845" i="1" s="1"/>
  <c r="T846" i="1"/>
  <c r="U846" i="1" s="1"/>
  <c r="T847" i="1"/>
  <c r="U847" i="1" s="1"/>
  <c r="T848" i="1"/>
  <c r="U848" i="1" s="1"/>
  <c r="T849" i="1"/>
  <c r="U849" i="1" s="1"/>
  <c r="T850" i="1"/>
  <c r="U850" i="1" s="1"/>
  <c r="T851" i="1"/>
  <c r="U851" i="1" s="1"/>
  <c r="T852" i="1"/>
  <c r="U852" i="1" s="1"/>
  <c r="T853" i="1"/>
  <c r="T854" i="1"/>
  <c r="T855" i="1"/>
  <c r="T856" i="1"/>
  <c r="T857" i="1"/>
  <c r="T858" i="1"/>
  <c r="U858" i="1" s="1"/>
  <c r="T859" i="1"/>
  <c r="U859" i="1" s="1"/>
  <c r="T860" i="1"/>
  <c r="U860" i="1" s="1"/>
  <c r="T861" i="1"/>
  <c r="U861" i="1" s="1"/>
  <c r="T862" i="1"/>
  <c r="U862" i="1" s="1"/>
  <c r="T863" i="1"/>
  <c r="U863" i="1" s="1"/>
  <c r="T864" i="1"/>
  <c r="U864" i="1" s="1"/>
  <c r="T865" i="1"/>
  <c r="U865" i="1" s="1"/>
  <c r="T866" i="1"/>
  <c r="U866" i="1" s="1"/>
  <c r="T867" i="1"/>
  <c r="U867" i="1" s="1"/>
  <c r="T868" i="1"/>
  <c r="U868" i="1" s="1"/>
  <c r="T869" i="1"/>
  <c r="U869" i="1" s="1"/>
  <c r="T870" i="1"/>
  <c r="U870" i="1" s="1"/>
  <c r="T871" i="1"/>
  <c r="U871" i="1" s="1"/>
  <c r="T872" i="1"/>
  <c r="U872" i="1" s="1"/>
  <c r="T873" i="1"/>
  <c r="T874" i="1"/>
  <c r="T875" i="1"/>
  <c r="T876" i="1"/>
  <c r="U876" i="1" s="1"/>
  <c r="T877" i="1"/>
  <c r="U877" i="1" s="1"/>
  <c r="T878" i="1"/>
  <c r="U878" i="1" s="1"/>
  <c r="T879" i="1"/>
  <c r="U879" i="1" s="1"/>
  <c r="T880" i="1"/>
  <c r="U880" i="1" s="1"/>
  <c r="T881" i="1"/>
  <c r="U881" i="1" s="1"/>
  <c r="T882" i="1"/>
  <c r="U882" i="1" s="1"/>
  <c r="T883" i="1"/>
  <c r="U883" i="1" s="1"/>
  <c r="T884" i="1"/>
  <c r="T885" i="1"/>
  <c r="U885" i="1" s="1"/>
  <c r="T886" i="1"/>
  <c r="U886" i="1" s="1"/>
  <c r="T887" i="1"/>
  <c r="U887" i="1" s="1"/>
  <c r="T888" i="1"/>
  <c r="U888" i="1" s="1"/>
  <c r="T889" i="1"/>
  <c r="T890" i="1"/>
  <c r="T891" i="1"/>
  <c r="T892" i="1"/>
  <c r="T893" i="1"/>
  <c r="U893" i="1" s="1"/>
  <c r="T894" i="1"/>
  <c r="U894" i="1" s="1"/>
  <c r="T895" i="1"/>
  <c r="U895" i="1" s="1"/>
  <c r="T896" i="1"/>
  <c r="U896" i="1" s="1"/>
  <c r="T897" i="1"/>
  <c r="U897" i="1" s="1"/>
  <c r="T898" i="1"/>
  <c r="U898" i="1" s="1"/>
  <c r="T899" i="1"/>
  <c r="U899" i="1" s="1"/>
  <c r="T900" i="1"/>
  <c r="U900" i="1" s="1"/>
  <c r="T901" i="1"/>
  <c r="U901" i="1" s="1"/>
  <c r="T902" i="1"/>
  <c r="T903" i="1"/>
  <c r="T904" i="1"/>
  <c r="U904" i="1" s="1"/>
  <c r="T905" i="1"/>
  <c r="U905" i="1" s="1"/>
  <c r="T906" i="1"/>
  <c r="U906" i="1" s="1"/>
  <c r="T907" i="1"/>
  <c r="U907" i="1" s="1"/>
  <c r="T908" i="1"/>
  <c r="U908" i="1" s="1"/>
  <c r="T909" i="1"/>
  <c r="U909" i="1" s="1"/>
  <c r="T910" i="1"/>
  <c r="U910" i="1" s="1"/>
  <c r="T911" i="1"/>
  <c r="U911" i="1" s="1"/>
  <c r="T912" i="1"/>
  <c r="U912" i="1" s="1"/>
  <c r="T913" i="1"/>
  <c r="U913" i="1" s="1"/>
  <c r="T914" i="1"/>
  <c r="U914" i="1" s="1"/>
  <c r="T915" i="1"/>
  <c r="U915" i="1" s="1"/>
  <c r="T916" i="1"/>
  <c r="U916" i="1" s="1"/>
  <c r="T917" i="1"/>
  <c r="U917" i="1" s="1"/>
  <c r="T918" i="1"/>
  <c r="U918" i="1" s="1"/>
  <c r="T919" i="1"/>
  <c r="U919" i="1" s="1"/>
  <c r="T920" i="1"/>
  <c r="U920" i="1" s="1"/>
  <c r="T921" i="1"/>
  <c r="T922" i="1"/>
  <c r="T923" i="1"/>
  <c r="U923" i="1" s="1"/>
  <c r="T924" i="1"/>
  <c r="U924" i="1" s="1"/>
  <c r="T925" i="1"/>
  <c r="U925" i="1" s="1"/>
  <c r="T926" i="1"/>
  <c r="U926" i="1" s="1"/>
  <c r="T927" i="1"/>
  <c r="U927" i="1" s="1"/>
  <c r="T928" i="1"/>
  <c r="U928" i="1" s="1"/>
  <c r="T929" i="1"/>
  <c r="U929" i="1" s="1"/>
  <c r="T930" i="1"/>
  <c r="U930" i="1" s="1"/>
  <c r="T931" i="1"/>
  <c r="U931" i="1" s="1"/>
  <c r="T932" i="1"/>
  <c r="T933" i="1"/>
  <c r="T934" i="1"/>
  <c r="T935" i="1"/>
  <c r="T936" i="1"/>
  <c r="T937" i="1"/>
  <c r="T938" i="1"/>
  <c r="T939" i="1"/>
  <c r="U939" i="1" s="1"/>
  <c r="T940" i="1"/>
  <c r="U940" i="1" s="1"/>
  <c r="T941" i="1"/>
  <c r="U941" i="1" s="1"/>
  <c r="T942" i="1"/>
  <c r="U942" i="1" s="1"/>
  <c r="T943" i="1"/>
  <c r="U943" i="1" s="1"/>
  <c r="T944" i="1"/>
  <c r="U944" i="1" s="1"/>
  <c r="T945" i="1"/>
  <c r="U945" i="1" s="1"/>
  <c r="T946" i="1"/>
  <c r="U946" i="1" s="1"/>
  <c r="T947" i="1"/>
  <c r="U947" i="1" s="1"/>
  <c r="T948" i="1"/>
  <c r="U948" i="1" s="1"/>
  <c r="T949" i="1"/>
  <c r="U949" i="1" s="1"/>
  <c r="T950" i="1"/>
  <c r="U950" i="1" s="1"/>
  <c r="T951" i="1"/>
  <c r="U951" i="1" s="1"/>
  <c r="T952" i="1"/>
  <c r="U952" i="1" s="1"/>
  <c r="T953" i="1"/>
  <c r="U953" i="1" s="1"/>
  <c r="T954" i="1"/>
  <c r="U954" i="1" s="1"/>
  <c r="T955" i="1"/>
  <c r="U955" i="1" s="1"/>
  <c r="T956" i="1"/>
  <c r="U956" i="1" s="1"/>
  <c r="T957" i="1"/>
  <c r="U957" i="1" s="1"/>
  <c r="T958" i="1"/>
  <c r="U958" i="1" s="1"/>
  <c r="T959" i="1"/>
  <c r="U959" i="1" s="1"/>
  <c r="T960" i="1"/>
  <c r="U960" i="1" s="1"/>
  <c r="T961" i="1"/>
  <c r="U961" i="1" s="1"/>
  <c r="T962" i="1"/>
  <c r="U962" i="1" s="1"/>
  <c r="T963" i="1"/>
  <c r="U963" i="1" s="1"/>
  <c r="T964" i="1"/>
  <c r="U964" i="1" s="1"/>
  <c r="T965" i="1"/>
  <c r="U965" i="1" s="1"/>
  <c r="T966" i="1"/>
  <c r="U966" i="1" s="1"/>
  <c r="T967" i="1"/>
  <c r="U967" i="1" s="1"/>
  <c r="T968" i="1"/>
  <c r="T969" i="1"/>
  <c r="T970" i="1"/>
  <c r="T971" i="1"/>
  <c r="T972" i="1"/>
  <c r="U972" i="1" s="1"/>
  <c r="T973" i="1"/>
  <c r="U973" i="1" s="1"/>
  <c r="T974" i="1"/>
  <c r="U974" i="1" s="1"/>
  <c r="T975" i="1"/>
  <c r="U975" i="1" s="1"/>
  <c r="T976" i="1"/>
  <c r="U976" i="1" s="1"/>
  <c r="T977" i="1"/>
  <c r="U977" i="1" s="1"/>
  <c r="T978" i="1"/>
  <c r="U978" i="1" s="1"/>
  <c r="T979" i="1"/>
  <c r="U979" i="1" s="1"/>
  <c r="T980" i="1"/>
  <c r="U980" i="1" s="1"/>
  <c r="T981" i="1"/>
  <c r="U981" i="1" s="1"/>
  <c r="T982" i="1"/>
  <c r="U982" i="1" s="1"/>
  <c r="T983" i="1"/>
  <c r="U983" i="1" s="1"/>
  <c r="T984" i="1"/>
  <c r="U984" i="1" s="1"/>
  <c r="T985" i="1"/>
  <c r="U985" i="1" s="1"/>
  <c r="T986" i="1"/>
  <c r="T987" i="1"/>
  <c r="U987" i="1" s="1"/>
  <c r="T988" i="1"/>
  <c r="U988" i="1" s="1"/>
  <c r="T989" i="1"/>
  <c r="U989" i="1" s="1"/>
  <c r="T990" i="1"/>
  <c r="U990" i="1" s="1"/>
  <c r="T991" i="1"/>
  <c r="U991" i="1" s="1"/>
  <c r="T992" i="1"/>
  <c r="U992" i="1" s="1"/>
  <c r="T993" i="1"/>
  <c r="U993" i="1" s="1"/>
  <c r="T994" i="1"/>
  <c r="U994" i="1" s="1"/>
  <c r="T995" i="1"/>
  <c r="U995" i="1" s="1"/>
  <c r="T996" i="1"/>
  <c r="U996" i="1" s="1"/>
  <c r="T997" i="1"/>
  <c r="U997" i="1" s="1"/>
  <c r="T998" i="1"/>
  <c r="T999" i="1"/>
  <c r="T1000" i="1"/>
  <c r="T1001" i="1"/>
  <c r="T1002" i="1"/>
  <c r="U1002" i="1" s="1"/>
  <c r="T1003" i="1"/>
  <c r="U1003" i="1" s="1"/>
  <c r="T1004" i="1"/>
  <c r="U1004" i="1" s="1"/>
  <c r="T1005" i="1"/>
  <c r="U1005" i="1" s="1"/>
  <c r="T1006" i="1"/>
  <c r="U1006" i="1" s="1"/>
  <c r="T1007" i="1"/>
  <c r="U1007" i="1" s="1"/>
  <c r="T1008" i="1"/>
  <c r="U1008" i="1" s="1"/>
  <c r="T1009" i="1"/>
  <c r="U1009" i="1" s="1"/>
  <c r="T1010" i="1"/>
  <c r="U1010" i="1" s="1"/>
  <c r="T1011" i="1"/>
  <c r="U1011" i="1" s="1"/>
  <c r="T1012" i="1"/>
  <c r="T1013" i="1"/>
  <c r="U1013" i="1" s="1"/>
  <c r="T1014" i="1"/>
  <c r="U1014" i="1" s="1"/>
  <c r="T1015" i="1"/>
  <c r="T1016" i="1"/>
  <c r="T1017" i="1"/>
  <c r="U1017" i="1" s="1"/>
  <c r="T1018" i="1"/>
  <c r="U1018" i="1" s="1"/>
  <c r="T1019" i="1"/>
  <c r="U1019" i="1" s="1"/>
  <c r="T1020" i="1"/>
  <c r="U1020" i="1" s="1"/>
  <c r="T1021" i="1"/>
  <c r="U1021" i="1" s="1"/>
  <c r="T1022" i="1"/>
  <c r="U1022" i="1" s="1"/>
  <c r="T1023" i="1"/>
  <c r="U1023" i="1" s="1"/>
  <c r="T1024" i="1"/>
  <c r="U1024" i="1" s="1"/>
  <c r="T1025" i="1"/>
  <c r="U1025" i="1" s="1"/>
  <c r="T1026" i="1"/>
  <c r="U1026" i="1" s="1"/>
  <c r="T1027" i="1"/>
  <c r="U1027" i="1" s="1"/>
  <c r="T1028" i="1"/>
  <c r="U1028" i="1" s="1"/>
  <c r="T1029" i="1"/>
  <c r="U1029" i="1" s="1"/>
  <c r="T1030" i="1"/>
  <c r="U1030" i="1" s="1"/>
  <c r="T1031" i="1"/>
  <c r="U1031" i="1" s="1"/>
  <c r="T1032" i="1"/>
  <c r="U1032" i="1" s="1"/>
  <c r="T1033" i="1"/>
  <c r="T1034" i="1"/>
  <c r="T1035" i="1"/>
  <c r="T1036" i="1"/>
  <c r="U1036" i="1" s="1"/>
  <c r="T1037" i="1"/>
  <c r="U1037" i="1" s="1"/>
  <c r="T1038" i="1"/>
  <c r="U1038" i="1" s="1"/>
  <c r="T1039" i="1"/>
  <c r="U1039" i="1" s="1"/>
  <c r="T1040" i="1"/>
  <c r="U1040" i="1" s="1"/>
  <c r="T1041" i="1"/>
  <c r="U1041" i="1" s="1"/>
  <c r="T1042" i="1"/>
  <c r="U1042" i="1" s="1"/>
  <c r="T1043" i="1"/>
  <c r="U1043" i="1" s="1"/>
  <c r="T1044" i="1"/>
  <c r="U1044" i="1" s="1"/>
  <c r="T1045" i="1"/>
  <c r="U1045" i="1" s="1"/>
  <c r="T1046" i="1"/>
  <c r="U1046" i="1" s="1"/>
  <c r="T1047" i="1"/>
  <c r="U1047" i="1" s="1"/>
  <c r="T1048" i="1"/>
  <c r="U1048" i="1" s="1"/>
  <c r="T1049" i="1"/>
  <c r="T1050" i="1"/>
  <c r="T1051" i="1"/>
  <c r="T1052" i="1"/>
  <c r="U1052" i="1" s="1"/>
  <c r="T1053" i="1"/>
  <c r="U1053" i="1" s="1"/>
  <c r="T1054" i="1"/>
  <c r="U1054" i="1" s="1"/>
  <c r="T1055" i="1"/>
  <c r="U1055" i="1" s="1"/>
  <c r="T1056" i="1"/>
  <c r="U1056" i="1" s="1"/>
  <c r="T1057" i="1"/>
  <c r="U1057" i="1" s="1"/>
  <c r="T1058" i="1"/>
  <c r="U1058" i="1" s="1"/>
  <c r="T1059" i="1"/>
  <c r="U1059" i="1" s="1"/>
  <c r="T1060" i="1"/>
  <c r="U1060" i="1" s="1"/>
  <c r="T1061" i="1"/>
  <c r="U1061" i="1" s="1"/>
  <c r="T1062" i="1"/>
  <c r="U1062" i="1" s="1"/>
  <c r="T1063" i="1"/>
  <c r="U1063" i="1" s="1"/>
  <c r="T1064" i="1"/>
  <c r="U1064" i="1" s="1"/>
  <c r="T1065" i="1"/>
  <c r="U1065" i="1" s="1"/>
  <c r="T1066" i="1"/>
  <c r="T1067" i="1"/>
  <c r="T1068" i="1"/>
  <c r="U1068" i="1" s="1"/>
  <c r="T1069" i="1"/>
  <c r="U1069" i="1" s="1"/>
  <c r="T1070" i="1"/>
  <c r="U1070" i="1" s="1"/>
  <c r="T1071" i="1"/>
  <c r="U1071" i="1" s="1"/>
  <c r="T1072" i="1"/>
  <c r="U1072" i="1" s="1"/>
  <c r="T1073" i="1"/>
  <c r="U1073" i="1" s="1"/>
  <c r="T1074" i="1"/>
  <c r="U1074" i="1" s="1"/>
  <c r="T1075" i="1"/>
  <c r="U1075" i="1" s="1"/>
  <c r="T1076" i="1"/>
  <c r="U1076" i="1" s="1"/>
  <c r="T1077" i="1"/>
  <c r="T1078" i="1"/>
  <c r="U1078" i="1" s="1"/>
  <c r="T1079" i="1"/>
  <c r="U1079" i="1" s="1"/>
  <c r="T1080" i="1"/>
  <c r="U1080" i="1" s="1"/>
  <c r="T1081" i="1"/>
  <c r="U1081" i="1" s="1"/>
  <c r="T1082" i="1"/>
  <c r="U1082" i="1" s="1"/>
  <c r="T1083" i="1"/>
  <c r="U1083" i="1" s="1"/>
  <c r="T1084" i="1"/>
  <c r="U1084" i="1" s="1"/>
  <c r="T1085" i="1"/>
  <c r="U1085" i="1" s="1"/>
  <c r="T1086" i="1"/>
  <c r="U1086" i="1" s="1"/>
  <c r="T1087" i="1"/>
  <c r="U1087" i="1" s="1"/>
  <c r="T1088" i="1"/>
  <c r="U1088" i="1" s="1"/>
  <c r="T1089" i="1"/>
  <c r="U1089" i="1" s="1"/>
  <c r="T1090" i="1"/>
  <c r="U1090" i="1" s="1"/>
  <c r="T1091" i="1"/>
  <c r="U1091" i="1" s="1"/>
  <c r="T1092" i="1"/>
  <c r="U1092" i="1" s="1"/>
  <c r="T1093" i="1"/>
  <c r="T1094" i="1"/>
  <c r="U1094" i="1" s="1"/>
  <c r="T1095" i="1"/>
  <c r="U1095" i="1" s="1"/>
  <c r="T1096" i="1"/>
  <c r="U1096" i="1" s="1"/>
  <c r="T1097" i="1"/>
  <c r="U1097" i="1" s="1"/>
  <c r="T1098" i="1"/>
  <c r="U1098" i="1" s="1"/>
  <c r="T1099" i="1"/>
  <c r="U1099" i="1" s="1"/>
  <c r="T1100" i="1"/>
  <c r="U1100" i="1" s="1"/>
  <c r="T1101" i="1"/>
  <c r="U1101" i="1" s="1"/>
  <c r="T1102" i="1"/>
  <c r="U1102" i="1" s="1"/>
  <c r="T1103" i="1"/>
  <c r="U1103" i="1" s="1"/>
  <c r="T1104" i="1"/>
  <c r="U1104" i="1" s="1"/>
  <c r="T1105" i="1"/>
  <c r="U1105" i="1" s="1"/>
  <c r="T1106" i="1"/>
  <c r="U1106" i="1" s="1"/>
  <c r="T1107" i="1"/>
  <c r="U1107" i="1" s="1"/>
  <c r="T1108" i="1"/>
  <c r="U1108" i="1" s="1"/>
  <c r="T1109" i="1"/>
  <c r="U1109" i="1" s="1"/>
  <c r="T1110" i="1"/>
  <c r="T1111" i="1"/>
  <c r="T1112" i="1"/>
  <c r="T1113" i="1"/>
  <c r="T1114" i="1"/>
  <c r="T1115" i="1"/>
  <c r="U1115" i="1" s="1"/>
  <c r="T1116" i="1"/>
  <c r="U1116" i="1" s="1"/>
  <c r="T1117" i="1"/>
  <c r="U1117" i="1" s="1"/>
  <c r="T1118" i="1"/>
  <c r="U1118" i="1" s="1"/>
  <c r="T1119" i="1"/>
  <c r="U1119" i="1" s="1"/>
  <c r="T1120" i="1"/>
  <c r="U1120" i="1" s="1"/>
  <c r="T1121" i="1"/>
  <c r="U1121" i="1" s="1"/>
  <c r="T1122" i="1"/>
  <c r="U1122" i="1" s="1"/>
  <c r="T1123" i="1"/>
  <c r="U1123" i="1" s="1"/>
  <c r="T1124" i="1"/>
  <c r="U1124" i="1" s="1"/>
  <c r="T1125" i="1"/>
  <c r="U1125" i="1" s="1"/>
  <c r="T1126" i="1"/>
  <c r="T1127" i="1"/>
  <c r="T1128" i="1"/>
  <c r="T1129" i="1"/>
  <c r="T1130" i="1"/>
  <c r="T1131" i="1"/>
  <c r="U1131" i="1" s="1"/>
  <c r="T1132" i="1"/>
  <c r="U1132" i="1" s="1"/>
  <c r="T1133" i="1"/>
  <c r="U1133" i="1" s="1"/>
  <c r="T1134" i="1"/>
  <c r="U1134" i="1" s="1"/>
  <c r="T1135" i="1"/>
  <c r="U1135" i="1" s="1"/>
  <c r="T1136" i="1"/>
  <c r="U1136" i="1" s="1"/>
  <c r="T1137" i="1"/>
  <c r="U1137" i="1" s="1"/>
  <c r="T1138" i="1"/>
  <c r="U1138" i="1" s="1"/>
  <c r="T1139" i="1"/>
  <c r="U1139" i="1" s="1"/>
  <c r="T1140" i="1"/>
  <c r="U1140" i="1" s="1"/>
  <c r="T1141" i="1"/>
  <c r="U1141" i="1" s="1"/>
  <c r="T1142" i="1"/>
  <c r="U1142" i="1" s="1"/>
  <c r="T1143" i="1"/>
  <c r="U1143" i="1" s="1"/>
  <c r="T1144" i="1"/>
  <c r="U1144" i="1" s="1"/>
  <c r="T1145" i="1"/>
  <c r="U1145" i="1" s="1"/>
  <c r="T1146" i="1"/>
  <c r="U1146" i="1" s="1"/>
  <c r="T1147" i="1"/>
  <c r="U1147" i="1" s="1"/>
  <c r="T1148" i="1"/>
  <c r="U1148" i="1" s="1"/>
  <c r="T1149" i="1"/>
  <c r="U1149" i="1" s="1"/>
  <c r="T1150" i="1"/>
  <c r="U1150" i="1" s="1"/>
  <c r="T1151" i="1"/>
  <c r="U1151" i="1" s="1"/>
  <c r="T1152" i="1"/>
  <c r="U1152" i="1" s="1"/>
  <c r="T1153" i="1"/>
  <c r="U1153" i="1" s="1"/>
  <c r="T1154" i="1"/>
  <c r="U1154" i="1" s="1"/>
  <c r="T1155" i="1"/>
  <c r="U1155" i="1" s="1"/>
  <c r="T1156" i="1"/>
  <c r="U1156" i="1" s="1"/>
  <c r="T1157" i="1"/>
  <c r="T1158" i="1"/>
  <c r="U1158" i="1" s="1"/>
  <c r="T1159" i="1"/>
  <c r="U1159" i="1" s="1"/>
  <c r="T1160" i="1"/>
  <c r="U1160" i="1" s="1"/>
  <c r="T1161" i="1"/>
  <c r="T1162" i="1"/>
  <c r="T1163" i="1"/>
  <c r="T1164" i="1"/>
  <c r="T1165" i="1"/>
  <c r="T1166" i="1"/>
  <c r="U1166" i="1" s="1"/>
  <c r="T1167" i="1"/>
  <c r="U1167" i="1" s="1"/>
  <c r="T1168" i="1"/>
  <c r="U1168" i="1" s="1"/>
  <c r="T1169" i="1"/>
  <c r="U1169" i="1" s="1"/>
  <c r="T1170" i="1"/>
  <c r="U1170" i="1" s="1"/>
  <c r="T1171" i="1"/>
  <c r="U1171" i="1" s="1"/>
  <c r="T1172" i="1"/>
  <c r="U1172" i="1" s="1"/>
  <c r="T1173" i="1"/>
  <c r="U1173" i="1" s="1"/>
  <c r="T1174" i="1"/>
  <c r="T1175" i="1"/>
  <c r="U1175" i="1" s="1"/>
  <c r="T1176" i="1"/>
  <c r="U1176" i="1" s="1"/>
  <c r="T1177" i="1"/>
  <c r="U1177" i="1" s="1"/>
  <c r="T1178" i="1"/>
  <c r="U1178" i="1" s="1"/>
  <c r="T1179" i="1"/>
  <c r="U1179" i="1" s="1"/>
  <c r="T1180" i="1"/>
  <c r="U1180" i="1" s="1"/>
  <c r="T1181" i="1"/>
  <c r="U1181" i="1" s="1"/>
  <c r="T1182" i="1"/>
  <c r="U1182" i="1" s="1"/>
  <c r="T1183" i="1"/>
  <c r="U1183" i="1" s="1"/>
  <c r="T1184" i="1"/>
  <c r="U1184" i="1" s="1"/>
  <c r="T1185" i="1"/>
  <c r="U1185" i="1" s="1"/>
  <c r="T1186" i="1"/>
  <c r="U1186" i="1" s="1"/>
  <c r="T1187" i="1"/>
  <c r="U1187" i="1" s="1"/>
  <c r="T1188" i="1"/>
  <c r="U1188" i="1" s="1"/>
  <c r="T1189" i="1"/>
  <c r="U1189" i="1" s="1"/>
  <c r="T1190" i="1"/>
  <c r="T1191" i="1"/>
  <c r="T1192" i="1"/>
  <c r="T1193" i="1"/>
  <c r="T1194" i="1"/>
  <c r="T1195" i="1"/>
  <c r="T1196" i="1"/>
  <c r="U1196" i="1" s="1"/>
  <c r="T1197" i="1"/>
  <c r="U1197" i="1" s="1"/>
  <c r="T1198" i="1"/>
  <c r="U1198" i="1" s="1"/>
  <c r="T1199" i="1"/>
  <c r="U1199" i="1" s="1"/>
  <c r="T1200" i="1"/>
  <c r="U1200" i="1" s="1"/>
  <c r="T1201" i="1"/>
  <c r="U1201" i="1" s="1"/>
  <c r="T1202" i="1"/>
  <c r="U1202" i="1" s="1"/>
  <c r="T1203" i="1"/>
  <c r="U1203" i="1" s="1"/>
  <c r="T1204" i="1"/>
  <c r="U1204" i="1" s="1"/>
  <c r="T1205" i="1"/>
  <c r="U1205" i="1" s="1"/>
  <c r="T1206" i="1"/>
  <c r="T1207" i="1"/>
  <c r="T1208" i="1"/>
  <c r="T1209" i="1"/>
  <c r="T1210" i="1"/>
  <c r="T1211" i="1"/>
  <c r="U1211" i="1" s="1"/>
  <c r="T1212" i="1"/>
  <c r="U1212" i="1" s="1"/>
  <c r="T1213" i="1"/>
  <c r="U1213" i="1" s="1"/>
  <c r="T1214" i="1"/>
  <c r="U1214" i="1" s="1"/>
  <c r="T1215" i="1"/>
  <c r="U1215" i="1" s="1"/>
  <c r="T1216" i="1"/>
  <c r="U1216" i="1" s="1"/>
  <c r="T1217" i="1"/>
  <c r="U1217" i="1" s="1"/>
  <c r="T1218" i="1"/>
  <c r="U1218" i="1" s="1"/>
  <c r="T1219" i="1"/>
  <c r="U1219" i="1" s="1"/>
  <c r="T1220" i="1"/>
  <c r="U1220" i="1" s="1"/>
  <c r="T1221" i="1"/>
  <c r="U1221" i="1" s="1"/>
  <c r="T1222" i="1"/>
  <c r="U1222" i="1" s="1"/>
  <c r="T1223" i="1"/>
  <c r="U1223" i="1" s="1"/>
  <c r="T1224" i="1"/>
  <c r="U1224" i="1" s="1"/>
  <c r="T1225" i="1"/>
  <c r="U1225" i="1" s="1"/>
  <c r="T1226" i="1"/>
  <c r="U1226" i="1" s="1"/>
  <c r="T1227" i="1"/>
  <c r="U1227" i="1" s="1"/>
  <c r="T1228" i="1"/>
  <c r="U1228" i="1" s="1"/>
  <c r="T1229" i="1"/>
  <c r="U1229" i="1" s="1"/>
  <c r="T1230" i="1"/>
  <c r="U1230" i="1" s="1"/>
  <c r="T1231" i="1"/>
  <c r="U1231" i="1" s="1"/>
  <c r="T1232" i="1"/>
  <c r="U1232" i="1" s="1"/>
  <c r="T1233" i="1"/>
  <c r="U1233" i="1" s="1"/>
  <c r="T1234" i="1"/>
  <c r="U1234" i="1" s="1"/>
  <c r="T1235" i="1"/>
  <c r="U1235" i="1" s="1"/>
  <c r="T1236" i="1"/>
  <c r="U1236" i="1" s="1"/>
  <c r="T1237" i="1"/>
  <c r="U1237" i="1" s="1"/>
  <c r="T1238" i="1"/>
  <c r="U1238" i="1" s="1"/>
  <c r="T1239" i="1"/>
  <c r="U1239" i="1" s="1"/>
  <c r="T1240" i="1"/>
  <c r="T1241" i="1"/>
  <c r="T1242" i="1"/>
  <c r="T1243" i="1"/>
  <c r="T1244" i="1"/>
  <c r="U1244" i="1" s="1"/>
  <c r="T1245" i="1"/>
  <c r="U1245" i="1" s="1"/>
  <c r="T1246" i="1"/>
  <c r="U1246" i="1" s="1"/>
  <c r="T1247" i="1"/>
  <c r="U1247" i="1" s="1"/>
  <c r="T1248" i="1"/>
  <c r="U1248" i="1" s="1"/>
  <c r="T1249" i="1"/>
  <c r="U1249" i="1" s="1"/>
  <c r="T1250" i="1"/>
  <c r="U1250" i="1" s="1"/>
  <c r="T1251" i="1"/>
  <c r="U1251" i="1" s="1"/>
  <c r="T1252" i="1"/>
  <c r="U1252" i="1" s="1"/>
  <c r="T1253" i="1"/>
  <c r="U1253" i="1" s="1"/>
  <c r="T1254" i="1"/>
  <c r="T1255" i="1"/>
  <c r="T1256" i="1"/>
  <c r="U1256" i="1" s="1"/>
  <c r="T1257" i="1"/>
  <c r="U1257" i="1" s="1"/>
  <c r="T1258" i="1"/>
  <c r="T1259" i="1"/>
  <c r="T1260" i="1"/>
  <c r="U1260" i="1" s="1"/>
  <c r="T1261" i="1"/>
  <c r="U1261" i="1" s="1"/>
  <c r="T1262" i="1"/>
  <c r="U1262" i="1" s="1"/>
  <c r="T1263" i="1"/>
  <c r="U1263" i="1" s="1"/>
  <c r="T1264" i="1"/>
  <c r="U1264" i="1" s="1"/>
  <c r="T1265" i="1"/>
  <c r="U1265" i="1" s="1"/>
  <c r="T1266" i="1"/>
  <c r="U1266" i="1" s="1"/>
  <c r="T1267" i="1"/>
  <c r="U1267" i="1" s="1"/>
  <c r="T1268" i="1"/>
  <c r="U1268" i="1" s="1"/>
  <c r="T1269" i="1"/>
  <c r="U1269" i="1" s="1"/>
  <c r="T1270" i="1"/>
  <c r="U1270" i="1" s="1"/>
  <c r="T1271" i="1"/>
  <c r="U1271" i="1" s="1"/>
  <c r="T1272" i="1"/>
  <c r="U1272" i="1" s="1"/>
  <c r="T1273" i="1"/>
  <c r="T1274" i="1"/>
  <c r="T1275" i="1"/>
  <c r="U1275" i="1" s="1"/>
  <c r="T1276" i="1"/>
  <c r="U1276" i="1" s="1"/>
  <c r="T1277" i="1"/>
  <c r="U1277" i="1" s="1"/>
  <c r="T1278" i="1"/>
  <c r="U1278" i="1" s="1"/>
  <c r="T1279" i="1"/>
  <c r="U1279" i="1" s="1"/>
  <c r="T1280" i="1"/>
  <c r="U1280" i="1" s="1"/>
  <c r="T1281" i="1"/>
  <c r="U1281" i="1" s="1"/>
  <c r="T1282" i="1"/>
  <c r="U1282" i="1" s="1"/>
  <c r="T1283" i="1"/>
  <c r="U1283" i="1" s="1"/>
  <c r="T1284" i="1"/>
  <c r="U1284" i="1" s="1"/>
  <c r="T1285" i="1"/>
  <c r="T1286" i="1"/>
  <c r="U1286" i="1" s="1"/>
  <c r="T1287" i="1"/>
  <c r="U1287" i="1" s="1"/>
  <c r="T1288" i="1"/>
  <c r="T1289" i="1"/>
  <c r="T1290" i="1"/>
  <c r="T1291" i="1"/>
  <c r="T1292" i="1"/>
  <c r="U1292" i="1" s="1"/>
  <c r="T1293" i="1"/>
  <c r="U1293" i="1" s="1"/>
  <c r="T1294" i="1"/>
  <c r="U1294" i="1" s="1"/>
  <c r="T1295" i="1"/>
  <c r="U1295" i="1" s="1"/>
  <c r="T1296" i="1"/>
  <c r="U1296" i="1" s="1"/>
  <c r="T1297" i="1"/>
  <c r="U1297" i="1" s="1"/>
  <c r="T1298" i="1"/>
  <c r="U1298" i="1" s="1"/>
  <c r="T1299" i="1"/>
  <c r="U1299" i="1" s="1"/>
  <c r="T1300" i="1"/>
  <c r="U1300" i="1" s="1"/>
  <c r="T1301" i="1"/>
  <c r="U1301" i="1" s="1"/>
  <c r="T1302" i="1"/>
  <c r="T1303" i="1"/>
  <c r="U1303" i="1" s="1"/>
  <c r="T1304" i="1"/>
  <c r="U1304" i="1" s="1"/>
  <c r="T1305" i="1"/>
  <c r="T1306" i="1"/>
  <c r="U1306" i="1" s="1"/>
  <c r="T1307" i="1"/>
  <c r="U1307" i="1" s="1"/>
  <c r="T1308" i="1"/>
  <c r="U1308" i="1" s="1"/>
  <c r="T1309" i="1"/>
  <c r="U1309" i="1" s="1"/>
  <c r="T1310" i="1"/>
  <c r="U1310" i="1" s="1"/>
  <c r="T1311" i="1"/>
  <c r="U1311" i="1" s="1"/>
  <c r="T1312" i="1"/>
  <c r="U1312" i="1" s="1"/>
  <c r="T1313" i="1"/>
  <c r="U1313" i="1" s="1"/>
  <c r="T1314" i="1"/>
  <c r="U1314" i="1" s="1"/>
  <c r="T1315" i="1"/>
  <c r="U1315" i="1" s="1"/>
  <c r="T1316" i="1"/>
  <c r="U1316" i="1" s="1"/>
  <c r="T1317" i="1"/>
  <c r="U1317" i="1" s="1"/>
  <c r="T1318" i="1"/>
  <c r="T1319" i="1"/>
  <c r="U1319" i="1" s="1"/>
  <c r="T1320" i="1"/>
  <c r="U1320" i="1" s="1"/>
  <c r="T1321" i="1"/>
  <c r="U1321" i="1" s="1"/>
  <c r="T1322" i="1"/>
  <c r="U1322" i="1" s="1"/>
  <c r="T1323" i="1"/>
  <c r="U1323" i="1" s="1"/>
  <c r="T1324" i="1"/>
  <c r="U1324" i="1" s="1"/>
  <c r="T1325" i="1"/>
  <c r="U1325" i="1" s="1"/>
  <c r="T1326" i="1"/>
  <c r="U1326" i="1" s="1"/>
  <c r="T1327" i="1"/>
  <c r="U1327" i="1" s="1"/>
  <c r="T1328" i="1"/>
  <c r="U1328" i="1" s="1"/>
  <c r="T1329" i="1"/>
  <c r="U1329" i="1" s="1"/>
  <c r="T1330" i="1"/>
  <c r="U1330" i="1" s="1"/>
  <c r="T1331" i="1"/>
  <c r="U1331" i="1" s="1"/>
  <c r="T1332" i="1"/>
  <c r="U1332" i="1" s="1"/>
  <c r="T1333" i="1"/>
  <c r="U1333" i="1" s="1"/>
  <c r="T1334" i="1"/>
  <c r="U1334" i="1" s="1"/>
  <c r="T1335" i="1"/>
  <c r="U1335" i="1" s="1"/>
  <c r="T1336" i="1"/>
  <c r="T1337" i="1"/>
  <c r="U1337" i="1" s="1"/>
  <c r="T1338" i="1"/>
  <c r="U1338" i="1" s="1"/>
  <c r="T1339" i="1"/>
  <c r="T1340" i="1"/>
  <c r="U1340" i="1" s="1"/>
  <c r="T1341" i="1"/>
  <c r="U1341" i="1" s="1"/>
  <c r="T1342" i="1"/>
  <c r="U1342" i="1" s="1"/>
  <c r="T1343" i="1"/>
  <c r="U1343" i="1" s="1"/>
  <c r="T1344" i="1"/>
  <c r="U1344" i="1" s="1"/>
  <c r="T1345" i="1"/>
  <c r="U1345" i="1" s="1"/>
  <c r="T1346" i="1"/>
  <c r="U1346" i="1" s="1"/>
  <c r="T1347" i="1"/>
  <c r="U1347" i="1" s="1"/>
  <c r="T1348" i="1"/>
  <c r="U1348" i="1" s="1"/>
  <c r="T1349" i="1"/>
  <c r="U1349" i="1" s="1"/>
  <c r="T1350" i="1"/>
  <c r="T1351" i="1"/>
  <c r="T1352" i="1"/>
  <c r="U1352" i="1" s="1"/>
  <c r="T1353" i="1"/>
  <c r="U1353" i="1" s="1"/>
  <c r="T1354" i="1"/>
  <c r="U1354" i="1" s="1"/>
  <c r="T1355" i="1"/>
  <c r="U1355" i="1" s="1"/>
  <c r="T1356" i="1"/>
  <c r="U1356" i="1" s="1"/>
  <c r="T1357" i="1"/>
  <c r="U1357" i="1" s="1"/>
  <c r="T1358" i="1"/>
  <c r="U1358" i="1" s="1"/>
  <c r="T1359" i="1"/>
  <c r="U1359" i="1" s="1"/>
  <c r="T1360" i="1"/>
  <c r="U1360" i="1" s="1"/>
  <c r="T1361" i="1"/>
  <c r="U1361" i="1" s="1"/>
  <c r="T1362" i="1"/>
  <c r="U1362" i="1" s="1"/>
  <c r="T1363" i="1"/>
  <c r="U1363" i="1" s="1"/>
  <c r="T1364" i="1"/>
  <c r="U1364" i="1" s="1"/>
  <c r="T1365" i="1"/>
  <c r="U1365" i="1" s="1"/>
  <c r="T1366" i="1"/>
  <c r="U1366" i="1" s="1"/>
  <c r="T1367" i="1"/>
  <c r="T1368" i="1"/>
  <c r="T1369" i="1"/>
  <c r="T1370" i="1"/>
  <c r="U1370" i="1" s="1"/>
  <c r="T1371" i="1"/>
  <c r="U1371" i="1" s="1"/>
  <c r="T1372" i="1"/>
  <c r="U1372" i="1" s="1"/>
  <c r="T1373" i="1"/>
  <c r="U1373" i="1" s="1"/>
  <c r="T1374" i="1"/>
  <c r="U1374" i="1" s="1"/>
  <c r="T1375" i="1"/>
  <c r="U1375" i="1" s="1"/>
  <c r="T1376" i="1"/>
  <c r="U1376" i="1" s="1"/>
  <c r="T1377" i="1"/>
  <c r="U1377" i="1" s="1"/>
  <c r="T1378" i="1"/>
  <c r="U1378" i="1" s="1"/>
  <c r="T1379" i="1"/>
  <c r="U1379" i="1" s="1"/>
  <c r="T1380" i="1"/>
  <c r="U1380" i="1" s="1"/>
  <c r="T1381" i="1"/>
  <c r="T1382" i="1"/>
  <c r="U1382" i="1" s="1"/>
  <c r="T1383" i="1"/>
  <c r="T1384" i="1"/>
  <c r="T1385" i="1"/>
  <c r="T1386" i="1"/>
  <c r="U1386" i="1" s="1"/>
  <c r="T1387" i="1"/>
  <c r="U1387" i="1" s="1"/>
  <c r="T1388" i="1"/>
  <c r="U1388" i="1" s="1"/>
  <c r="T1389" i="1"/>
  <c r="U1389" i="1" s="1"/>
  <c r="T1390" i="1"/>
  <c r="U1390" i="1" s="1"/>
  <c r="T1391" i="1"/>
  <c r="U1391" i="1" s="1"/>
  <c r="T1392" i="1"/>
  <c r="U1392" i="1" s="1"/>
  <c r="T1393" i="1"/>
  <c r="U1393" i="1" s="1"/>
  <c r="T1394" i="1"/>
  <c r="U1394" i="1" s="1"/>
  <c r="T1395" i="1"/>
  <c r="U1395" i="1" s="1"/>
  <c r="T1396" i="1"/>
  <c r="U1396" i="1" s="1"/>
  <c r="T1397" i="1"/>
  <c r="T1398" i="1"/>
  <c r="T1399" i="1"/>
  <c r="T1400" i="1"/>
  <c r="T1401" i="1"/>
  <c r="T1402" i="1"/>
  <c r="U1402" i="1" s="1"/>
  <c r="T1403" i="1"/>
  <c r="U1403" i="1" s="1"/>
  <c r="T1404" i="1"/>
  <c r="U1404" i="1" s="1"/>
  <c r="T1405" i="1"/>
  <c r="U1405" i="1" s="1"/>
  <c r="T1406" i="1"/>
  <c r="U1406" i="1" s="1"/>
  <c r="T1407" i="1"/>
  <c r="U1407" i="1" s="1"/>
  <c r="T1408" i="1"/>
  <c r="U1408" i="1" s="1"/>
  <c r="T1409" i="1"/>
  <c r="U1409" i="1" s="1"/>
  <c r="T1410" i="1"/>
  <c r="U1410" i="1" s="1"/>
  <c r="T1411" i="1"/>
  <c r="U1411" i="1" s="1"/>
  <c r="T1412" i="1"/>
  <c r="U1412" i="1" s="1"/>
  <c r="T1413" i="1"/>
  <c r="U1413" i="1" s="1"/>
  <c r="T1414" i="1"/>
  <c r="T1415" i="1"/>
  <c r="T1416" i="1"/>
  <c r="U1416" i="1" s="1"/>
  <c r="T1417" i="1"/>
  <c r="U1417" i="1" s="1"/>
  <c r="T1418" i="1"/>
  <c r="U1418" i="1" s="1"/>
  <c r="T1419" i="1"/>
  <c r="U1419" i="1" s="1"/>
  <c r="T1420" i="1"/>
  <c r="U1420" i="1" s="1"/>
  <c r="T1421" i="1"/>
  <c r="U1421" i="1" s="1"/>
  <c r="T1422" i="1"/>
  <c r="U1422" i="1" s="1"/>
  <c r="T1423" i="1"/>
  <c r="U1423" i="1" s="1"/>
  <c r="T1424" i="1"/>
  <c r="U1424" i="1" s="1"/>
  <c r="T1425" i="1"/>
  <c r="U1425" i="1" s="1"/>
  <c r="T1426" i="1"/>
  <c r="U1426" i="1" s="1"/>
  <c r="T1427" i="1"/>
  <c r="U1427" i="1" s="1"/>
  <c r="T1428" i="1"/>
  <c r="U1428" i="1" s="1"/>
  <c r="T1429" i="1"/>
  <c r="U1429" i="1" s="1"/>
  <c r="T1430" i="1"/>
  <c r="T1431" i="1"/>
  <c r="T1432" i="1"/>
  <c r="T1433" i="1"/>
  <c r="T1434" i="1"/>
  <c r="U1434" i="1" s="1"/>
  <c r="T1435" i="1"/>
  <c r="U1435" i="1" s="1"/>
  <c r="T1436" i="1"/>
  <c r="U1436" i="1" s="1"/>
  <c r="T1437" i="1"/>
  <c r="U1437" i="1" s="1"/>
  <c r="T1438" i="1"/>
  <c r="U1438" i="1" s="1"/>
  <c r="T1439" i="1"/>
  <c r="U1439" i="1" s="1"/>
  <c r="T1440" i="1"/>
  <c r="U1440" i="1" s="1"/>
  <c r="T1441" i="1"/>
  <c r="U1441" i="1" s="1"/>
  <c r="T1442" i="1"/>
  <c r="U1442" i="1" s="1"/>
  <c r="T1443" i="1"/>
  <c r="U1443" i="1" s="1"/>
  <c r="T1444" i="1"/>
  <c r="U1444" i="1" s="1"/>
  <c r="T1445" i="1"/>
  <c r="U1445" i="1" s="1"/>
  <c r="T1446" i="1"/>
  <c r="U1446" i="1" s="1"/>
  <c r="T1447" i="1"/>
  <c r="T1448" i="1"/>
  <c r="T1449" i="1"/>
  <c r="T1450" i="1"/>
  <c r="U1450" i="1" s="1"/>
  <c r="T1451" i="1"/>
  <c r="T1452" i="1"/>
  <c r="T1453" i="1"/>
  <c r="U1453" i="1" s="1"/>
  <c r="T1454" i="1"/>
  <c r="U1454" i="1" s="1"/>
  <c r="T1455" i="1"/>
  <c r="U1455" i="1" s="1"/>
  <c r="T1456" i="1"/>
  <c r="U1456" i="1" s="1"/>
  <c r="T1457" i="1"/>
  <c r="U1457" i="1" s="1"/>
  <c r="T1458" i="1"/>
  <c r="U1458" i="1" s="1"/>
  <c r="T1459" i="1"/>
  <c r="U1459" i="1" s="1"/>
  <c r="T1460" i="1"/>
  <c r="U1460" i="1" s="1"/>
  <c r="T1461" i="1"/>
  <c r="U1461" i="1" s="1"/>
  <c r="T1462" i="1"/>
  <c r="U1462" i="1" s="1"/>
  <c r="T1463" i="1"/>
  <c r="U1463" i="1" s="1"/>
  <c r="T1464" i="1"/>
  <c r="U1464" i="1" s="1"/>
  <c r="T1465" i="1"/>
  <c r="U1465" i="1" s="1"/>
  <c r="T1466" i="1"/>
  <c r="U1466" i="1" s="1"/>
  <c r="T1467" i="1"/>
  <c r="U1467" i="1" s="1"/>
  <c r="T1468" i="1"/>
  <c r="U1468" i="1" s="1"/>
  <c r="T1469" i="1"/>
  <c r="U1469" i="1" s="1"/>
  <c r="T1470" i="1"/>
  <c r="U1470" i="1" s="1"/>
  <c r="T1471" i="1"/>
  <c r="U1471" i="1" s="1"/>
  <c r="T1472" i="1"/>
  <c r="U1472" i="1" s="1"/>
  <c r="T1473" i="1"/>
  <c r="U1473" i="1" s="1"/>
  <c r="T1474" i="1"/>
  <c r="U1474" i="1" s="1"/>
  <c r="T1475" i="1"/>
  <c r="U1475" i="1" s="1"/>
  <c r="T1476" i="1"/>
  <c r="U1476" i="1" s="1"/>
  <c r="T1477" i="1"/>
  <c r="U1477" i="1" s="1"/>
  <c r="T1478" i="1"/>
  <c r="U1478" i="1" s="1"/>
  <c r="T1479" i="1"/>
  <c r="U1479" i="1" s="1"/>
  <c r="T1480" i="1"/>
  <c r="U1480" i="1" s="1"/>
  <c r="T1481" i="1"/>
  <c r="U1481" i="1" s="1"/>
  <c r="T1482" i="1"/>
  <c r="U1482" i="1" s="1"/>
  <c r="T1483" i="1"/>
  <c r="U1483" i="1" s="1"/>
  <c r="T1484" i="1"/>
  <c r="U1484" i="1" s="1"/>
  <c r="T1485" i="1"/>
  <c r="U1485" i="1" s="1"/>
  <c r="T1486" i="1"/>
  <c r="U1486" i="1" s="1"/>
  <c r="T1487" i="1"/>
  <c r="U1487" i="1" s="1"/>
  <c r="T1488" i="1"/>
  <c r="U1488" i="1" s="1"/>
  <c r="T1489" i="1"/>
  <c r="U1489" i="1" s="1"/>
  <c r="T1490" i="1"/>
  <c r="U1490" i="1" s="1"/>
  <c r="T1491" i="1"/>
  <c r="U1491" i="1" s="1"/>
  <c r="T1492" i="1"/>
  <c r="T1493" i="1"/>
  <c r="T1494" i="1"/>
  <c r="T1495" i="1"/>
  <c r="U1495" i="1" s="1"/>
  <c r="T1496" i="1"/>
  <c r="U1496" i="1" s="1"/>
  <c r="T1497" i="1"/>
  <c r="T1498" i="1"/>
  <c r="U1498" i="1" s="1"/>
  <c r="T1499" i="1"/>
  <c r="T1500" i="1"/>
  <c r="U1500" i="1" s="1"/>
  <c r="T1501" i="1"/>
  <c r="U1501" i="1" s="1"/>
  <c r="T1502" i="1"/>
  <c r="U1502" i="1" s="1"/>
  <c r="T1503" i="1"/>
  <c r="U1503" i="1" s="1"/>
  <c r="T1504" i="1"/>
  <c r="U1504" i="1" s="1"/>
  <c r="T1505" i="1"/>
  <c r="U1505" i="1" s="1"/>
  <c r="T1506" i="1"/>
  <c r="U1506" i="1" s="1"/>
  <c r="T1507" i="1"/>
  <c r="U1507" i="1" s="1"/>
  <c r="T1508" i="1"/>
  <c r="U1508" i="1" s="1"/>
  <c r="T1509" i="1"/>
  <c r="U1509" i="1" s="1"/>
  <c r="T1510" i="1"/>
  <c r="T1511" i="1"/>
  <c r="U1511" i="1" s="1"/>
  <c r="T1512" i="1"/>
  <c r="U1512" i="1" s="1"/>
  <c r="T1513" i="1"/>
  <c r="U1513" i="1" s="1"/>
  <c r="T1514" i="1"/>
  <c r="U1514" i="1" s="1"/>
  <c r="T1515" i="1"/>
  <c r="U1515" i="1" s="1"/>
  <c r="T1516" i="1"/>
  <c r="U1516" i="1" s="1"/>
  <c r="T1517" i="1"/>
  <c r="U1517" i="1" s="1"/>
  <c r="T1518" i="1"/>
  <c r="U1518" i="1" s="1"/>
  <c r="T1519" i="1"/>
  <c r="U1519" i="1" s="1"/>
  <c r="T1520" i="1"/>
  <c r="U1520" i="1" s="1"/>
  <c r="T1521" i="1"/>
  <c r="U1521" i="1" s="1"/>
  <c r="T1522" i="1"/>
  <c r="U1522" i="1" s="1"/>
  <c r="T1523" i="1"/>
  <c r="U1523" i="1" s="1"/>
  <c r="T1524" i="1"/>
  <c r="U1524" i="1" s="1"/>
  <c r="T1525" i="1"/>
  <c r="T1526" i="1"/>
  <c r="T1527" i="1"/>
  <c r="T1528" i="1"/>
  <c r="T1529" i="1"/>
  <c r="U1529" i="1" s="1"/>
  <c r="T1530" i="1"/>
  <c r="U1530" i="1" s="1"/>
  <c r="T1531" i="1"/>
  <c r="U1531" i="1" s="1"/>
  <c r="T1532" i="1"/>
  <c r="U1532" i="1" s="1"/>
  <c r="T1533" i="1"/>
  <c r="U1533" i="1" s="1"/>
  <c r="T1534" i="1"/>
  <c r="U1534" i="1" s="1"/>
  <c r="T1535" i="1"/>
  <c r="U1535" i="1" s="1"/>
  <c r="T1536" i="1"/>
  <c r="U1536" i="1" s="1"/>
  <c r="T1537" i="1"/>
  <c r="U1537" i="1" s="1"/>
  <c r="T1538" i="1"/>
  <c r="U1538" i="1" s="1"/>
  <c r="T1539" i="1"/>
  <c r="U1539" i="1" s="1"/>
  <c r="T1540" i="1"/>
  <c r="U1540" i="1" s="1"/>
  <c r="T1541" i="1"/>
  <c r="U1541" i="1" s="1"/>
  <c r="T1542" i="1"/>
  <c r="T1543" i="1"/>
  <c r="T1544" i="1"/>
  <c r="T1545" i="1"/>
  <c r="T1546" i="1"/>
  <c r="U1546" i="1" s="1"/>
  <c r="T1547" i="1"/>
  <c r="U1547" i="1" s="1"/>
  <c r="T1548" i="1"/>
  <c r="U1548" i="1" s="1"/>
  <c r="T1549" i="1"/>
  <c r="U1549" i="1" s="1"/>
  <c r="T1550" i="1"/>
  <c r="U1550" i="1" s="1"/>
  <c r="T1551" i="1"/>
  <c r="U1551" i="1" s="1"/>
  <c r="T1552" i="1"/>
  <c r="U1552" i="1" s="1"/>
  <c r="T1553" i="1"/>
  <c r="U1553" i="1" s="1"/>
  <c r="T1554" i="1"/>
  <c r="U1554" i="1" s="1"/>
  <c r="T1555" i="1"/>
  <c r="U1555" i="1" s="1"/>
  <c r="T1556" i="1"/>
  <c r="U1556" i="1" s="1"/>
  <c r="T1557" i="1"/>
  <c r="U1557" i="1" s="1"/>
  <c r="T1558" i="1"/>
  <c r="U1558" i="1" s="1"/>
  <c r="T1559" i="1"/>
  <c r="U1559" i="1" s="1"/>
  <c r="T1560" i="1"/>
  <c r="U1560" i="1" s="1"/>
  <c r="T1561" i="1"/>
  <c r="T1562" i="1"/>
  <c r="U1562" i="1" s="1"/>
  <c r="T1563" i="1"/>
  <c r="U1563" i="1" s="1"/>
  <c r="T1564" i="1"/>
  <c r="U1564" i="1" s="1"/>
  <c r="T1565" i="1"/>
  <c r="U1565" i="1" s="1"/>
  <c r="T1566" i="1"/>
  <c r="U1566" i="1" s="1"/>
  <c r="T1567" i="1"/>
  <c r="U1567" i="1" s="1"/>
  <c r="T1568" i="1"/>
  <c r="U1568" i="1" s="1"/>
  <c r="T1569" i="1"/>
  <c r="U1569" i="1" s="1"/>
  <c r="T1570" i="1"/>
  <c r="U1570" i="1" s="1"/>
  <c r="T1571" i="1"/>
  <c r="U1571" i="1" s="1"/>
  <c r="T1572" i="1"/>
  <c r="U1572" i="1" s="1"/>
  <c r="T1573" i="1"/>
  <c r="U1573" i="1" s="1"/>
  <c r="T1574" i="1"/>
  <c r="T1575" i="1"/>
  <c r="T1576" i="1"/>
  <c r="T1577" i="1"/>
  <c r="T1578" i="1"/>
  <c r="U1578" i="1" s="1"/>
  <c r="T1579" i="1"/>
  <c r="T1580" i="1"/>
  <c r="U1580" i="1" s="1"/>
  <c r="T1581" i="1"/>
  <c r="U1581" i="1" s="1"/>
  <c r="T1582" i="1"/>
  <c r="U1582" i="1" s="1"/>
  <c r="T1583" i="1"/>
  <c r="U1583" i="1" s="1"/>
  <c r="T1584" i="1"/>
  <c r="U1584" i="1" s="1"/>
  <c r="T1585" i="1"/>
  <c r="U1585" i="1" s="1"/>
  <c r="T1586" i="1"/>
  <c r="U1586" i="1" s="1"/>
  <c r="T1587" i="1"/>
  <c r="U1587" i="1" s="1"/>
  <c r="T1588" i="1"/>
  <c r="T1589" i="1"/>
  <c r="T1590" i="1"/>
  <c r="T1591" i="1"/>
  <c r="T1592" i="1"/>
  <c r="T1593" i="1"/>
  <c r="U1593" i="1" s="1"/>
  <c r="T1594" i="1"/>
  <c r="U1594" i="1" s="1"/>
  <c r="T1595" i="1"/>
  <c r="U1595" i="1" s="1"/>
  <c r="T1596" i="1"/>
  <c r="U1596" i="1" s="1"/>
  <c r="T1597" i="1"/>
  <c r="U1597" i="1" s="1"/>
  <c r="T1598" i="1"/>
  <c r="U1598" i="1" s="1"/>
  <c r="T1599" i="1"/>
  <c r="U1599" i="1" s="1"/>
  <c r="T1600" i="1"/>
  <c r="U1600" i="1" s="1"/>
  <c r="T1601" i="1"/>
  <c r="U1601" i="1" s="1"/>
  <c r="T1602" i="1"/>
  <c r="U1602" i="1" s="1"/>
  <c r="T1603" i="1"/>
  <c r="U1603" i="1" s="1"/>
  <c r="T1604" i="1"/>
  <c r="U1604" i="1" s="1"/>
  <c r="T1605" i="1"/>
  <c r="U1605" i="1" s="1"/>
  <c r="T1606" i="1"/>
  <c r="U1606" i="1" s="1"/>
  <c r="T1607" i="1"/>
  <c r="T1608" i="1"/>
  <c r="T1609" i="1"/>
  <c r="T1610" i="1"/>
  <c r="U1610" i="1" s="1"/>
  <c r="T1611" i="1"/>
  <c r="T1612" i="1"/>
  <c r="U1612" i="1" s="1"/>
  <c r="T1613" i="1"/>
  <c r="U1613" i="1" s="1"/>
  <c r="T1614" i="1"/>
  <c r="U1614" i="1" s="1"/>
  <c r="T1615" i="1"/>
  <c r="U1615" i="1" s="1"/>
  <c r="T1616" i="1"/>
  <c r="U1616" i="1" s="1"/>
  <c r="T1617" i="1"/>
  <c r="U1617" i="1" s="1"/>
  <c r="T1618" i="1"/>
  <c r="T1619" i="1"/>
  <c r="U1619" i="1" s="1"/>
  <c r="T1620" i="1"/>
  <c r="T1621" i="1"/>
  <c r="T1622" i="1"/>
  <c r="U1622" i="1" s="1"/>
  <c r="T1623" i="1"/>
  <c r="U1623" i="1" s="1"/>
  <c r="T1624" i="1"/>
  <c r="U1624" i="1" s="1"/>
  <c r="T1625" i="1"/>
  <c r="T1626" i="1"/>
  <c r="U1626" i="1" s="1"/>
  <c r="T1627" i="1"/>
  <c r="T1628" i="1"/>
  <c r="U1628" i="1" s="1"/>
  <c r="T1629" i="1"/>
  <c r="T1630" i="1"/>
  <c r="U1630" i="1" s="1"/>
  <c r="T1631" i="1"/>
  <c r="U1631" i="1" s="1"/>
  <c r="T1632" i="1"/>
  <c r="U1632" i="1" s="1"/>
  <c r="T1633" i="1"/>
  <c r="U1633" i="1" s="1"/>
  <c r="T1634" i="1"/>
  <c r="U1634" i="1" s="1"/>
  <c r="T1635" i="1"/>
  <c r="U1635" i="1" s="1"/>
  <c r="T1636" i="1"/>
  <c r="U1636" i="1" s="1"/>
  <c r="T1637" i="1"/>
  <c r="U1637" i="1" s="1"/>
  <c r="T1638" i="1"/>
  <c r="T1639" i="1"/>
  <c r="T1640" i="1"/>
  <c r="U1640" i="1" s="1"/>
  <c r="T1641" i="1"/>
  <c r="T1642" i="1"/>
  <c r="U1642" i="1" s="1"/>
  <c r="T1643" i="1"/>
  <c r="U1643" i="1" s="1"/>
  <c r="T1644" i="1"/>
  <c r="U1644" i="1" s="1"/>
  <c r="T1645" i="1"/>
  <c r="U1645" i="1" s="1"/>
  <c r="T1646" i="1"/>
  <c r="U1646" i="1" s="1"/>
  <c r="T1647" i="1"/>
  <c r="U1647" i="1" s="1"/>
  <c r="T1648" i="1"/>
  <c r="U1648" i="1" s="1"/>
  <c r="T1649" i="1"/>
  <c r="U1649" i="1" s="1"/>
  <c r="T1650" i="1"/>
  <c r="U1650" i="1" s="1"/>
  <c r="T1651" i="1"/>
  <c r="U1651" i="1" s="1"/>
  <c r="T1652" i="1"/>
  <c r="U1652" i="1" s="1"/>
  <c r="T1653" i="1"/>
  <c r="T1654" i="1"/>
  <c r="T1655" i="1"/>
  <c r="T1656" i="1"/>
  <c r="T1657" i="1"/>
  <c r="N5" i="1"/>
  <c r="N6" i="1"/>
  <c r="N7" i="1"/>
  <c r="N8" i="1"/>
  <c r="N9" i="1"/>
  <c r="N10" i="1"/>
  <c r="N11" i="1"/>
  <c r="N12" i="1"/>
  <c r="O12" i="1" s="1"/>
  <c r="R12" i="1" s="1"/>
  <c r="N13" i="1"/>
  <c r="N14" i="1"/>
  <c r="N15" i="1"/>
  <c r="N16" i="1"/>
  <c r="N17" i="1"/>
  <c r="N18" i="1"/>
  <c r="O18" i="1" s="1"/>
  <c r="R18" i="1" s="1"/>
  <c r="N19" i="1"/>
  <c r="N20" i="1"/>
  <c r="N21" i="1"/>
  <c r="N22" i="1"/>
  <c r="N23" i="1"/>
  <c r="N24" i="1"/>
  <c r="N25" i="1"/>
  <c r="O25" i="1" s="1"/>
  <c r="R25" i="1" s="1"/>
  <c r="N26" i="1"/>
  <c r="N27" i="1"/>
  <c r="N28" i="1"/>
  <c r="N29" i="1"/>
  <c r="N30" i="1"/>
  <c r="N31" i="1"/>
  <c r="N32" i="1"/>
  <c r="N33" i="1"/>
  <c r="N34" i="1"/>
  <c r="N35" i="1"/>
  <c r="O35" i="1" s="1"/>
  <c r="R35" i="1" s="1"/>
  <c r="N36" i="1"/>
  <c r="N37" i="1"/>
  <c r="N38" i="1"/>
  <c r="N39" i="1"/>
  <c r="N40" i="1"/>
  <c r="N41" i="1"/>
  <c r="N42" i="1"/>
  <c r="N43" i="1"/>
  <c r="N44" i="1"/>
  <c r="O44" i="1" s="1"/>
  <c r="R44" i="1" s="1"/>
  <c r="N45" i="1"/>
  <c r="N46" i="1"/>
  <c r="N47" i="1"/>
  <c r="N48" i="1"/>
  <c r="N49" i="1"/>
  <c r="N50" i="1"/>
  <c r="O50" i="1" s="1"/>
  <c r="R50" i="1" s="1"/>
  <c r="N51" i="1"/>
  <c r="N52" i="1"/>
  <c r="N53" i="1"/>
  <c r="N54" i="1"/>
  <c r="N55" i="1"/>
  <c r="N56" i="1"/>
  <c r="N57" i="1"/>
  <c r="N58" i="1"/>
  <c r="N59" i="1"/>
  <c r="N60" i="1"/>
  <c r="N61" i="1"/>
  <c r="N62" i="1"/>
  <c r="O62" i="1" s="1"/>
  <c r="R62" i="1" s="1"/>
  <c r="N63" i="1"/>
  <c r="N64" i="1"/>
  <c r="N65" i="1"/>
  <c r="N66" i="1"/>
  <c r="N67" i="1"/>
  <c r="N68" i="1"/>
  <c r="N69" i="1"/>
  <c r="N70" i="1"/>
  <c r="N71" i="1"/>
  <c r="N72" i="1"/>
  <c r="N73" i="1"/>
  <c r="N74" i="1"/>
  <c r="N75" i="1"/>
  <c r="O75" i="1" s="1"/>
  <c r="R75" i="1" s="1"/>
  <c r="N76" i="1"/>
  <c r="N77" i="1"/>
  <c r="N78" i="1"/>
  <c r="N79" i="1"/>
  <c r="O79" i="1" s="1"/>
  <c r="R79" i="1" s="1"/>
  <c r="N80" i="1"/>
  <c r="N81" i="1"/>
  <c r="N82" i="1"/>
  <c r="O82" i="1" s="1"/>
  <c r="R82" i="1" s="1"/>
  <c r="N83" i="1"/>
  <c r="N84" i="1"/>
  <c r="N85" i="1"/>
  <c r="N86" i="1"/>
  <c r="N87" i="1"/>
  <c r="N88" i="1"/>
  <c r="N89" i="1"/>
  <c r="N90" i="1"/>
  <c r="N91" i="1"/>
  <c r="N92" i="1"/>
  <c r="O92" i="1" s="1"/>
  <c r="R92" i="1" s="1"/>
  <c r="N93" i="1"/>
  <c r="N94" i="1"/>
  <c r="N95" i="1"/>
  <c r="N96" i="1"/>
  <c r="N97" i="1"/>
  <c r="O97" i="1" s="1"/>
  <c r="R97" i="1" s="1"/>
  <c r="N98" i="1"/>
  <c r="N99" i="1"/>
  <c r="O99" i="1" s="1"/>
  <c r="R99" i="1" s="1"/>
  <c r="N100" i="1"/>
  <c r="N101" i="1"/>
  <c r="N102" i="1"/>
  <c r="N103" i="1"/>
  <c r="N104" i="1"/>
  <c r="N105" i="1"/>
  <c r="N106" i="1"/>
  <c r="N107" i="1"/>
  <c r="O107" i="1" s="1"/>
  <c r="R107" i="1" s="1"/>
  <c r="N108" i="1"/>
  <c r="N109" i="1"/>
  <c r="N110" i="1"/>
  <c r="N111" i="1"/>
  <c r="N112" i="1"/>
  <c r="N113" i="1"/>
  <c r="N114" i="1"/>
  <c r="O114" i="1" s="1"/>
  <c r="R114" i="1" s="1"/>
  <c r="N115" i="1"/>
  <c r="N116" i="1"/>
  <c r="N117" i="1"/>
  <c r="N118" i="1"/>
  <c r="N119" i="1"/>
  <c r="N120" i="1"/>
  <c r="N121" i="1"/>
  <c r="N122" i="1"/>
  <c r="N123" i="1"/>
  <c r="N124" i="1"/>
  <c r="N125" i="1"/>
  <c r="N126" i="1"/>
  <c r="N127" i="1"/>
  <c r="N128" i="1"/>
  <c r="O128" i="1" s="1"/>
  <c r="R128" i="1" s="1"/>
  <c r="N129" i="1"/>
  <c r="N130" i="1"/>
  <c r="N131" i="1"/>
  <c r="N132" i="1"/>
  <c r="N133" i="1"/>
  <c r="N134" i="1"/>
  <c r="N135" i="1"/>
  <c r="N136" i="1"/>
  <c r="N137" i="1"/>
  <c r="N138" i="1"/>
  <c r="N139" i="1"/>
  <c r="N140" i="1"/>
  <c r="N141" i="1"/>
  <c r="N142" i="1"/>
  <c r="N143" i="1"/>
  <c r="N144" i="1"/>
  <c r="O144" i="1" s="1"/>
  <c r="R144" i="1" s="1"/>
  <c r="N145" i="1"/>
  <c r="N146" i="1"/>
  <c r="N147" i="1"/>
  <c r="O147" i="1" s="1"/>
  <c r="R147" i="1" s="1"/>
  <c r="N148" i="1"/>
  <c r="N149" i="1"/>
  <c r="N150" i="1"/>
  <c r="N151" i="1"/>
  <c r="N152" i="1"/>
  <c r="N153" i="1"/>
  <c r="N154" i="1"/>
  <c r="N155" i="1"/>
  <c r="N156" i="1"/>
  <c r="O156" i="1" s="1"/>
  <c r="R156" i="1" s="1"/>
  <c r="N157" i="1"/>
  <c r="N158" i="1"/>
  <c r="N159" i="1"/>
  <c r="N160" i="1"/>
  <c r="N161" i="1"/>
  <c r="O161" i="1" s="1"/>
  <c r="R161" i="1" s="1"/>
  <c r="N162" i="1"/>
  <c r="O162" i="1" s="1"/>
  <c r="R162" i="1" s="1"/>
  <c r="N163" i="1"/>
  <c r="O163" i="1" s="1"/>
  <c r="R163" i="1" s="1"/>
  <c r="N164" i="1"/>
  <c r="N165" i="1"/>
  <c r="N166" i="1"/>
  <c r="N167" i="1"/>
  <c r="N168" i="1"/>
  <c r="N169" i="1"/>
  <c r="N170" i="1"/>
  <c r="N171" i="1"/>
  <c r="N172" i="1"/>
  <c r="O172" i="1" s="1"/>
  <c r="R172" i="1" s="1"/>
  <c r="N173" i="1"/>
  <c r="N174" i="1"/>
  <c r="N175" i="1"/>
  <c r="N176" i="1"/>
  <c r="N177" i="1"/>
  <c r="N178" i="1"/>
  <c r="O178" i="1" s="1"/>
  <c r="R178" i="1" s="1"/>
  <c r="N179" i="1"/>
  <c r="N180" i="1"/>
  <c r="N181" i="1"/>
  <c r="N182" i="1"/>
  <c r="N183" i="1"/>
  <c r="N184" i="1"/>
  <c r="N185" i="1"/>
  <c r="N186" i="1"/>
  <c r="N187" i="1"/>
  <c r="O187" i="1" s="1"/>
  <c r="R187" i="1" s="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O220" i="1" s="1"/>
  <c r="R220" i="1" s="1"/>
  <c r="N221" i="1"/>
  <c r="N222" i="1"/>
  <c r="N223" i="1"/>
  <c r="N224" i="1"/>
  <c r="O224" i="1" s="1"/>
  <c r="R224" i="1" s="1"/>
  <c r="N225" i="1"/>
  <c r="N226" i="1"/>
  <c r="N227" i="1"/>
  <c r="N228" i="1"/>
  <c r="N229" i="1"/>
  <c r="N230" i="1"/>
  <c r="N231" i="1"/>
  <c r="N232" i="1"/>
  <c r="N233" i="1"/>
  <c r="N234" i="1"/>
  <c r="N235" i="1"/>
  <c r="N236" i="1"/>
  <c r="N237" i="1"/>
  <c r="N238" i="1"/>
  <c r="O238" i="1" s="1"/>
  <c r="R238" i="1" s="1"/>
  <c r="N239" i="1"/>
  <c r="N240" i="1"/>
  <c r="N241" i="1"/>
  <c r="N242" i="1"/>
  <c r="O242" i="1" s="1"/>
  <c r="R242" i="1" s="1"/>
  <c r="N243" i="1"/>
  <c r="O243" i="1" s="1"/>
  <c r="R243" i="1" s="1"/>
  <c r="N244" i="1"/>
  <c r="N245" i="1"/>
  <c r="N246" i="1"/>
  <c r="N247" i="1"/>
  <c r="N248" i="1"/>
  <c r="N249" i="1"/>
  <c r="N250" i="1"/>
  <c r="N251" i="1"/>
  <c r="N252" i="1"/>
  <c r="N253" i="1"/>
  <c r="N254" i="1"/>
  <c r="N255" i="1"/>
  <c r="N256" i="1"/>
  <c r="N257" i="1"/>
  <c r="N258" i="1"/>
  <c r="N259" i="1"/>
  <c r="O259" i="1" s="1"/>
  <c r="R259" i="1" s="1"/>
  <c r="N260" i="1"/>
  <c r="N261" i="1"/>
  <c r="N262" i="1"/>
  <c r="N263" i="1"/>
  <c r="N264" i="1"/>
  <c r="N265" i="1"/>
  <c r="N266" i="1"/>
  <c r="N267" i="1"/>
  <c r="O267" i="1" s="1"/>
  <c r="R267" i="1" s="1"/>
  <c r="N268" i="1"/>
  <c r="N269" i="1"/>
  <c r="N270" i="1"/>
  <c r="N271" i="1"/>
  <c r="N272" i="1"/>
  <c r="N273" i="1"/>
  <c r="N274" i="1"/>
  <c r="N275" i="1"/>
  <c r="N276" i="1"/>
  <c r="N277" i="1"/>
  <c r="N278" i="1"/>
  <c r="N279" i="1"/>
  <c r="N280" i="1"/>
  <c r="N281" i="1"/>
  <c r="N282" i="1"/>
  <c r="N283" i="1"/>
  <c r="N284" i="1"/>
  <c r="O284" i="1" s="1"/>
  <c r="R284" i="1" s="1"/>
  <c r="N285" i="1"/>
  <c r="N286" i="1"/>
  <c r="N287" i="1"/>
  <c r="O287" i="1" s="1"/>
  <c r="R287" i="1" s="1"/>
  <c r="N288" i="1"/>
  <c r="N289" i="1"/>
  <c r="N290" i="1"/>
  <c r="N291" i="1"/>
  <c r="O291" i="1" s="1"/>
  <c r="R291" i="1" s="1"/>
  <c r="N292" i="1"/>
  <c r="N293" i="1"/>
  <c r="N294" i="1"/>
  <c r="N295" i="1"/>
  <c r="N296" i="1"/>
  <c r="N297" i="1"/>
  <c r="N298" i="1"/>
  <c r="N299" i="1"/>
  <c r="N300" i="1"/>
  <c r="O300" i="1" s="1"/>
  <c r="R300" i="1" s="1"/>
  <c r="N301" i="1"/>
  <c r="N302" i="1"/>
  <c r="N303" i="1"/>
  <c r="O303" i="1" s="1"/>
  <c r="R303" i="1" s="1"/>
  <c r="N304" i="1"/>
  <c r="N305" i="1"/>
  <c r="N306" i="1"/>
  <c r="N307" i="1"/>
  <c r="N308" i="1"/>
  <c r="N309" i="1"/>
  <c r="N310" i="1"/>
  <c r="N311" i="1"/>
  <c r="N312" i="1"/>
  <c r="N313" i="1"/>
  <c r="N314" i="1"/>
  <c r="N315" i="1"/>
  <c r="N316" i="1"/>
  <c r="N317" i="1"/>
  <c r="N318" i="1"/>
  <c r="N319" i="1"/>
  <c r="N320" i="1"/>
  <c r="O320" i="1" s="1"/>
  <c r="R320" i="1" s="1"/>
  <c r="N321" i="1"/>
  <c r="N322" i="1"/>
  <c r="O322" i="1" s="1"/>
  <c r="R322" i="1" s="1"/>
  <c r="N323" i="1"/>
  <c r="N324" i="1"/>
  <c r="N325" i="1"/>
  <c r="N326" i="1"/>
  <c r="N327" i="1"/>
  <c r="N328" i="1"/>
  <c r="N329" i="1"/>
  <c r="O329" i="1" s="1"/>
  <c r="R329" i="1" s="1"/>
  <c r="N330" i="1"/>
  <c r="N331" i="1"/>
  <c r="N332" i="1"/>
  <c r="N333" i="1"/>
  <c r="N334" i="1"/>
  <c r="O334" i="1" s="1"/>
  <c r="R334" i="1" s="1"/>
  <c r="N335" i="1"/>
  <c r="N336" i="1"/>
  <c r="O336" i="1" s="1"/>
  <c r="R336" i="1" s="1"/>
  <c r="N337" i="1"/>
  <c r="N338" i="1"/>
  <c r="O338" i="1" s="1"/>
  <c r="R338" i="1" s="1"/>
  <c r="N339" i="1"/>
  <c r="N340" i="1"/>
  <c r="N341" i="1"/>
  <c r="N342" i="1"/>
  <c r="N343" i="1"/>
  <c r="N344" i="1"/>
  <c r="N345" i="1"/>
  <c r="N346" i="1"/>
  <c r="N347" i="1"/>
  <c r="N348" i="1"/>
  <c r="N349" i="1"/>
  <c r="N350" i="1"/>
  <c r="N351" i="1"/>
  <c r="N352" i="1"/>
  <c r="O352" i="1" s="1"/>
  <c r="R352" i="1" s="1"/>
  <c r="N353" i="1"/>
  <c r="N354" i="1"/>
  <c r="O354" i="1" s="1"/>
  <c r="R354" i="1" s="1"/>
  <c r="N355" i="1"/>
  <c r="O355" i="1" s="1"/>
  <c r="R355" i="1" s="1"/>
  <c r="N356" i="1"/>
  <c r="N357" i="1"/>
  <c r="N358" i="1"/>
  <c r="N359" i="1"/>
  <c r="N360" i="1"/>
  <c r="N361" i="1"/>
  <c r="N362" i="1"/>
  <c r="N363" i="1"/>
  <c r="N364" i="1"/>
  <c r="O364" i="1" s="1"/>
  <c r="R364" i="1" s="1"/>
  <c r="N365" i="1"/>
  <c r="N366" i="1"/>
  <c r="O366" i="1" s="1"/>
  <c r="R366" i="1" s="1"/>
  <c r="N367" i="1"/>
  <c r="N368" i="1"/>
  <c r="N369" i="1"/>
  <c r="N370" i="1"/>
  <c r="O370" i="1" s="1"/>
  <c r="R370" i="1" s="1"/>
  <c r="N371" i="1"/>
  <c r="O371" i="1" s="1"/>
  <c r="R371" i="1" s="1"/>
  <c r="N372" i="1"/>
  <c r="N373" i="1"/>
  <c r="N374" i="1"/>
  <c r="N375" i="1"/>
  <c r="N376" i="1"/>
  <c r="N377" i="1"/>
  <c r="N378" i="1"/>
  <c r="N379" i="1"/>
  <c r="O379" i="1" s="1"/>
  <c r="R379" i="1" s="1"/>
  <c r="N380" i="1"/>
  <c r="N381" i="1"/>
  <c r="N382" i="1"/>
  <c r="N383" i="1"/>
  <c r="N384" i="1"/>
  <c r="O384" i="1" s="1"/>
  <c r="R384" i="1" s="1"/>
  <c r="N385" i="1"/>
  <c r="N386" i="1"/>
  <c r="O386" i="1" s="1"/>
  <c r="R386" i="1" s="1"/>
  <c r="N387" i="1"/>
  <c r="O387" i="1" s="1"/>
  <c r="R387" i="1" s="1"/>
  <c r="N388" i="1"/>
  <c r="N389" i="1"/>
  <c r="N390" i="1"/>
  <c r="N391" i="1"/>
  <c r="N392" i="1"/>
  <c r="N393" i="1"/>
  <c r="O393" i="1" s="1"/>
  <c r="R393" i="1" s="1"/>
  <c r="N394" i="1"/>
  <c r="N395" i="1"/>
  <c r="N396" i="1"/>
  <c r="O396" i="1" s="1"/>
  <c r="R396" i="1" s="1"/>
  <c r="N397" i="1"/>
  <c r="N398" i="1"/>
  <c r="N399" i="1"/>
  <c r="N400" i="1"/>
  <c r="O400" i="1" s="1"/>
  <c r="R400" i="1" s="1"/>
  <c r="N401" i="1"/>
  <c r="N402" i="1"/>
  <c r="O402" i="1" s="1"/>
  <c r="R402" i="1" s="1"/>
  <c r="N403" i="1"/>
  <c r="N404" i="1"/>
  <c r="N405" i="1"/>
  <c r="N406" i="1"/>
  <c r="N407" i="1"/>
  <c r="N408" i="1"/>
  <c r="N409" i="1"/>
  <c r="N410" i="1"/>
  <c r="N411" i="1"/>
  <c r="N412" i="1"/>
  <c r="N413" i="1"/>
  <c r="N414" i="1"/>
  <c r="O414" i="1" s="1"/>
  <c r="R414" i="1" s="1"/>
  <c r="N415" i="1"/>
  <c r="N416" i="1"/>
  <c r="O416" i="1" s="1"/>
  <c r="R416" i="1" s="1"/>
  <c r="N417" i="1"/>
  <c r="N418" i="1"/>
  <c r="O418" i="1" s="1"/>
  <c r="R418" i="1" s="1"/>
  <c r="N419" i="1"/>
  <c r="O419" i="1" s="1"/>
  <c r="R419" i="1" s="1"/>
  <c r="N420" i="1"/>
  <c r="N421" i="1"/>
  <c r="N422" i="1"/>
  <c r="N423" i="1"/>
  <c r="N424" i="1"/>
  <c r="N425" i="1"/>
  <c r="N426" i="1"/>
  <c r="N427" i="1"/>
  <c r="N428" i="1"/>
  <c r="N429" i="1"/>
  <c r="N430" i="1"/>
  <c r="N431" i="1"/>
  <c r="O431" i="1" s="1"/>
  <c r="R431" i="1" s="1"/>
  <c r="N432" i="1"/>
  <c r="N433" i="1"/>
  <c r="N434" i="1"/>
  <c r="O434" i="1" s="1"/>
  <c r="R434" i="1" s="1"/>
  <c r="N435" i="1"/>
  <c r="N436" i="1"/>
  <c r="N437" i="1"/>
  <c r="N438" i="1"/>
  <c r="N439" i="1"/>
  <c r="N440" i="1"/>
  <c r="N441" i="1"/>
  <c r="N442" i="1"/>
  <c r="N443" i="1"/>
  <c r="N444" i="1"/>
  <c r="O444" i="1" s="1"/>
  <c r="R444" i="1" s="1"/>
  <c r="N445" i="1"/>
  <c r="N446" i="1"/>
  <c r="O446" i="1" s="1"/>
  <c r="R446" i="1" s="1"/>
  <c r="N447" i="1"/>
  <c r="N448" i="1"/>
  <c r="N449" i="1"/>
  <c r="N450" i="1"/>
  <c r="O450" i="1" s="1"/>
  <c r="R450" i="1" s="1"/>
  <c r="N451" i="1"/>
  <c r="N452" i="1"/>
  <c r="N453" i="1"/>
  <c r="N454" i="1"/>
  <c r="N455" i="1"/>
  <c r="N456" i="1"/>
  <c r="N457" i="1"/>
  <c r="N458" i="1"/>
  <c r="N459" i="1"/>
  <c r="O459" i="1" s="1"/>
  <c r="R459" i="1" s="1"/>
  <c r="N460" i="1"/>
  <c r="N461" i="1"/>
  <c r="N462" i="1"/>
  <c r="N463" i="1"/>
  <c r="N464" i="1"/>
  <c r="O464" i="1" s="1"/>
  <c r="R464" i="1" s="1"/>
  <c r="N465" i="1"/>
  <c r="N466" i="1"/>
  <c r="O466" i="1" s="1"/>
  <c r="R466" i="1" s="1"/>
  <c r="N467" i="1"/>
  <c r="O467" i="1" s="1"/>
  <c r="R467" i="1" s="1"/>
  <c r="N468" i="1"/>
  <c r="N469" i="1"/>
  <c r="N470" i="1"/>
  <c r="N471" i="1"/>
  <c r="N472" i="1"/>
  <c r="N473" i="1"/>
  <c r="N474" i="1"/>
  <c r="N475" i="1"/>
  <c r="N476" i="1"/>
  <c r="O476" i="1" s="1"/>
  <c r="R476" i="1" s="1"/>
  <c r="N477" i="1"/>
  <c r="N478" i="1"/>
  <c r="O478" i="1" s="1"/>
  <c r="R478" i="1" s="1"/>
  <c r="N479" i="1"/>
  <c r="O479" i="1" s="1"/>
  <c r="R479" i="1" s="1"/>
  <c r="N480" i="1"/>
  <c r="O480" i="1" s="1"/>
  <c r="R480" i="1" s="1"/>
  <c r="N481" i="1"/>
  <c r="N482" i="1"/>
  <c r="O482" i="1" s="1"/>
  <c r="R482" i="1" s="1"/>
  <c r="N483" i="1"/>
  <c r="O483" i="1" s="1"/>
  <c r="R483" i="1" s="1"/>
  <c r="N484" i="1"/>
  <c r="N485" i="1"/>
  <c r="N486" i="1"/>
  <c r="N487" i="1"/>
  <c r="N488" i="1"/>
  <c r="N489" i="1"/>
  <c r="N490" i="1"/>
  <c r="N491" i="1"/>
  <c r="N492" i="1"/>
  <c r="N493" i="1"/>
  <c r="N494" i="1"/>
  <c r="O494" i="1" s="1"/>
  <c r="R494" i="1" s="1"/>
  <c r="N495" i="1"/>
  <c r="O495" i="1" s="1"/>
  <c r="R495" i="1" s="1"/>
  <c r="N496" i="1"/>
  <c r="O496" i="1" s="1"/>
  <c r="R496" i="1" s="1"/>
  <c r="N497" i="1"/>
  <c r="N498" i="1"/>
  <c r="O498" i="1" s="1"/>
  <c r="R498" i="1" s="1"/>
  <c r="N499" i="1"/>
  <c r="O499" i="1" s="1"/>
  <c r="R499" i="1" s="1"/>
  <c r="N500" i="1"/>
  <c r="N501" i="1"/>
  <c r="N502" i="1"/>
  <c r="N503" i="1"/>
  <c r="N504" i="1"/>
  <c r="N505" i="1"/>
  <c r="N506" i="1"/>
  <c r="N507" i="1"/>
  <c r="O507" i="1" s="1"/>
  <c r="R507" i="1" s="1"/>
  <c r="N508" i="1"/>
  <c r="O508" i="1" s="1"/>
  <c r="R508" i="1" s="1"/>
  <c r="N509" i="1"/>
  <c r="N510" i="1"/>
  <c r="O510" i="1" s="1"/>
  <c r="R510" i="1" s="1"/>
  <c r="N511" i="1"/>
  <c r="N512" i="1"/>
  <c r="N513" i="1"/>
  <c r="N514" i="1"/>
  <c r="O514" i="1" s="1"/>
  <c r="R514" i="1" s="1"/>
  <c r="N515" i="1"/>
  <c r="N516" i="1"/>
  <c r="N517" i="1"/>
  <c r="N518" i="1"/>
  <c r="N519" i="1"/>
  <c r="N520" i="1"/>
  <c r="N521" i="1"/>
  <c r="N522" i="1"/>
  <c r="N523" i="1"/>
  <c r="O523" i="1" s="1"/>
  <c r="R523" i="1" s="1"/>
  <c r="N524" i="1"/>
  <c r="N525" i="1"/>
  <c r="N526" i="1"/>
  <c r="O526" i="1" s="1"/>
  <c r="R526" i="1" s="1"/>
  <c r="N527" i="1"/>
  <c r="N528" i="1"/>
  <c r="O528" i="1" s="1"/>
  <c r="R528" i="1" s="1"/>
  <c r="N529" i="1"/>
  <c r="N530" i="1"/>
  <c r="O530" i="1" s="1"/>
  <c r="R530" i="1" s="1"/>
  <c r="N531" i="1"/>
  <c r="N532" i="1"/>
  <c r="N533" i="1"/>
  <c r="N534" i="1"/>
  <c r="N535" i="1"/>
  <c r="N536" i="1"/>
  <c r="N537" i="1"/>
  <c r="N538" i="1"/>
  <c r="N539" i="1"/>
  <c r="N540" i="1"/>
  <c r="O540" i="1" s="1"/>
  <c r="R540" i="1" s="1"/>
  <c r="N541" i="1"/>
  <c r="N542" i="1"/>
  <c r="N543" i="1"/>
  <c r="O543" i="1" s="1"/>
  <c r="R543" i="1" s="1"/>
  <c r="N544" i="1"/>
  <c r="O544" i="1" s="1"/>
  <c r="R544" i="1" s="1"/>
  <c r="N545" i="1"/>
  <c r="N546" i="1"/>
  <c r="O546" i="1" s="1"/>
  <c r="R546" i="1" s="1"/>
  <c r="N547" i="1"/>
  <c r="O547" i="1" s="1"/>
  <c r="R547" i="1" s="1"/>
  <c r="N548" i="1"/>
  <c r="N549" i="1"/>
  <c r="N550" i="1"/>
  <c r="N551" i="1"/>
  <c r="N552" i="1"/>
  <c r="N553" i="1"/>
  <c r="N554" i="1"/>
  <c r="N555" i="1"/>
  <c r="N556" i="1"/>
  <c r="O556" i="1" s="1"/>
  <c r="R556" i="1" s="1"/>
  <c r="N557" i="1"/>
  <c r="N558" i="1"/>
  <c r="O558" i="1" s="1"/>
  <c r="R558" i="1" s="1"/>
  <c r="N559" i="1"/>
  <c r="O559" i="1" s="1"/>
  <c r="R559" i="1" s="1"/>
  <c r="N560" i="1"/>
  <c r="O560" i="1" s="1"/>
  <c r="R560" i="1" s="1"/>
  <c r="N561" i="1"/>
  <c r="N562" i="1"/>
  <c r="O562" i="1" s="1"/>
  <c r="R562" i="1" s="1"/>
  <c r="N563" i="1"/>
  <c r="N564" i="1"/>
  <c r="N565" i="1"/>
  <c r="N566" i="1"/>
  <c r="N567" i="1"/>
  <c r="N568" i="1"/>
  <c r="N569" i="1"/>
  <c r="N570" i="1"/>
  <c r="N571" i="1"/>
  <c r="N572" i="1"/>
  <c r="N573" i="1"/>
  <c r="N574" i="1"/>
  <c r="N575" i="1"/>
  <c r="N576" i="1"/>
  <c r="O576" i="1" s="1"/>
  <c r="R576" i="1" s="1"/>
  <c r="N577" i="1"/>
  <c r="N578" i="1"/>
  <c r="O578" i="1" s="1"/>
  <c r="R578" i="1" s="1"/>
  <c r="N579" i="1"/>
  <c r="N580" i="1"/>
  <c r="N581" i="1"/>
  <c r="N582" i="1"/>
  <c r="N583" i="1"/>
  <c r="N584" i="1"/>
  <c r="O584" i="1" s="1"/>
  <c r="R584" i="1" s="1"/>
  <c r="N585" i="1"/>
  <c r="N586" i="1"/>
  <c r="N587" i="1"/>
  <c r="O587" i="1" s="1"/>
  <c r="R587" i="1" s="1"/>
  <c r="N588" i="1"/>
  <c r="O588" i="1" s="1"/>
  <c r="R588" i="1" s="1"/>
  <c r="N589" i="1"/>
  <c r="N590" i="1"/>
  <c r="O590" i="1" s="1"/>
  <c r="R590" i="1" s="1"/>
  <c r="N591" i="1"/>
  <c r="N592" i="1"/>
  <c r="N593" i="1"/>
  <c r="N594" i="1"/>
  <c r="O594" i="1" s="1"/>
  <c r="R594" i="1" s="1"/>
  <c r="N595" i="1"/>
  <c r="N596" i="1"/>
  <c r="N597" i="1"/>
  <c r="N598" i="1"/>
  <c r="N599" i="1"/>
  <c r="N600" i="1"/>
  <c r="O600" i="1" s="1"/>
  <c r="R600" i="1" s="1"/>
  <c r="N601" i="1"/>
  <c r="N602" i="1"/>
  <c r="N603" i="1"/>
  <c r="O603" i="1" s="1"/>
  <c r="R603" i="1" s="1"/>
  <c r="N604" i="1"/>
  <c r="N605" i="1"/>
  <c r="N606" i="1"/>
  <c r="O606" i="1" s="1"/>
  <c r="R606" i="1" s="1"/>
  <c r="N607" i="1"/>
  <c r="N608" i="1"/>
  <c r="O608" i="1" s="1"/>
  <c r="R608" i="1" s="1"/>
  <c r="N609" i="1"/>
  <c r="N610" i="1"/>
  <c r="O610" i="1" s="1"/>
  <c r="R610" i="1" s="1"/>
  <c r="N611" i="1"/>
  <c r="O611" i="1" s="1"/>
  <c r="R611" i="1" s="1"/>
  <c r="N612" i="1"/>
  <c r="N613" i="1"/>
  <c r="N614" i="1"/>
  <c r="N615" i="1"/>
  <c r="N616" i="1"/>
  <c r="O616" i="1" s="1"/>
  <c r="R616" i="1" s="1"/>
  <c r="N617" i="1"/>
  <c r="N618" i="1"/>
  <c r="N619" i="1"/>
  <c r="N620" i="1"/>
  <c r="O620" i="1" s="1"/>
  <c r="R620" i="1" s="1"/>
  <c r="N621" i="1"/>
  <c r="N622" i="1"/>
  <c r="O622" i="1" s="1"/>
  <c r="R622" i="1" s="1"/>
  <c r="N623" i="1"/>
  <c r="N624" i="1"/>
  <c r="O624" i="1" s="1"/>
  <c r="R624" i="1" s="1"/>
  <c r="N625" i="1"/>
  <c r="N626" i="1"/>
  <c r="O626" i="1" s="1"/>
  <c r="R626" i="1" s="1"/>
  <c r="N627" i="1"/>
  <c r="O627" i="1" s="1"/>
  <c r="R627" i="1" s="1"/>
  <c r="N628" i="1"/>
  <c r="N629" i="1"/>
  <c r="N630" i="1"/>
  <c r="N631" i="1"/>
  <c r="N632" i="1"/>
  <c r="N633" i="1"/>
  <c r="N634" i="1"/>
  <c r="N635" i="1"/>
  <c r="N636" i="1"/>
  <c r="O636" i="1" s="1"/>
  <c r="R636" i="1" s="1"/>
  <c r="N637" i="1"/>
  <c r="N638" i="1"/>
  <c r="O638" i="1" s="1"/>
  <c r="R638" i="1" s="1"/>
  <c r="N639" i="1"/>
  <c r="N640" i="1"/>
  <c r="O640" i="1" s="1"/>
  <c r="R640" i="1" s="1"/>
  <c r="N641" i="1"/>
  <c r="N642" i="1"/>
  <c r="O642" i="1" s="1"/>
  <c r="R642" i="1" s="1"/>
  <c r="N643" i="1"/>
  <c r="N644" i="1"/>
  <c r="N645" i="1"/>
  <c r="N646" i="1"/>
  <c r="N647" i="1"/>
  <c r="N648" i="1"/>
  <c r="N649" i="1"/>
  <c r="O649" i="1" s="1"/>
  <c r="R649" i="1" s="1"/>
  <c r="N650" i="1"/>
  <c r="N651" i="1"/>
  <c r="N652" i="1"/>
  <c r="O652" i="1" s="1"/>
  <c r="R652" i="1" s="1"/>
  <c r="N653" i="1"/>
  <c r="N654" i="1"/>
  <c r="N655" i="1"/>
  <c r="O655" i="1" s="1"/>
  <c r="R655" i="1" s="1"/>
  <c r="N656" i="1"/>
  <c r="O656" i="1" s="1"/>
  <c r="R656" i="1" s="1"/>
  <c r="N657" i="1"/>
  <c r="N658" i="1"/>
  <c r="O658" i="1" s="1"/>
  <c r="R658" i="1" s="1"/>
  <c r="N659" i="1"/>
  <c r="N660" i="1"/>
  <c r="N661" i="1"/>
  <c r="N662" i="1"/>
  <c r="N663" i="1"/>
  <c r="N664" i="1"/>
  <c r="N665" i="1"/>
  <c r="O665" i="1" s="1"/>
  <c r="R665" i="1" s="1"/>
  <c r="N666" i="1"/>
  <c r="N667" i="1"/>
  <c r="N668" i="1"/>
  <c r="O668" i="1" s="1"/>
  <c r="R668" i="1" s="1"/>
  <c r="N669" i="1"/>
  <c r="N670" i="1"/>
  <c r="O670" i="1" s="1"/>
  <c r="R670" i="1" s="1"/>
  <c r="N671" i="1"/>
  <c r="N672" i="1"/>
  <c r="O672" i="1" s="1"/>
  <c r="R672" i="1" s="1"/>
  <c r="N673" i="1"/>
  <c r="N674" i="1"/>
  <c r="O674" i="1" s="1"/>
  <c r="R674" i="1" s="1"/>
  <c r="N675" i="1"/>
  <c r="N676" i="1"/>
  <c r="N677" i="1"/>
  <c r="N678" i="1"/>
  <c r="N679" i="1"/>
  <c r="N680" i="1"/>
  <c r="N681" i="1"/>
  <c r="N682" i="1"/>
  <c r="N683" i="1"/>
  <c r="O683" i="1" s="1"/>
  <c r="R683" i="1" s="1"/>
  <c r="N684" i="1"/>
  <c r="N685" i="1"/>
  <c r="N686" i="1"/>
  <c r="O686" i="1" s="1"/>
  <c r="R686" i="1" s="1"/>
  <c r="N687" i="1"/>
  <c r="N688" i="1"/>
  <c r="O688" i="1" s="1"/>
  <c r="R688" i="1" s="1"/>
  <c r="N689" i="1"/>
  <c r="N690" i="1"/>
  <c r="O690" i="1" s="1"/>
  <c r="R690" i="1" s="1"/>
  <c r="N691" i="1"/>
  <c r="N692" i="1"/>
  <c r="N693" i="1"/>
  <c r="N694" i="1"/>
  <c r="N695" i="1"/>
  <c r="N696" i="1"/>
  <c r="O696" i="1" s="1"/>
  <c r="R696" i="1" s="1"/>
  <c r="N697" i="1"/>
  <c r="N698" i="1"/>
  <c r="N699" i="1"/>
  <c r="N700" i="1"/>
  <c r="N701" i="1"/>
  <c r="N702" i="1"/>
  <c r="O702" i="1" s="1"/>
  <c r="N703" i="1"/>
  <c r="O703" i="1" s="1"/>
  <c r="R703" i="1" s="1"/>
  <c r="N704" i="1"/>
  <c r="O704" i="1" s="1"/>
  <c r="R704" i="1" s="1"/>
  <c r="N705" i="1"/>
  <c r="O705" i="1" s="1"/>
  <c r="R705" i="1" s="1"/>
  <c r="N706" i="1"/>
  <c r="O706" i="1" s="1"/>
  <c r="R706" i="1" s="1"/>
  <c r="N707" i="1"/>
  <c r="O707" i="1" s="1"/>
  <c r="R707" i="1" s="1"/>
  <c r="N708" i="1"/>
  <c r="N709" i="1"/>
  <c r="N710" i="1"/>
  <c r="N711" i="1"/>
  <c r="N712" i="1"/>
  <c r="O712" i="1" s="1"/>
  <c r="R712" i="1" s="1"/>
  <c r="N713" i="1"/>
  <c r="N714" i="1"/>
  <c r="N715" i="1"/>
  <c r="O715" i="1" s="1"/>
  <c r="R715" i="1" s="1"/>
  <c r="N716" i="1"/>
  <c r="O716" i="1" s="1"/>
  <c r="R716" i="1" s="1"/>
  <c r="N717" i="1"/>
  <c r="N718" i="1"/>
  <c r="O718" i="1" s="1"/>
  <c r="R718" i="1" s="1"/>
  <c r="N719" i="1"/>
  <c r="N720" i="1"/>
  <c r="O720" i="1" s="1"/>
  <c r="R720" i="1" s="1"/>
  <c r="N721" i="1"/>
  <c r="N722" i="1"/>
  <c r="O722" i="1" s="1"/>
  <c r="R722" i="1" s="1"/>
  <c r="N723" i="1"/>
  <c r="N724" i="1"/>
  <c r="N725" i="1"/>
  <c r="N726" i="1"/>
  <c r="N727" i="1"/>
  <c r="N728" i="1"/>
  <c r="N729" i="1"/>
  <c r="N730" i="1"/>
  <c r="N731" i="1"/>
  <c r="N732" i="1"/>
  <c r="N733" i="1"/>
  <c r="N734" i="1"/>
  <c r="N735" i="1"/>
  <c r="O735" i="1" s="1"/>
  <c r="R735" i="1" s="1"/>
  <c r="N736" i="1"/>
  <c r="N737" i="1"/>
  <c r="N738" i="1"/>
  <c r="N739" i="1"/>
  <c r="N740" i="1"/>
  <c r="N741" i="1"/>
  <c r="N742" i="1"/>
  <c r="N743" i="1"/>
  <c r="N744" i="1"/>
  <c r="N745" i="1"/>
  <c r="N746" i="1"/>
  <c r="N747" i="1"/>
  <c r="N748" i="1"/>
  <c r="N749" i="1"/>
  <c r="N750" i="1"/>
  <c r="N751" i="1"/>
  <c r="N752" i="1"/>
  <c r="O752" i="1" s="1"/>
  <c r="R752" i="1" s="1"/>
  <c r="N753" i="1"/>
  <c r="N754" i="1"/>
  <c r="O754" i="1" s="1"/>
  <c r="R754" i="1" s="1"/>
  <c r="N755" i="1"/>
  <c r="O755" i="1" s="1"/>
  <c r="R755" i="1" s="1"/>
  <c r="N756" i="1"/>
  <c r="N757" i="1"/>
  <c r="N758" i="1"/>
  <c r="N759" i="1"/>
  <c r="N760" i="1"/>
  <c r="N761" i="1"/>
  <c r="N762" i="1"/>
  <c r="N763" i="1"/>
  <c r="N764" i="1"/>
  <c r="N765" i="1"/>
  <c r="N766" i="1"/>
  <c r="N767" i="1"/>
  <c r="N768" i="1"/>
  <c r="O768" i="1" s="1"/>
  <c r="R768" i="1" s="1"/>
  <c r="N769" i="1"/>
  <c r="O769" i="1" s="1"/>
  <c r="R769" i="1" s="1"/>
  <c r="N770" i="1"/>
  <c r="N771" i="1"/>
  <c r="N772" i="1"/>
  <c r="N773" i="1"/>
  <c r="N774" i="1"/>
  <c r="N775" i="1"/>
  <c r="N776" i="1"/>
  <c r="N777" i="1"/>
  <c r="N778" i="1"/>
  <c r="N779" i="1"/>
  <c r="N780" i="1"/>
  <c r="N781" i="1"/>
  <c r="N782" i="1"/>
  <c r="N783" i="1"/>
  <c r="O783" i="1" s="1"/>
  <c r="R783" i="1" s="1"/>
  <c r="N784" i="1"/>
  <c r="O784" i="1" s="1"/>
  <c r="R784" i="1" s="1"/>
  <c r="N785" i="1"/>
  <c r="O785" i="1" s="1"/>
  <c r="R785" i="1" s="1"/>
  <c r="N786" i="1"/>
  <c r="O786" i="1" s="1"/>
  <c r="R786" i="1" s="1"/>
  <c r="N787" i="1"/>
  <c r="O787" i="1" s="1"/>
  <c r="R787" i="1" s="1"/>
  <c r="N788" i="1"/>
  <c r="N789" i="1"/>
  <c r="N790" i="1"/>
  <c r="N791" i="1"/>
  <c r="N792" i="1"/>
  <c r="N793" i="1"/>
  <c r="O793" i="1" s="1"/>
  <c r="R793" i="1" s="1"/>
  <c r="N794" i="1"/>
  <c r="N795" i="1"/>
  <c r="N796" i="1"/>
  <c r="N797" i="1"/>
  <c r="N798" i="1"/>
  <c r="N799" i="1"/>
  <c r="O799" i="1" s="1"/>
  <c r="R799" i="1" s="1"/>
  <c r="N800" i="1"/>
  <c r="O800" i="1" s="1"/>
  <c r="R800" i="1" s="1"/>
  <c r="N801" i="1"/>
  <c r="O801" i="1" s="1"/>
  <c r="R801" i="1" s="1"/>
  <c r="N802" i="1"/>
  <c r="O802" i="1" s="1"/>
  <c r="R802" i="1" s="1"/>
  <c r="N803" i="1"/>
  <c r="O803" i="1" s="1"/>
  <c r="R803" i="1" s="1"/>
  <c r="N804" i="1"/>
  <c r="N805" i="1"/>
  <c r="N806" i="1"/>
  <c r="N807" i="1"/>
  <c r="N808" i="1"/>
  <c r="N809" i="1"/>
  <c r="O809" i="1" s="1"/>
  <c r="R809" i="1" s="1"/>
  <c r="N810" i="1"/>
  <c r="N811" i="1"/>
  <c r="O811" i="1" s="1"/>
  <c r="R811" i="1" s="1"/>
  <c r="N812" i="1"/>
  <c r="N813" i="1"/>
  <c r="N814" i="1"/>
  <c r="N815" i="1"/>
  <c r="O815" i="1" s="1"/>
  <c r="R815" i="1" s="1"/>
  <c r="N816" i="1"/>
  <c r="N817" i="1"/>
  <c r="O817" i="1" s="1"/>
  <c r="R817" i="1" s="1"/>
  <c r="N818" i="1"/>
  <c r="N819" i="1"/>
  <c r="O819" i="1" s="1"/>
  <c r="R819" i="1" s="1"/>
  <c r="N820" i="1"/>
  <c r="N821" i="1"/>
  <c r="N822" i="1"/>
  <c r="N823" i="1"/>
  <c r="N824" i="1"/>
  <c r="N825" i="1"/>
  <c r="N826" i="1"/>
  <c r="N827" i="1"/>
  <c r="O827" i="1" s="1"/>
  <c r="N828" i="1"/>
  <c r="N829" i="1"/>
  <c r="N830" i="1"/>
  <c r="N831" i="1"/>
  <c r="O831" i="1" s="1"/>
  <c r="R831" i="1" s="1"/>
  <c r="N832" i="1"/>
  <c r="O832" i="1" s="1"/>
  <c r="R832" i="1" s="1"/>
  <c r="N833" i="1"/>
  <c r="O833" i="1" s="1"/>
  <c r="R833" i="1" s="1"/>
  <c r="N834" i="1"/>
  <c r="N835" i="1"/>
  <c r="O835" i="1" s="1"/>
  <c r="R835" i="1" s="1"/>
  <c r="N836" i="1"/>
  <c r="N837" i="1"/>
  <c r="N838" i="1"/>
  <c r="N839" i="1"/>
  <c r="N840" i="1"/>
  <c r="N841" i="1"/>
  <c r="N842" i="1"/>
  <c r="N843" i="1"/>
  <c r="N844" i="1"/>
  <c r="N845" i="1"/>
  <c r="N846" i="1"/>
  <c r="N847" i="1"/>
  <c r="O847" i="1" s="1"/>
  <c r="R847" i="1" s="1"/>
  <c r="N848" i="1"/>
  <c r="O848" i="1" s="1"/>
  <c r="R848" i="1" s="1"/>
  <c r="N849" i="1"/>
  <c r="O849" i="1" s="1"/>
  <c r="R849" i="1" s="1"/>
  <c r="N850" i="1"/>
  <c r="O850" i="1" s="1"/>
  <c r="R850" i="1" s="1"/>
  <c r="N851" i="1"/>
  <c r="O851" i="1" s="1"/>
  <c r="R851" i="1" s="1"/>
  <c r="N852" i="1"/>
  <c r="N853" i="1"/>
  <c r="N854" i="1"/>
  <c r="N855" i="1"/>
  <c r="N856" i="1"/>
  <c r="N857" i="1"/>
  <c r="N858" i="1"/>
  <c r="N859" i="1"/>
  <c r="N860" i="1"/>
  <c r="N861" i="1"/>
  <c r="N862" i="1"/>
  <c r="O862" i="1" s="1"/>
  <c r="R862" i="1" s="1"/>
  <c r="N863" i="1"/>
  <c r="O863" i="1" s="1"/>
  <c r="R863" i="1" s="1"/>
  <c r="N864" i="1"/>
  <c r="N865" i="1"/>
  <c r="O865" i="1" s="1"/>
  <c r="R865" i="1" s="1"/>
  <c r="N866" i="1"/>
  <c r="N867" i="1"/>
  <c r="O867" i="1" s="1"/>
  <c r="R867" i="1" s="1"/>
  <c r="N868" i="1"/>
  <c r="N869" i="1"/>
  <c r="N870" i="1"/>
  <c r="N871" i="1"/>
  <c r="N872" i="1"/>
  <c r="N873" i="1"/>
  <c r="N874" i="1"/>
  <c r="N875" i="1"/>
  <c r="O875" i="1" s="1"/>
  <c r="R875" i="1" s="1"/>
  <c r="N876" i="1"/>
  <c r="N877" i="1"/>
  <c r="N878" i="1"/>
  <c r="O878" i="1" s="1"/>
  <c r="R878" i="1" s="1"/>
  <c r="N879" i="1"/>
  <c r="O879" i="1" s="1"/>
  <c r="R879" i="1" s="1"/>
  <c r="N880" i="1"/>
  <c r="O880" i="1" s="1"/>
  <c r="R880" i="1" s="1"/>
  <c r="N881" i="1"/>
  <c r="O881" i="1" s="1"/>
  <c r="R881" i="1" s="1"/>
  <c r="N882" i="1"/>
  <c r="O882" i="1" s="1"/>
  <c r="R882" i="1" s="1"/>
  <c r="N883" i="1"/>
  <c r="O883" i="1" s="1"/>
  <c r="R883" i="1" s="1"/>
  <c r="N884" i="1"/>
  <c r="N885" i="1"/>
  <c r="N886" i="1"/>
  <c r="N887" i="1"/>
  <c r="N888" i="1"/>
  <c r="N889" i="1"/>
  <c r="O889" i="1" s="1"/>
  <c r="R889" i="1" s="1"/>
  <c r="N890" i="1"/>
  <c r="N891" i="1"/>
  <c r="N892" i="1"/>
  <c r="O892" i="1" s="1"/>
  <c r="R892" i="1" s="1"/>
  <c r="N893" i="1"/>
  <c r="N894" i="1"/>
  <c r="N895" i="1"/>
  <c r="O895" i="1" s="1"/>
  <c r="R895" i="1" s="1"/>
  <c r="N896" i="1"/>
  <c r="N897" i="1"/>
  <c r="O897" i="1" s="1"/>
  <c r="R897" i="1" s="1"/>
  <c r="N898" i="1"/>
  <c r="N899" i="1"/>
  <c r="O899" i="1" s="1"/>
  <c r="R899" i="1" s="1"/>
  <c r="N900" i="1"/>
  <c r="N901" i="1"/>
  <c r="N902" i="1"/>
  <c r="N903" i="1"/>
  <c r="N904" i="1"/>
  <c r="O904" i="1" s="1"/>
  <c r="R904" i="1" s="1"/>
  <c r="N905" i="1"/>
  <c r="N906" i="1"/>
  <c r="N907" i="1"/>
  <c r="N908" i="1"/>
  <c r="N909" i="1"/>
  <c r="N910" i="1"/>
  <c r="N911" i="1"/>
  <c r="O911" i="1" s="1"/>
  <c r="R911" i="1" s="1"/>
  <c r="N912" i="1"/>
  <c r="N913" i="1"/>
  <c r="O913" i="1" s="1"/>
  <c r="R913" i="1" s="1"/>
  <c r="N914" i="1"/>
  <c r="O914" i="1" s="1"/>
  <c r="R914" i="1" s="1"/>
  <c r="N915" i="1"/>
  <c r="O915" i="1" s="1"/>
  <c r="R915" i="1" s="1"/>
  <c r="N916" i="1"/>
  <c r="N917" i="1"/>
  <c r="N918" i="1"/>
  <c r="N919" i="1"/>
  <c r="N920" i="1"/>
  <c r="N921" i="1"/>
  <c r="O921" i="1" s="1"/>
  <c r="R921" i="1" s="1"/>
  <c r="N922" i="1"/>
  <c r="N923" i="1"/>
  <c r="N924" i="1"/>
  <c r="O924" i="1" s="1"/>
  <c r="R924" i="1" s="1"/>
  <c r="N925" i="1"/>
  <c r="N926" i="1"/>
  <c r="N927" i="1"/>
  <c r="O927" i="1" s="1"/>
  <c r="R927" i="1" s="1"/>
  <c r="N928" i="1"/>
  <c r="N929" i="1"/>
  <c r="O929" i="1" s="1"/>
  <c r="R929" i="1" s="1"/>
  <c r="N930" i="1"/>
  <c r="O930" i="1" s="1"/>
  <c r="R930" i="1" s="1"/>
  <c r="N931" i="1"/>
  <c r="N932" i="1"/>
  <c r="N933" i="1"/>
  <c r="N934" i="1"/>
  <c r="N935" i="1"/>
  <c r="N936" i="1"/>
  <c r="N937" i="1"/>
  <c r="N938" i="1"/>
  <c r="N939" i="1"/>
  <c r="N940" i="1"/>
  <c r="O940" i="1" s="1"/>
  <c r="R940" i="1" s="1"/>
  <c r="N941" i="1"/>
  <c r="N942" i="1"/>
  <c r="N943" i="1"/>
  <c r="N944" i="1"/>
  <c r="O944" i="1" s="1"/>
  <c r="R944" i="1" s="1"/>
  <c r="N945" i="1"/>
  <c r="N946" i="1"/>
  <c r="O946" i="1" s="1"/>
  <c r="R946" i="1" s="1"/>
  <c r="N947" i="1"/>
  <c r="N948" i="1"/>
  <c r="N949" i="1"/>
  <c r="N950" i="1"/>
  <c r="N951" i="1"/>
  <c r="N952" i="1"/>
  <c r="N953" i="1"/>
  <c r="N954" i="1"/>
  <c r="N955" i="1"/>
  <c r="O955" i="1" s="1"/>
  <c r="R955" i="1" s="1"/>
  <c r="N956" i="1"/>
  <c r="N957" i="1"/>
  <c r="N958" i="1"/>
  <c r="N959" i="1"/>
  <c r="O959" i="1" s="1"/>
  <c r="R959" i="1" s="1"/>
  <c r="N960" i="1"/>
  <c r="N961" i="1"/>
  <c r="N962" i="1"/>
  <c r="N963" i="1"/>
  <c r="N964" i="1"/>
  <c r="N965" i="1"/>
  <c r="N966" i="1"/>
  <c r="N967" i="1"/>
  <c r="N968" i="1"/>
  <c r="O968" i="1" s="1"/>
  <c r="R968" i="1" s="1"/>
  <c r="N969" i="1"/>
  <c r="O969" i="1" s="1"/>
  <c r="R969" i="1" s="1"/>
  <c r="N970" i="1"/>
  <c r="N971" i="1"/>
  <c r="N972" i="1"/>
  <c r="N973" i="1"/>
  <c r="N974" i="1"/>
  <c r="N975" i="1"/>
  <c r="O975" i="1" s="1"/>
  <c r="R975" i="1" s="1"/>
  <c r="N976" i="1"/>
  <c r="N977" i="1"/>
  <c r="N978" i="1"/>
  <c r="N979" i="1"/>
  <c r="N980" i="1"/>
  <c r="N981" i="1"/>
  <c r="N982" i="1"/>
  <c r="N983" i="1"/>
  <c r="N984" i="1"/>
  <c r="O984" i="1" s="1"/>
  <c r="R984" i="1" s="1"/>
  <c r="N985" i="1"/>
  <c r="N986" i="1"/>
  <c r="N987" i="1"/>
  <c r="N988" i="1"/>
  <c r="N989" i="1"/>
  <c r="N990" i="1"/>
  <c r="N991" i="1"/>
  <c r="O991" i="1" s="1"/>
  <c r="R991" i="1" s="1"/>
  <c r="N992" i="1"/>
  <c r="O992" i="1" s="1"/>
  <c r="R992" i="1" s="1"/>
  <c r="N993" i="1"/>
  <c r="N994" i="1"/>
  <c r="N995" i="1"/>
  <c r="N996" i="1"/>
  <c r="N997" i="1"/>
  <c r="N998" i="1"/>
  <c r="N999" i="1"/>
  <c r="N1000" i="1"/>
  <c r="N1001" i="1"/>
  <c r="N1002" i="1"/>
  <c r="N1003" i="1"/>
  <c r="N1004" i="1"/>
  <c r="N1005" i="1"/>
  <c r="N1006" i="1"/>
  <c r="O1006" i="1" s="1"/>
  <c r="R1006" i="1" s="1"/>
  <c r="N1007" i="1"/>
  <c r="N1008" i="1"/>
  <c r="N1009" i="1"/>
  <c r="N1010" i="1"/>
  <c r="N1011" i="1"/>
  <c r="N1012" i="1"/>
  <c r="N1013" i="1"/>
  <c r="N1014" i="1"/>
  <c r="N1015" i="1"/>
  <c r="N1016" i="1"/>
  <c r="O1016" i="1" s="1"/>
  <c r="R1016" i="1" s="1"/>
  <c r="N1017" i="1"/>
  <c r="N1018" i="1"/>
  <c r="N1019" i="1"/>
  <c r="O1019" i="1" s="1"/>
  <c r="R1019" i="1" s="1"/>
  <c r="N1020" i="1"/>
  <c r="N1021" i="1"/>
  <c r="N1022" i="1"/>
  <c r="N1023" i="1"/>
  <c r="O1023" i="1" s="1"/>
  <c r="R1023" i="1" s="1"/>
  <c r="N1024" i="1"/>
  <c r="O1024" i="1" s="1"/>
  <c r="R1024" i="1" s="1"/>
  <c r="N1025" i="1"/>
  <c r="N1026" i="1"/>
  <c r="N1027" i="1"/>
  <c r="N1028" i="1"/>
  <c r="N1029" i="1"/>
  <c r="N1030" i="1"/>
  <c r="N1031" i="1"/>
  <c r="N1032" i="1"/>
  <c r="N1033" i="1"/>
  <c r="N1034" i="1"/>
  <c r="N1035" i="1"/>
  <c r="N1036" i="1"/>
  <c r="O1036" i="1" s="1"/>
  <c r="R1036" i="1" s="1"/>
  <c r="N1037" i="1"/>
  <c r="N1038" i="1"/>
  <c r="N1039" i="1"/>
  <c r="O1039" i="1" s="1"/>
  <c r="R1039" i="1" s="1"/>
  <c r="N1040" i="1"/>
  <c r="N1041" i="1"/>
  <c r="N1042" i="1"/>
  <c r="O1042" i="1" s="1"/>
  <c r="R1042" i="1" s="1"/>
  <c r="N1043" i="1"/>
  <c r="N1044" i="1"/>
  <c r="N1045" i="1"/>
  <c r="N1046" i="1"/>
  <c r="N1047" i="1"/>
  <c r="N1048" i="1"/>
  <c r="N1049" i="1"/>
  <c r="N1050" i="1"/>
  <c r="N1051" i="1"/>
  <c r="N1052" i="1"/>
  <c r="N1053" i="1"/>
  <c r="N1054" i="1"/>
  <c r="N1055" i="1"/>
  <c r="O1055" i="1" s="1"/>
  <c r="R1055" i="1" s="1"/>
  <c r="N1056" i="1"/>
  <c r="N1057" i="1"/>
  <c r="N1058" i="1"/>
  <c r="N1059" i="1"/>
  <c r="N1060" i="1"/>
  <c r="N1061" i="1"/>
  <c r="N1062" i="1"/>
  <c r="N1063" i="1"/>
  <c r="N1064" i="1"/>
  <c r="O1064" i="1" s="1"/>
  <c r="R1064" i="1" s="1"/>
  <c r="N1065" i="1"/>
  <c r="N1066" i="1"/>
  <c r="N1067" i="1"/>
  <c r="N1068" i="1"/>
  <c r="O1068" i="1" s="1"/>
  <c r="R1068" i="1" s="1"/>
  <c r="N1069" i="1"/>
  <c r="N1070" i="1"/>
  <c r="N1071" i="1"/>
  <c r="O1071" i="1" s="1"/>
  <c r="R1071" i="1" s="1"/>
  <c r="N1072" i="1"/>
  <c r="N1073" i="1"/>
  <c r="N1074" i="1"/>
  <c r="N1075" i="1"/>
  <c r="N1076" i="1"/>
  <c r="N1077" i="1"/>
  <c r="N1078" i="1"/>
  <c r="N1079" i="1"/>
  <c r="N1080" i="1"/>
  <c r="N1081" i="1"/>
  <c r="N1082" i="1"/>
  <c r="N1083" i="1"/>
  <c r="N1084" i="1"/>
  <c r="N1085" i="1"/>
  <c r="N1086" i="1"/>
  <c r="N1087" i="1"/>
  <c r="O1087" i="1" s="1"/>
  <c r="R1087" i="1" s="1"/>
  <c r="N1088" i="1"/>
  <c r="N1089" i="1"/>
  <c r="N1090" i="1"/>
  <c r="O1090" i="1" s="1"/>
  <c r="R1090" i="1" s="1"/>
  <c r="N1091" i="1"/>
  <c r="N1092" i="1"/>
  <c r="N1093" i="1"/>
  <c r="N1094" i="1"/>
  <c r="N1095" i="1"/>
  <c r="N1096" i="1"/>
  <c r="N1097" i="1"/>
  <c r="N1098" i="1"/>
  <c r="N1099" i="1"/>
  <c r="O1099" i="1" s="1"/>
  <c r="R1099" i="1" s="1"/>
  <c r="N1100" i="1"/>
  <c r="N1101" i="1"/>
  <c r="N1102" i="1"/>
  <c r="N1103" i="1"/>
  <c r="N1104" i="1"/>
  <c r="O1104" i="1" s="1"/>
  <c r="R1104" i="1" s="1"/>
  <c r="N1105" i="1"/>
  <c r="N1106" i="1"/>
  <c r="N1107" i="1"/>
  <c r="N1108" i="1"/>
  <c r="N1109" i="1"/>
  <c r="N1110" i="1"/>
  <c r="N1111" i="1"/>
  <c r="N1112" i="1"/>
  <c r="N1113" i="1"/>
  <c r="O1113" i="1" s="1"/>
  <c r="R1113" i="1" s="1"/>
  <c r="N1114" i="1"/>
  <c r="N1115" i="1"/>
  <c r="N1116" i="1"/>
  <c r="N1117" i="1"/>
  <c r="N1118" i="1"/>
  <c r="N1119" i="1"/>
  <c r="O1119" i="1" s="1"/>
  <c r="R1119" i="1" s="1"/>
  <c r="N1120" i="1"/>
  <c r="N1121" i="1"/>
  <c r="N1122" i="1"/>
  <c r="O1122" i="1" s="1"/>
  <c r="R1122" i="1" s="1"/>
  <c r="N1123" i="1"/>
  <c r="N1124" i="1"/>
  <c r="N1125" i="1"/>
  <c r="N1126" i="1"/>
  <c r="N1127" i="1"/>
  <c r="N1128" i="1"/>
  <c r="N1129" i="1"/>
  <c r="O1129" i="1" s="1"/>
  <c r="R1129" i="1" s="1"/>
  <c r="N1130" i="1"/>
  <c r="N1131" i="1"/>
  <c r="N1132" i="1"/>
  <c r="N1133" i="1"/>
  <c r="N1134" i="1"/>
  <c r="N1135" i="1"/>
  <c r="O1135" i="1" s="1"/>
  <c r="R1135" i="1" s="1"/>
  <c r="N1136" i="1"/>
  <c r="O1136" i="1" s="1"/>
  <c r="R1136" i="1" s="1"/>
  <c r="N1137" i="1"/>
  <c r="N1138" i="1"/>
  <c r="O1138" i="1" s="1"/>
  <c r="R1138" i="1" s="1"/>
  <c r="N1139" i="1"/>
  <c r="N1140" i="1"/>
  <c r="N1141" i="1"/>
  <c r="N1142" i="1"/>
  <c r="N1143" i="1"/>
  <c r="N1144" i="1"/>
  <c r="N1145" i="1"/>
  <c r="N1146" i="1"/>
  <c r="N1147" i="1"/>
  <c r="N1148" i="1"/>
  <c r="O1148" i="1" s="1"/>
  <c r="R1148" i="1" s="1"/>
  <c r="N1149" i="1"/>
  <c r="N1150" i="1"/>
  <c r="N1151" i="1"/>
  <c r="O1151" i="1" s="1"/>
  <c r="R1151" i="1" s="1"/>
  <c r="N1152" i="1"/>
  <c r="N1153" i="1"/>
  <c r="N1154" i="1"/>
  <c r="N1155" i="1"/>
  <c r="N1156" i="1"/>
  <c r="N1157" i="1"/>
  <c r="N1158" i="1"/>
  <c r="N1159" i="1"/>
  <c r="N1160" i="1"/>
  <c r="N1161" i="1"/>
  <c r="O1161" i="1" s="1"/>
  <c r="R1161" i="1" s="1"/>
  <c r="N1162" i="1"/>
  <c r="N1163" i="1"/>
  <c r="N1164" i="1"/>
  <c r="N1165" i="1"/>
  <c r="N1166" i="1"/>
  <c r="N1167" i="1"/>
  <c r="O1167" i="1" s="1"/>
  <c r="R1167" i="1" s="1"/>
  <c r="N1168" i="1"/>
  <c r="N1169" i="1"/>
  <c r="N1170" i="1"/>
  <c r="N1171" i="1"/>
  <c r="N1172" i="1"/>
  <c r="N1173" i="1"/>
  <c r="N1174" i="1"/>
  <c r="N1175" i="1"/>
  <c r="N1176" i="1"/>
  <c r="N1177" i="1"/>
  <c r="N1178" i="1"/>
  <c r="N1179" i="1"/>
  <c r="N1180" i="1"/>
  <c r="N1181" i="1"/>
  <c r="N1182" i="1"/>
  <c r="N1183" i="1"/>
  <c r="O1183" i="1" s="1"/>
  <c r="R1183" i="1" s="1"/>
  <c r="N1184" i="1"/>
  <c r="N1185" i="1"/>
  <c r="N1186" i="1"/>
  <c r="O1186" i="1" s="1"/>
  <c r="R1186" i="1" s="1"/>
  <c r="N1187" i="1"/>
  <c r="N1188" i="1"/>
  <c r="N1189" i="1"/>
  <c r="N1190" i="1"/>
  <c r="N1191" i="1"/>
  <c r="N1192" i="1"/>
  <c r="N1193" i="1"/>
  <c r="N1194" i="1"/>
  <c r="N1195" i="1"/>
  <c r="N1196" i="1"/>
  <c r="N1197" i="1"/>
  <c r="N1198" i="1"/>
  <c r="N1199" i="1"/>
  <c r="O1199" i="1" s="1"/>
  <c r="R1199" i="1" s="1"/>
  <c r="N1200" i="1"/>
  <c r="O1200" i="1" s="1"/>
  <c r="R1200" i="1" s="1"/>
  <c r="N1201" i="1"/>
  <c r="N1202" i="1"/>
  <c r="N1203" i="1"/>
  <c r="N1204" i="1"/>
  <c r="N1205" i="1"/>
  <c r="N1206" i="1"/>
  <c r="N1207" i="1"/>
  <c r="N1208" i="1"/>
  <c r="N1209" i="1"/>
  <c r="O1209" i="1" s="1"/>
  <c r="R1209" i="1" s="1"/>
  <c r="N1210" i="1"/>
  <c r="N1211" i="1"/>
  <c r="N1212" i="1"/>
  <c r="O1212" i="1" s="1"/>
  <c r="R1212" i="1" s="1"/>
  <c r="N1213" i="1"/>
  <c r="N1214" i="1"/>
  <c r="N1215" i="1"/>
  <c r="O1215" i="1" s="1"/>
  <c r="R1215" i="1" s="1"/>
  <c r="N1216" i="1"/>
  <c r="N1217" i="1"/>
  <c r="N1218" i="1"/>
  <c r="O1218" i="1" s="1"/>
  <c r="R1218" i="1" s="1"/>
  <c r="N1219" i="1"/>
  <c r="N1220" i="1"/>
  <c r="N1221" i="1"/>
  <c r="N1222" i="1"/>
  <c r="N1223" i="1"/>
  <c r="N1224" i="1"/>
  <c r="N1225" i="1"/>
  <c r="N1226" i="1"/>
  <c r="N1227" i="1"/>
  <c r="N1228" i="1"/>
  <c r="N1229" i="1"/>
  <c r="N1230" i="1"/>
  <c r="N1231" i="1"/>
  <c r="O1231" i="1" s="1"/>
  <c r="R1231" i="1" s="1"/>
  <c r="N1232" i="1"/>
  <c r="N1233" i="1"/>
  <c r="N1234" i="1"/>
  <c r="N1235" i="1"/>
  <c r="N1236" i="1"/>
  <c r="N1237" i="1"/>
  <c r="N1238" i="1"/>
  <c r="N1239" i="1"/>
  <c r="N1240" i="1"/>
  <c r="N1241" i="1"/>
  <c r="O1241" i="1" s="1"/>
  <c r="R1241" i="1" s="1"/>
  <c r="N1242" i="1"/>
  <c r="N1243" i="1"/>
  <c r="N1244" i="1"/>
  <c r="O1244" i="1" s="1"/>
  <c r="R1244" i="1" s="1"/>
  <c r="N1245" i="1"/>
  <c r="N1246" i="1"/>
  <c r="N1247" i="1"/>
  <c r="O1247" i="1" s="1"/>
  <c r="R1247" i="1" s="1"/>
  <c r="N1248" i="1"/>
  <c r="N1249" i="1"/>
  <c r="N1250" i="1"/>
  <c r="O1250" i="1" s="1"/>
  <c r="R1250" i="1" s="1"/>
  <c r="N1251" i="1"/>
  <c r="N1252" i="1"/>
  <c r="N1253" i="1"/>
  <c r="N1254" i="1"/>
  <c r="N1255" i="1"/>
  <c r="N1256" i="1"/>
  <c r="N1257" i="1"/>
  <c r="O1257" i="1" s="1"/>
  <c r="R1257" i="1" s="1"/>
  <c r="N1258" i="1"/>
  <c r="N1259" i="1"/>
  <c r="N1260" i="1"/>
  <c r="N1261" i="1"/>
  <c r="N1262" i="1"/>
  <c r="N1263" i="1"/>
  <c r="O1263" i="1" s="1"/>
  <c r="R1263" i="1" s="1"/>
  <c r="N1264" i="1"/>
  <c r="N1265" i="1"/>
  <c r="N1266" i="1"/>
  <c r="N1267" i="1"/>
  <c r="N1268" i="1"/>
  <c r="N1269" i="1"/>
  <c r="N1270" i="1"/>
  <c r="N1271" i="1"/>
  <c r="N1272" i="1"/>
  <c r="N1273" i="1"/>
  <c r="O1273" i="1" s="1"/>
  <c r="R1273" i="1" s="1"/>
  <c r="N1274" i="1"/>
  <c r="N1275" i="1"/>
  <c r="O1275" i="1" s="1"/>
  <c r="R1275" i="1" s="1"/>
  <c r="N1276" i="1"/>
  <c r="O1276" i="1" s="1"/>
  <c r="R1276" i="1" s="1"/>
  <c r="N1277" i="1"/>
  <c r="N1278" i="1"/>
  <c r="N1279" i="1"/>
  <c r="O1279" i="1" s="1"/>
  <c r="R1279" i="1" s="1"/>
  <c r="N1280" i="1"/>
  <c r="N1281" i="1"/>
  <c r="N1282" i="1"/>
  <c r="N1283" i="1"/>
  <c r="N1284" i="1"/>
  <c r="N1285" i="1"/>
  <c r="N1286" i="1"/>
  <c r="N1287" i="1"/>
  <c r="N1288" i="1"/>
  <c r="N1289" i="1"/>
  <c r="N1290" i="1"/>
  <c r="N1291" i="1"/>
  <c r="N1292" i="1"/>
  <c r="N1293" i="1"/>
  <c r="N1294" i="1"/>
  <c r="N1295" i="1"/>
  <c r="O1295" i="1" s="1"/>
  <c r="R1295" i="1" s="1"/>
  <c r="N1296" i="1"/>
  <c r="O1296" i="1" s="1"/>
  <c r="R1296" i="1" s="1"/>
  <c r="N1297" i="1"/>
  <c r="N1298" i="1"/>
  <c r="O1298" i="1" s="1"/>
  <c r="R1298" i="1" s="1"/>
  <c r="N1299" i="1"/>
  <c r="N1300" i="1"/>
  <c r="N1301" i="1"/>
  <c r="N1302" i="1"/>
  <c r="N1303" i="1"/>
  <c r="N1304" i="1"/>
  <c r="N1305" i="1"/>
  <c r="N1306" i="1"/>
  <c r="N1307" i="1"/>
  <c r="N1308" i="1"/>
  <c r="N1309" i="1"/>
  <c r="N1310" i="1"/>
  <c r="N1311" i="1"/>
  <c r="O1311" i="1" s="1"/>
  <c r="R1311" i="1" s="1"/>
  <c r="N1312" i="1"/>
  <c r="O1312" i="1" s="1"/>
  <c r="R1312" i="1" s="1"/>
  <c r="N1313" i="1"/>
  <c r="N1314" i="1"/>
  <c r="O1314" i="1" s="1"/>
  <c r="R1314" i="1" s="1"/>
  <c r="N1315" i="1"/>
  <c r="N1316" i="1"/>
  <c r="N1317" i="1"/>
  <c r="N1318" i="1"/>
  <c r="N1319" i="1"/>
  <c r="N1320" i="1"/>
  <c r="N1321" i="1"/>
  <c r="O1321" i="1" s="1"/>
  <c r="R1321" i="1" s="1"/>
  <c r="N1322" i="1"/>
  <c r="N1323" i="1"/>
  <c r="N1324" i="1"/>
  <c r="O1324" i="1" s="1"/>
  <c r="R1324" i="1" s="1"/>
  <c r="N1325" i="1"/>
  <c r="N1326" i="1"/>
  <c r="N1327" i="1"/>
  <c r="O1327" i="1" s="1"/>
  <c r="R1327" i="1" s="1"/>
  <c r="N1328" i="1"/>
  <c r="N1329" i="1"/>
  <c r="N1330" i="1"/>
  <c r="N1331" i="1"/>
  <c r="N1332" i="1"/>
  <c r="N1333" i="1"/>
  <c r="N1334" i="1"/>
  <c r="N1335" i="1"/>
  <c r="N1336" i="1"/>
  <c r="N1337" i="1"/>
  <c r="O1337" i="1" s="1"/>
  <c r="R1337" i="1" s="1"/>
  <c r="N1338" i="1"/>
  <c r="N1339" i="1"/>
  <c r="N1340" i="1"/>
  <c r="O1340" i="1" s="1"/>
  <c r="R1340" i="1" s="1"/>
  <c r="N1341" i="1"/>
  <c r="N1342" i="1"/>
  <c r="N1343" i="1"/>
  <c r="O1343" i="1" s="1"/>
  <c r="R1343" i="1" s="1"/>
  <c r="N1344" i="1"/>
  <c r="N1345" i="1"/>
  <c r="N1346" i="1"/>
  <c r="N1347" i="1"/>
  <c r="N1348" i="1"/>
  <c r="N1349" i="1"/>
  <c r="N1350" i="1"/>
  <c r="N1351" i="1"/>
  <c r="N1352" i="1"/>
  <c r="N1353" i="1"/>
  <c r="N1354" i="1"/>
  <c r="N1355" i="1"/>
  <c r="N1356" i="1"/>
  <c r="N1357" i="1"/>
  <c r="N1358" i="1"/>
  <c r="N1359" i="1"/>
  <c r="O1359" i="1" s="1"/>
  <c r="R1359" i="1" s="1"/>
  <c r="N1360" i="1"/>
  <c r="N1361" i="1"/>
  <c r="N1362" i="1"/>
  <c r="O1362" i="1" s="1"/>
  <c r="R1362" i="1" s="1"/>
  <c r="N1363" i="1"/>
  <c r="N1364" i="1"/>
  <c r="N1365" i="1"/>
  <c r="N1366" i="1"/>
  <c r="N1367" i="1"/>
  <c r="N1368" i="1"/>
  <c r="N1369" i="1"/>
  <c r="N1370" i="1"/>
  <c r="N1371" i="1"/>
  <c r="O1371" i="1" s="1"/>
  <c r="R1371" i="1" s="1"/>
  <c r="N1372" i="1"/>
  <c r="N1373" i="1"/>
  <c r="N1374" i="1"/>
  <c r="O1374" i="1" s="1"/>
  <c r="R1374" i="1" s="1"/>
  <c r="N1375" i="1"/>
  <c r="O1375" i="1" s="1"/>
  <c r="R1375" i="1" s="1"/>
  <c r="N1376" i="1"/>
  <c r="O1376" i="1" s="1"/>
  <c r="R1376" i="1" s="1"/>
  <c r="N1377" i="1"/>
  <c r="N1378" i="1"/>
  <c r="N1379" i="1"/>
  <c r="N1380" i="1"/>
  <c r="N1381" i="1"/>
  <c r="N1382" i="1"/>
  <c r="N1383" i="1"/>
  <c r="N1384" i="1"/>
  <c r="N1385" i="1"/>
  <c r="N1386" i="1"/>
  <c r="N1387" i="1"/>
  <c r="N1388" i="1"/>
  <c r="O1388" i="1" s="1"/>
  <c r="R1388" i="1" s="1"/>
  <c r="N1389" i="1"/>
  <c r="N1390" i="1"/>
  <c r="O1390" i="1" s="1"/>
  <c r="R1390" i="1" s="1"/>
  <c r="N1391" i="1"/>
  <c r="N1392" i="1"/>
  <c r="N1393" i="1"/>
  <c r="N1394" i="1"/>
  <c r="N1395" i="1"/>
  <c r="O1395" i="1" s="1"/>
  <c r="R1395" i="1" s="1"/>
  <c r="N1396" i="1"/>
  <c r="N1397" i="1"/>
  <c r="N1398" i="1"/>
  <c r="N1399" i="1"/>
  <c r="N1400" i="1"/>
  <c r="O1400" i="1" s="1"/>
  <c r="R1400" i="1" s="1"/>
  <c r="N1401" i="1"/>
  <c r="O1401" i="1" s="1"/>
  <c r="R1401" i="1" s="1"/>
  <c r="N1402" i="1"/>
  <c r="N1403" i="1"/>
  <c r="N1404" i="1"/>
  <c r="O1404" i="1" s="1"/>
  <c r="R1404" i="1" s="1"/>
  <c r="N1405" i="1"/>
  <c r="N1406" i="1"/>
  <c r="O1406" i="1" s="1"/>
  <c r="R1406" i="1" s="1"/>
  <c r="N1407" i="1"/>
  <c r="N1408" i="1"/>
  <c r="N1409" i="1"/>
  <c r="O1409" i="1" s="1"/>
  <c r="R1409" i="1" s="1"/>
  <c r="N1410" i="1"/>
  <c r="O1410" i="1" s="1"/>
  <c r="R1410" i="1" s="1"/>
  <c r="N1411" i="1"/>
  <c r="O1411" i="1" s="1"/>
  <c r="R1411" i="1" s="1"/>
  <c r="N1412" i="1"/>
  <c r="N1413" i="1"/>
  <c r="N1414" i="1"/>
  <c r="N1415" i="1"/>
  <c r="N1416" i="1"/>
  <c r="N1417" i="1"/>
  <c r="N1418" i="1"/>
  <c r="N1419" i="1"/>
  <c r="N1420" i="1"/>
  <c r="O1420" i="1" s="1"/>
  <c r="R1420" i="1" s="1"/>
  <c r="N1421" i="1"/>
  <c r="N1422" i="1"/>
  <c r="O1422" i="1" s="1"/>
  <c r="R1422" i="1" s="1"/>
  <c r="N1423" i="1"/>
  <c r="N1424" i="1"/>
  <c r="N1425" i="1"/>
  <c r="N1426" i="1"/>
  <c r="N1427" i="1"/>
  <c r="O1427" i="1" s="1"/>
  <c r="R1427" i="1" s="1"/>
  <c r="N1428" i="1"/>
  <c r="N1429" i="1"/>
  <c r="N1430" i="1"/>
  <c r="N1431" i="1"/>
  <c r="N1432" i="1"/>
  <c r="N1433" i="1"/>
  <c r="N1434" i="1"/>
  <c r="N1435" i="1"/>
  <c r="N1436" i="1"/>
  <c r="O1436" i="1" s="1"/>
  <c r="R1436" i="1" s="1"/>
  <c r="N1437" i="1"/>
  <c r="N1438" i="1"/>
  <c r="N1439" i="1"/>
  <c r="O1439" i="1" s="1"/>
  <c r="R1439" i="1" s="1"/>
  <c r="N1440" i="1"/>
  <c r="N1441" i="1"/>
  <c r="N1442" i="1"/>
  <c r="N1443" i="1"/>
  <c r="O1443" i="1" s="1"/>
  <c r="R1443" i="1" s="1"/>
  <c r="N1444" i="1"/>
  <c r="N1445" i="1"/>
  <c r="N1446" i="1"/>
  <c r="N1447" i="1"/>
  <c r="N1448" i="1"/>
  <c r="N1449" i="1"/>
  <c r="N1450" i="1"/>
  <c r="N1451" i="1"/>
  <c r="N1452" i="1"/>
  <c r="O1452" i="1" s="1"/>
  <c r="R1452" i="1" s="1"/>
  <c r="N1453" i="1"/>
  <c r="N1454" i="1"/>
  <c r="N1455" i="1"/>
  <c r="N1456" i="1"/>
  <c r="N1457" i="1"/>
  <c r="O1457" i="1" s="1"/>
  <c r="R1457" i="1" s="1"/>
  <c r="N1458" i="1"/>
  <c r="N1459" i="1"/>
  <c r="O1459" i="1" s="1"/>
  <c r="R1459" i="1" s="1"/>
  <c r="N1460" i="1"/>
  <c r="N1461" i="1"/>
  <c r="N1462" i="1"/>
  <c r="N1463" i="1"/>
  <c r="N1464" i="1"/>
  <c r="N1465" i="1"/>
  <c r="N1466" i="1"/>
  <c r="N1467" i="1"/>
  <c r="N1468" i="1"/>
  <c r="O1468" i="1" s="1"/>
  <c r="R1468" i="1" s="1"/>
  <c r="N1469" i="1"/>
  <c r="N1470" i="1"/>
  <c r="N1471" i="1"/>
  <c r="N1472" i="1"/>
  <c r="N1473" i="1"/>
  <c r="O1473" i="1" s="1"/>
  <c r="R1473" i="1" s="1"/>
  <c r="N1474" i="1"/>
  <c r="O1474" i="1" s="1"/>
  <c r="R1474" i="1" s="1"/>
  <c r="N1475" i="1"/>
  <c r="O1475" i="1" s="1"/>
  <c r="R1475" i="1" s="1"/>
  <c r="N1476" i="1"/>
  <c r="N1477" i="1"/>
  <c r="N1478" i="1"/>
  <c r="N1479" i="1"/>
  <c r="N1480" i="1"/>
  <c r="N1481" i="1"/>
  <c r="N1482" i="1"/>
  <c r="N1483" i="1"/>
  <c r="N1484" i="1"/>
  <c r="O1484" i="1" s="1"/>
  <c r="R1484" i="1" s="1"/>
  <c r="N1485" i="1"/>
  <c r="N1486" i="1"/>
  <c r="N1487" i="1"/>
  <c r="N1488" i="1"/>
  <c r="N1489" i="1"/>
  <c r="O1489" i="1" s="1"/>
  <c r="R1489" i="1" s="1"/>
  <c r="N1490" i="1"/>
  <c r="O1490" i="1" s="1"/>
  <c r="R1490" i="1" s="1"/>
  <c r="N1491" i="1"/>
  <c r="O1491" i="1" s="1"/>
  <c r="R1491" i="1" s="1"/>
  <c r="N1492" i="1"/>
  <c r="N1493" i="1"/>
  <c r="N1494" i="1"/>
  <c r="N1495" i="1"/>
  <c r="N1496" i="1"/>
  <c r="N1497" i="1"/>
  <c r="N1498" i="1"/>
  <c r="N1499" i="1"/>
  <c r="N1500" i="1"/>
  <c r="N1501" i="1"/>
  <c r="N1502" i="1"/>
  <c r="N1503" i="1"/>
  <c r="O1503" i="1" s="1"/>
  <c r="R1503" i="1" s="1"/>
  <c r="N1504" i="1"/>
  <c r="O1504" i="1" s="1"/>
  <c r="R1504" i="1" s="1"/>
  <c r="N1505" i="1"/>
  <c r="N1506" i="1"/>
  <c r="O1506" i="1" s="1"/>
  <c r="R1506" i="1" s="1"/>
  <c r="N1507" i="1"/>
  <c r="N1508" i="1"/>
  <c r="O1508" i="1" s="1"/>
  <c r="R1508" i="1" s="1"/>
  <c r="N1509" i="1"/>
  <c r="N1510" i="1"/>
  <c r="N1511" i="1"/>
  <c r="O1511" i="1" s="1"/>
  <c r="R1511" i="1" s="1"/>
  <c r="N1512" i="1"/>
  <c r="N1513" i="1"/>
  <c r="N1514" i="1"/>
  <c r="N1515" i="1"/>
  <c r="N1516" i="1"/>
  <c r="N1517" i="1"/>
  <c r="N1518" i="1"/>
  <c r="O1518" i="1" s="1"/>
  <c r="R1518" i="1" s="1"/>
  <c r="N1519" i="1"/>
  <c r="N1520" i="1"/>
  <c r="O1520" i="1" s="1"/>
  <c r="R1520" i="1" s="1"/>
  <c r="N1521" i="1"/>
  <c r="N1522" i="1"/>
  <c r="O1522" i="1" s="1"/>
  <c r="R1522" i="1" s="1"/>
  <c r="N1523" i="1"/>
  <c r="N1524" i="1"/>
  <c r="O1524" i="1" s="1"/>
  <c r="R1524" i="1" s="1"/>
  <c r="N1525" i="1"/>
  <c r="N1526" i="1"/>
  <c r="N1527" i="1"/>
  <c r="O1527" i="1" s="1"/>
  <c r="R1527" i="1" s="1"/>
  <c r="N1528" i="1"/>
  <c r="N1529" i="1"/>
  <c r="N1530" i="1"/>
  <c r="N1531" i="1"/>
  <c r="N1532" i="1"/>
  <c r="N1533" i="1"/>
  <c r="N1534" i="1"/>
  <c r="O1534" i="1" s="1"/>
  <c r="R1534" i="1" s="1"/>
  <c r="N1535" i="1"/>
  <c r="N1536" i="1"/>
  <c r="N1537" i="1"/>
  <c r="N1538" i="1"/>
  <c r="O1538" i="1" s="1"/>
  <c r="R1538" i="1" s="1"/>
  <c r="N1539" i="1"/>
  <c r="O1539" i="1" s="1"/>
  <c r="R1539" i="1" s="1"/>
  <c r="N1540" i="1"/>
  <c r="N1541" i="1"/>
  <c r="N1542" i="1"/>
  <c r="N1543" i="1"/>
  <c r="N1544" i="1"/>
  <c r="N1545" i="1"/>
  <c r="N1546" i="1"/>
  <c r="N1547" i="1"/>
  <c r="O1547" i="1" s="1"/>
  <c r="R1547" i="1" s="1"/>
  <c r="N1548" i="1"/>
  <c r="N1549" i="1"/>
  <c r="N1550" i="1"/>
  <c r="N1551" i="1"/>
  <c r="O1551" i="1" s="1"/>
  <c r="R1551" i="1" s="1"/>
  <c r="N1552" i="1"/>
  <c r="N1553" i="1"/>
  <c r="N1554" i="1"/>
  <c r="N1555" i="1"/>
  <c r="O1555" i="1" s="1"/>
  <c r="R1555" i="1" s="1"/>
  <c r="N1556" i="1"/>
  <c r="N1557" i="1"/>
  <c r="N1558" i="1"/>
  <c r="N1559" i="1"/>
  <c r="N1560" i="1"/>
  <c r="N1561" i="1"/>
  <c r="N1562" i="1"/>
  <c r="N1563" i="1"/>
  <c r="N1564" i="1"/>
  <c r="O1564" i="1" s="1"/>
  <c r="R1564" i="1" s="1"/>
  <c r="N1565" i="1"/>
  <c r="N1566" i="1"/>
  <c r="N1567" i="1"/>
  <c r="O1567" i="1" s="1"/>
  <c r="R1567" i="1" s="1"/>
  <c r="N1568" i="1"/>
  <c r="O1568" i="1" s="1"/>
  <c r="R1568" i="1" s="1"/>
  <c r="N1569" i="1"/>
  <c r="N1570" i="1"/>
  <c r="N1571" i="1"/>
  <c r="N1572" i="1"/>
  <c r="N1573" i="1"/>
  <c r="N1574" i="1"/>
  <c r="N1575" i="1"/>
  <c r="N1576" i="1"/>
  <c r="N1577" i="1"/>
  <c r="N1578" i="1"/>
  <c r="N1579" i="1"/>
  <c r="N1580" i="1"/>
  <c r="N1581" i="1"/>
  <c r="N1582" i="1"/>
  <c r="O1582" i="1" s="1"/>
  <c r="R1582" i="1" s="1"/>
  <c r="N1583" i="1"/>
  <c r="N1584" i="1"/>
  <c r="N1585" i="1"/>
  <c r="N1586" i="1"/>
  <c r="O1586" i="1" s="1"/>
  <c r="R1586" i="1" s="1"/>
  <c r="N1587" i="1"/>
  <c r="N1588" i="1"/>
  <c r="N1589" i="1"/>
  <c r="N1590" i="1"/>
  <c r="N1591" i="1"/>
  <c r="O1591" i="1" s="1"/>
  <c r="R1591" i="1" s="1"/>
  <c r="N1592" i="1"/>
  <c r="N1593" i="1"/>
  <c r="N1594" i="1"/>
  <c r="N1595" i="1"/>
  <c r="N1596" i="1"/>
  <c r="N1597" i="1"/>
  <c r="N1598" i="1"/>
  <c r="O1598" i="1" s="1"/>
  <c r="R1598" i="1" s="1"/>
  <c r="N1599" i="1"/>
  <c r="N1600" i="1"/>
  <c r="N1601" i="1"/>
  <c r="N1602" i="1"/>
  <c r="O1602" i="1" s="1"/>
  <c r="R1602" i="1" s="1"/>
  <c r="N1603" i="1"/>
  <c r="N1604" i="1"/>
  <c r="N1605" i="1"/>
  <c r="N1606" i="1"/>
  <c r="N1607" i="1"/>
  <c r="N1608" i="1"/>
  <c r="N1609" i="1"/>
  <c r="N1610" i="1"/>
  <c r="N1611" i="1"/>
  <c r="N1612" i="1"/>
  <c r="O1612" i="1" s="1"/>
  <c r="R1612" i="1" s="1"/>
  <c r="N1613" i="1"/>
  <c r="N1614" i="1"/>
  <c r="N1615" i="1"/>
  <c r="O1615" i="1" s="1"/>
  <c r="R1615" i="1" s="1"/>
  <c r="N1616" i="1"/>
  <c r="N1617" i="1"/>
  <c r="O1617" i="1" s="1"/>
  <c r="R1617" i="1" s="1"/>
  <c r="N1618" i="1"/>
  <c r="N1619" i="1"/>
  <c r="O1619" i="1" s="1"/>
  <c r="R1619" i="1" s="1"/>
  <c r="N1620" i="1"/>
  <c r="N1621" i="1"/>
  <c r="N1622" i="1"/>
  <c r="N1623" i="1"/>
  <c r="N1624" i="1"/>
  <c r="N1625" i="1"/>
  <c r="N1626" i="1"/>
  <c r="N1627" i="1"/>
  <c r="O1627" i="1" s="1"/>
  <c r="R1627" i="1" s="1"/>
  <c r="N1628" i="1"/>
  <c r="N1629" i="1"/>
  <c r="N1630" i="1"/>
  <c r="O1630" i="1" s="1"/>
  <c r="R1630" i="1" s="1"/>
  <c r="N1631" i="1"/>
  <c r="N1632" i="1"/>
  <c r="N1633" i="1"/>
  <c r="O1633" i="1" s="1"/>
  <c r="R1633" i="1" s="1"/>
  <c r="N1634" i="1"/>
  <c r="N1635" i="1"/>
  <c r="O1635" i="1" s="1"/>
  <c r="R1635" i="1" s="1"/>
  <c r="N1636" i="1"/>
  <c r="N1637" i="1"/>
  <c r="N1638" i="1"/>
  <c r="N1639" i="1"/>
  <c r="O1639" i="1" s="1"/>
  <c r="R1639" i="1" s="1"/>
  <c r="N1640" i="1"/>
  <c r="N1641" i="1"/>
  <c r="N1642" i="1"/>
  <c r="N1643" i="1"/>
  <c r="N1644" i="1"/>
  <c r="N1645" i="1"/>
  <c r="N1646" i="1"/>
  <c r="O1646" i="1" s="1"/>
  <c r="R1646" i="1" s="1"/>
  <c r="N1647" i="1"/>
  <c r="N1648" i="1"/>
  <c r="N1649" i="1"/>
  <c r="N1650" i="1"/>
  <c r="O1650" i="1" s="1"/>
  <c r="R1650" i="1" s="1"/>
  <c r="N1651" i="1"/>
  <c r="N1652" i="1"/>
  <c r="N1653" i="1"/>
  <c r="N1654" i="1"/>
  <c r="N1655" i="1"/>
  <c r="O1655" i="1" s="1"/>
  <c r="R1655" i="1" s="1"/>
  <c r="N1656" i="1"/>
  <c r="N1657" i="1"/>
  <c r="N3" i="1"/>
  <c r="N4" i="1"/>
  <c r="Q1657" i="1"/>
  <c r="P1657" i="1"/>
  <c r="K1657" i="1"/>
  <c r="I1657" i="1"/>
  <c r="Q1656" i="1"/>
  <c r="P1656" i="1"/>
  <c r="K1656" i="1"/>
  <c r="I1656" i="1"/>
  <c r="Q1655" i="1"/>
  <c r="P1655" i="1"/>
  <c r="K1655" i="1"/>
  <c r="I1655" i="1"/>
  <c r="S1655" i="1" s="1"/>
  <c r="Q1654" i="1"/>
  <c r="P1654" i="1"/>
  <c r="K1654" i="1"/>
  <c r="I1654" i="1"/>
  <c r="Q1653" i="1"/>
  <c r="P1653" i="1"/>
  <c r="K1653" i="1"/>
  <c r="I1653" i="1"/>
  <c r="Q1652" i="1"/>
  <c r="P1652" i="1"/>
  <c r="K1652" i="1"/>
  <c r="I1652" i="1"/>
  <c r="Q1651" i="1"/>
  <c r="P1651" i="1"/>
  <c r="K1651" i="1"/>
  <c r="I1651" i="1"/>
  <c r="Q1650" i="1"/>
  <c r="P1650" i="1"/>
  <c r="K1650" i="1"/>
  <c r="I1650" i="1"/>
  <c r="S1650" i="1" s="1"/>
  <c r="Q1649" i="1"/>
  <c r="P1649" i="1"/>
  <c r="K1649" i="1"/>
  <c r="I1649" i="1"/>
  <c r="Q1648" i="1"/>
  <c r="P1648" i="1"/>
  <c r="K1648" i="1"/>
  <c r="I1648" i="1"/>
  <c r="Q1647" i="1"/>
  <c r="P1647" i="1"/>
  <c r="K1647" i="1"/>
  <c r="I1647" i="1"/>
  <c r="S1647" i="1" s="1"/>
  <c r="S1646" i="1"/>
  <c r="Q1646" i="1"/>
  <c r="P1646" i="1"/>
  <c r="K1646" i="1"/>
  <c r="I1646" i="1"/>
  <c r="Q1645" i="1"/>
  <c r="P1645" i="1"/>
  <c r="O1645" i="1"/>
  <c r="R1645" i="1" s="1"/>
  <c r="K1645" i="1"/>
  <c r="I1645" i="1"/>
  <c r="S1645" i="1" s="1"/>
  <c r="Q1644" i="1"/>
  <c r="P1644" i="1"/>
  <c r="K1644" i="1"/>
  <c r="I1644" i="1"/>
  <c r="S1644" i="1" s="1"/>
  <c r="Q1643" i="1"/>
  <c r="P1643" i="1"/>
  <c r="O1643" i="1"/>
  <c r="R1643" i="1" s="1"/>
  <c r="K1643" i="1"/>
  <c r="I1643" i="1"/>
  <c r="S1643" i="1" s="1"/>
  <c r="Q1642" i="1"/>
  <c r="P1642" i="1"/>
  <c r="K1642" i="1"/>
  <c r="I1642" i="1"/>
  <c r="Q1641" i="1"/>
  <c r="P1641" i="1"/>
  <c r="K1641" i="1"/>
  <c r="I1641" i="1"/>
  <c r="S1640" i="1"/>
  <c r="Q1640" i="1"/>
  <c r="P1640" i="1"/>
  <c r="K1640" i="1"/>
  <c r="I1640" i="1"/>
  <c r="Q1639" i="1"/>
  <c r="P1639" i="1"/>
  <c r="K1639" i="1"/>
  <c r="I1639" i="1"/>
  <c r="S1639" i="1" s="1"/>
  <c r="Q1638" i="1"/>
  <c r="P1638" i="1"/>
  <c r="K1638" i="1"/>
  <c r="I1638" i="1"/>
  <c r="Q1637" i="1"/>
  <c r="P1637" i="1"/>
  <c r="O1637" i="1"/>
  <c r="R1637" i="1" s="1"/>
  <c r="K1637" i="1"/>
  <c r="I1637" i="1"/>
  <c r="S1637" i="1" s="1"/>
  <c r="Q1636" i="1"/>
  <c r="P1636" i="1"/>
  <c r="O1636" i="1"/>
  <c r="R1636" i="1" s="1"/>
  <c r="K1636" i="1"/>
  <c r="I1636" i="1"/>
  <c r="S1636" i="1" s="1"/>
  <c r="Q1635" i="1"/>
  <c r="P1635" i="1"/>
  <c r="K1635" i="1"/>
  <c r="I1635" i="1"/>
  <c r="S1635" i="1" s="1"/>
  <c r="Q1634" i="1"/>
  <c r="P1634" i="1"/>
  <c r="K1634" i="1"/>
  <c r="I1634" i="1"/>
  <c r="S1634" i="1" s="1"/>
  <c r="Q1633" i="1"/>
  <c r="P1633" i="1"/>
  <c r="K1633" i="1"/>
  <c r="I1633" i="1"/>
  <c r="S1633" i="1" s="1"/>
  <c r="S1632" i="1"/>
  <c r="Q1632" i="1"/>
  <c r="P1632" i="1"/>
  <c r="K1632" i="1"/>
  <c r="I1632" i="1"/>
  <c r="Q1631" i="1"/>
  <c r="P1631" i="1"/>
  <c r="K1631" i="1"/>
  <c r="I1631" i="1"/>
  <c r="S1630" i="1"/>
  <c r="Q1630" i="1"/>
  <c r="P1630" i="1"/>
  <c r="K1630" i="1"/>
  <c r="I1630" i="1"/>
  <c r="Q1629" i="1"/>
  <c r="P1629" i="1"/>
  <c r="K1629" i="1"/>
  <c r="I1629" i="1"/>
  <c r="Q1628" i="1"/>
  <c r="P1628" i="1"/>
  <c r="O1628" i="1"/>
  <c r="R1628" i="1" s="1"/>
  <c r="K1628" i="1"/>
  <c r="I1628" i="1"/>
  <c r="S1628" i="1" s="1"/>
  <c r="Q1627" i="1"/>
  <c r="P1627" i="1"/>
  <c r="K1627" i="1"/>
  <c r="I1627" i="1"/>
  <c r="S1627" i="1" s="1"/>
  <c r="Q1626" i="1"/>
  <c r="P1626" i="1"/>
  <c r="K1626" i="1"/>
  <c r="I1626" i="1"/>
  <c r="Q1625" i="1"/>
  <c r="P1625" i="1"/>
  <c r="K1625" i="1"/>
  <c r="I1625" i="1"/>
  <c r="Q1624" i="1"/>
  <c r="P1624" i="1"/>
  <c r="O1624" i="1"/>
  <c r="R1624" i="1" s="1"/>
  <c r="K1624" i="1"/>
  <c r="I1624" i="1"/>
  <c r="S1624" i="1" s="1"/>
  <c r="Q1623" i="1"/>
  <c r="P1623" i="1"/>
  <c r="O1623" i="1"/>
  <c r="R1623" i="1" s="1"/>
  <c r="K1623" i="1"/>
  <c r="I1623" i="1"/>
  <c r="S1623" i="1" s="1"/>
  <c r="Q1622" i="1"/>
  <c r="P1622" i="1"/>
  <c r="K1622" i="1"/>
  <c r="I1622" i="1"/>
  <c r="Q1621" i="1"/>
  <c r="P1621" i="1"/>
  <c r="K1621" i="1"/>
  <c r="I1621" i="1"/>
  <c r="S1621" i="1" s="1"/>
  <c r="Q1620" i="1"/>
  <c r="P1620" i="1"/>
  <c r="K1620" i="1"/>
  <c r="I1620" i="1"/>
  <c r="S1620" i="1" s="1"/>
  <c r="Q1619" i="1"/>
  <c r="P1619" i="1"/>
  <c r="K1619" i="1"/>
  <c r="I1619" i="1"/>
  <c r="S1619" i="1" s="1"/>
  <c r="Q1618" i="1"/>
  <c r="P1618" i="1"/>
  <c r="K1618" i="1"/>
  <c r="I1618" i="1"/>
  <c r="S1618" i="1" s="1"/>
  <c r="Q1617" i="1"/>
  <c r="P1617" i="1"/>
  <c r="K1617" i="1"/>
  <c r="I1617" i="1"/>
  <c r="S1617" i="1" s="1"/>
  <c r="Q1616" i="1"/>
  <c r="P1616" i="1"/>
  <c r="K1616" i="1"/>
  <c r="I1616" i="1"/>
  <c r="Q1615" i="1"/>
  <c r="P1615" i="1"/>
  <c r="K1615" i="1"/>
  <c r="I1615" i="1"/>
  <c r="S1615" i="1" s="1"/>
  <c r="S1614" i="1"/>
  <c r="Q1614" i="1"/>
  <c r="P1614" i="1"/>
  <c r="O1614" i="1"/>
  <c r="R1614" i="1" s="1"/>
  <c r="K1614" i="1"/>
  <c r="I1614" i="1"/>
  <c r="Q1613" i="1"/>
  <c r="P1613" i="1"/>
  <c r="O1613" i="1"/>
  <c r="R1613" i="1" s="1"/>
  <c r="K1613" i="1"/>
  <c r="I1613" i="1"/>
  <c r="S1613" i="1" s="1"/>
  <c r="Q1612" i="1"/>
  <c r="P1612" i="1"/>
  <c r="K1612" i="1"/>
  <c r="I1612" i="1"/>
  <c r="S1612" i="1" s="1"/>
  <c r="Q1611" i="1"/>
  <c r="P1611" i="1"/>
  <c r="K1611" i="1"/>
  <c r="I1611" i="1"/>
  <c r="S1610" i="1"/>
  <c r="Q1610" i="1"/>
  <c r="P1610" i="1"/>
  <c r="K1610" i="1"/>
  <c r="I1610" i="1"/>
  <c r="O1610" i="1" s="1"/>
  <c r="R1610" i="1" s="1"/>
  <c r="Q1609" i="1"/>
  <c r="P1609" i="1"/>
  <c r="K1609" i="1"/>
  <c r="I1609" i="1"/>
  <c r="S1608" i="1"/>
  <c r="Q1608" i="1"/>
  <c r="P1608" i="1"/>
  <c r="O1608" i="1"/>
  <c r="R1608" i="1" s="1"/>
  <c r="K1608" i="1"/>
  <c r="I1608" i="1"/>
  <c r="Q1607" i="1"/>
  <c r="P1607" i="1"/>
  <c r="O1607" i="1"/>
  <c r="R1607" i="1" s="1"/>
  <c r="K1607" i="1"/>
  <c r="I1607" i="1"/>
  <c r="S1607" i="1" s="1"/>
  <c r="S1606" i="1"/>
  <c r="Q1606" i="1"/>
  <c r="P1606" i="1"/>
  <c r="K1606" i="1"/>
  <c r="I1606" i="1"/>
  <c r="O1606" i="1" s="1"/>
  <c r="R1606" i="1" s="1"/>
  <c r="Q1605" i="1"/>
  <c r="P1605" i="1"/>
  <c r="O1605" i="1"/>
  <c r="R1605" i="1" s="1"/>
  <c r="K1605" i="1"/>
  <c r="I1605" i="1"/>
  <c r="S1605" i="1" s="1"/>
  <c r="Q1604" i="1"/>
  <c r="P1604" i="1"/>
  <c r="K1604" i="1"/>
  <c r="I1604" i="1"/>
  <c r="S1604" i="1" s="1"/>
  <c r="Q1603" i="1"/>
  <c r="P1603" i="1"/>
  <c r="K1603" i="1"/>
  <c r="I1603" i="1"/>
  <c r="S1603" i="1" s="1"/>
  <c r="Q1602" i="1"/>
  <c r="P1602" i="1"/>
  <c r="K1602" i="1"/>
  <c r="I1602" i="1"/>
  <c r="S1602" i="1" s="1"/>
  <c r="Q1601" i="1"/>
  <c r="P1601" i="1"/>
  <c r="K1601" i="1"/>
  <c r="I1601" i="1"/>
  <c r="S1600" i="1"/>
  <c r="Q1600" i="1"/>
  <c r="P1600" i="1"/>
  <c r="K1600" i="1"/>
  <c r="I1600" i="1"/>
  <c r="Q1599" i="1"/>
  <c r="P1599" i="1"/>
  <c r="K1599" i="1"/>
  <c r="I1599" i="1"/>
  <c r="S1599" i="1" s="1"/>
  <c r="S1598" i="1"/>
  <c r="Q1598" i="1"/>
  <c r="P1598" i="1"/>
  <c r="K1598" i="1"/>
  <c r="I1598" i="1"/>
  <c r="Q1597" i="1"/>
  <c r="P1597" i="1"/>
  <c r="O1597" i="1"/>
  <c r="R1597" i="1" s="1"/>
  <c r="K1597" i="1"/>
  <c r="I1597" i="1"/>
  <c r="S1597" i="1" s="1"/>
  <c r="Q1596" i="1"/>
  <c r="P1596" i="1"/>
  <c r="K1596" i="1"/>
  <c r="I1596" i="1"/>
  <c r="Q1595" i="1"/>
  <c r="P1595" i="1"/>
  <c r="O1595" i="1"/>
  <c r="R1595" i="1" s="1"/>
  <c r="K1595" i="1"/>
  <c r="I1595" i="1"/>
  <c r="S1595" i="1" s="1"/>
  <c r="S1594" i="1"/>
  <c r="Q1594" i="1"/>
  <c r="P1594" i="1"/>
  <c r="K1594" i="1"/>
  <c r="I1594" i="1"/>
  <c r="O1594" i="1" s="1"/>
  <c r="R1594" i="1" s="1"/>
  <c r="Q1593" i="1"/>
  <c r="P1593" i="1"/>
  <c r="K1593" i="1"/>
  <c r="I1593" i="1"/>
  <c r="Q1592" i="1"/>
  <c r="P1592" i="1"/>
  <c r="K1592" i="1"/>
  <c r="I1592" i="1"/>
  <c r="Q1591" i="1"/>
  <c r="P1591" i="1"/>
  <c r="K1591" i="1"/>
  <c r="I1591" i="1"/>
  <c r="S1591" i="1" s="1"/>
  <c r="Q1590" i="1"/>
  <c r="P1590" i="1"/>
  <c r="K1590" i="1"/>
  <c r="I1590" i="1"/>
  <c r="Q1589" i="1"/>
  <c r="P1589" i="1"/>
  <c r="O1589" i="1"/>
  <c r="R1589" i="1" s="1"/>
  <c r="K1589" i="1"/>
  <c r="I1589" i="1"/>
  <c r="S1589" i="1" s="1"/>
  <c r="S1588" i="1"/>
  <c r="Q1588" i="1"/>
  <c r="P1588" i="1"/>
  <c r="O1588" i="1"/>
  <c r="R1588" i="1" s="1"/>
  <c r="K1588" i="1"/>
  <c r="I1588" i="1"/>
  <c r="Q1587" i="1"/>
  <c r="P1587" i="1"/>
  <c r="K1587" i="1"/>
  <c r="I1587" i="1"/>
  <c r="Q1586" i="1"/>
  <c r="P1586" i="1"/>
  <c r="K1586" i="1"/>
  <c r="I1586" i="1"/>
  <c r="S1586" i="1" s="1"/>
  <c r="Q1585" i="1"/>
  <c r="P1585" i="1"/>
  <c r="K1585" i="1"/>
  <c r="I1585" i="1"/>
  <c r="Q1584" i="1"/>
  <c r="P1584" i="1"/>
  <c r="K1584" i="1"/>
  <c r="I1584" i="1"/>
  <c r="Q1583" i="1"/>
  <c r="P1583" i="1"/>
  <c r="O1583" i="1"/>
  <c r="R1583" i="1" s="1"/>
  <c r="K1583" i="1"/>
  <c r="I1583" i="1"/>
  <c r="S1583" i="1" s="1"/>
  <c r="S1582" i="1"/>
  <c r="Q1582" i="1"/>
  <c r="P1582" i="1"/>
  <c r="K1582" i="1"/>
  <c r="I1582" i="1"/>
  <c r="Q1581" i="1"/>
  <c r="P1581" i="1"/>
  <c r="O1581" i="1"/>
  <c r="R1581" i="1" s="1"/>
  <c r="K1581" i="1"/>
  <c r="I1581" i="1"/>
  <c r="S1581" i="1" s="1"/>
  <c r="S1580" i="1"/>
  <c r="Q1580" i="1"/>
  <c r="P1580" i="1"/>
  <c r="K1580" i="1"/>
  <c r="I1580" i="1"/>
  <c r="Q1579" i="1"/>
  <c r="P1579" i="1"/>
  <c r="K1579" i="1"/>
  <c r="I1579" i="1"/>
  <c r="S1579" i="1" s="1"/>
  <c r="Q1578" i="1"/>
  <c r="P1578" i="1"/>
  <c r="K1578" i="1"/>
  <c r="I1578" i="1"/>
  <c r="Q1577" i="1"/>
  <c r="P1577" i="1"/>
  <c r="K1577" i="1"/>
  <c r="I1577" i="1"/>
  <c r="Q1576" i="1"/>
  <c r="P1576" i="1"/>
  <c r="K1576" i="1"/>
  <c r="I1576" i="1"/>
  <c r="Q1575" i="1"/>
  <c r="P1575" i="1"/>
  <c r="O1575" i="1"/>
  <c r="R1575" i="1" s="1"/>
  <c r="K1575" i="1"/>
  <c r="I1575" i="1"/>
  <c r="S1575" i="1" s="1"/>
  <c r="Q1574" i="1"/>
  <c r="P1574" i="1"/>
  <c r="O1574" i="1"/>
  <c r="R1574" i="1" s="1"/>
  <c r="K1574" i="1"/>
  <c r="I1574" i="1"/>
  <c r="S1574" i="1" s="1"/>
  <c r="Q1573" i="1"/>
  <c r="P1573" i="1"/>
  <c r="K1573" i="1"/>
  <c r="I1573" i="1"/>
  <c r="Q1572" i="1"/>
  <c r="P1572" i="1"/>
  <c r="K1572" i="1"/>
  <c r="I1572" i="1"/>
  <c r="Q1571" i="1"/>
  <c r="P1571" i="1"/>
  <c r="K1571" i="1"/>
  <c r="I1571" i="1"/>
  <c r="Q1570" i="1"/>
  <c r="P1570" i="1"/>
  <c r="K1570" i="1"/>
  <c r="I1570" i="1"/>
  <c r="S1570" i="1" s="1"/>
  <c r="Q1569" i="1"/>
  <c r="P1569" i="1"/>
  <c r="K1569" i="1"/>
  <c r="I1569" i="1"/>
  <c r="S1569" i="1" s="1"/>
  <c r="S1568" i="1"/>
  <c r="Q1568" i="1"/>
  <c r="P1568" i="1"/>
  <c r="K1568" i="1"/>
  <c r="I1568" i="1"/>
  <c r="Q1567" i="1"/>
  <c r="P1567" i="1"/>
  <c r="K1567" i="1"/>
  <c r="I1567" i="1"/>
  <c r="S1567" i="1" s="1"/>
  <c r="S1566" i="1"/>
  <c r="Q1566" i="1"/>
  <c r="P1566" i="1"/>
  <c r="O1566" i="1"/>
  <c r="R1566" i="1" s="1"/>
  <c r="K1566" i="1"/>
  <c r="I1566" i="1"/>
  <c r="Q1565" i="1"/>
  <c r="P1565" i="1"/>
  <c r="O1565" i="1"/>
  <c r="R1565" i="1" s="1"/>
  <c r="K1565" i="1"/>
  <c r="I1565" i="1"/>
  <c r="S1565" i="1" s="1"/>
  <c r="S1564" i="1"/>
  <c r="Q1564" i="1"/>
  <c r="P1564" i="1"/>
  <c r="K1564" i="1"/>
  <c r="I1564" i="1"/>
  <c r="Q1563" i="1"/>
  <c r="P1563" i="1"/>
  <c r="K1563" i="1"/>
  <c r="I1563" i="1"/>
  <c r="S1562" i="1"/>
  <c r="Q1562" i="1"/>
  <c r="P1562" i="1"/>
  <c r="K1562" i="1"/>
  <c r="I1562" i="1"/>
  <c r="O1562" i="1" s="1"/>
  <c r="R1562" i="1" s="1"/>
  <c r="Q1561" i="1"/>
  <c r="P1561" i="1"/>
  <c r="K1561" i="1"/>
  <c r="I1561" i="1"/>
  <c r="Q1560" i="1"/>
  <c r="P1560" i="1"/>
  <c r="K1560" i="1"/>
  <c r="I1560" i="1"/>
  <c r="Q1559" i="1"/>
  <c r="P1559" i="1"/>
  <c r="O1559" i="1"/>
  <c r="R1559" i="1" s="1"/>
  <c r="K1559" i="1"/>
  <c r="I1559" i="1"/>
  <c r="S1559" i="1" s="1"/>
  <c r="Q1558" i="1"/>
  <c r="P1558" i="1"/>
  <c r="K1558" i="1"/>
  <c r="I1558" i="1"/>
  <c r="Q1557" i="1"/>
  <c r="P1557" i="1"/>
  <c r="O1557" i="1"/>
  <c r="R1557" i="1" s="1"/>
  <c r="K1557" i="1"/>
  <c r="I1557" i="1"/>
  <c r="S1557" i="1" s="1"/>
  <c r="S1556" i="1"/>
  <c r="Q1556" i="1"/>
  <c r="P1556" i="1"/>
  <c r="O1556" i="1"/>
  <c r="R1556" i="1" s="1"/>
  <c r="K1556" i="1"/>
  <c r="I1556" i="1"/>
  <c r="Q1555" i="1"/>
  <c r="P1555" i="1"/>
  <c r="K1555" i="1"/>
  <c r="I1555" i="1"/>
  <c r="S1555" i="1" s="1"/>
  <c r="Q1554" i="1"/>
  <c r="P1554" i="1"/>
  <c r="K1554" i="1"/>
  <c r="I1554" i="1"/>
  <c r="S1554" i="1" s="1"/>
  <c r="Q1553" i="1"/>
  <c r="P1553" i="1"/>
  <c r="K1553" i="1"/>
  <c r="I1553" i="1"/>
  <c r="S1553" i="1" s="1"/>
  <c r="S1552" i="1"/>
  <c r="Q1552" i="1"/>
  <c r="P1552" i="1"/>
  <c r="K1552" i="1"/>
  <c r="I1552" i="1"/>
  <c r="Q1551" i="1"/>
  <c r="P1551" i="1"/>
  <c r="K1551" i="1"/>
  <c r="I1551" i="1"/>
  <c r="S1551" i="1" s="1"/>
  <c r="S1550" i="1"/>
  <c r="Q1550" i="1"/>
  <c r="P1550" i="1"/>
  <c r="O1550" i="1"/>
  <c r="R1550" i="1" s="1"/>
  <c r="K1550" i="1"/>
  <c r="I1550" i="1"/>
  <c r="Q1549" i="1"/>
  <c r="P1549" i="1"/>
  <c r="K1549" i="1"/>
  <c r="I1549" i="1"/>
  <c r="S1549" i="1" s="1"/>
  <c r="Q1548" i="1"/>
  <c r="P1548" i="1"/>
  <c r="K1548" i="1"/>
  <c r="I1548" i="1"/>
  <c r="S1548" i="1" s="1"/>
  <c r="Q1547" i="1"/>
  <c r="P1547" i="1"/>
  <c r="K1547" i="1"/>
  <c r="I1547" i="1"/>
  <c r="S1547" i="1" s="1"/>
  <c r="S1546" i="1"/>
  <c r="Q1546" i="1"/>
  <c r="P1546" i="1"/>
  <c r="O1546" i="1"/>
  <c r="R1546" i="1" s="1"/>
  <c r="K1546" i="1"/>
  <c r="I1546" i="1"/>
  <c r="Q1545" i="1"/>
  <c r="P1545" i="1"/>
  <c r="K1545" i="1"/>
  <c r="I1545" i="1"/>
  <c r="S1544" i="1"/>
  <c r="Q1544" i="1"/>
  <c r="P1544" i="1"/>
  <c r="O1544" i="1"/>
  <c r="R1544" i="1" s="1"/>
  <c r="K1544" i="1"/>
  <c r="I1544" i="1"/>
  <c r="Q1543" i="1"/>
  <c r="P1543" i="1"/>
  <c r="O1543" i="1"/>
  <c r="R1543" i="1" s="1"/>
  <c r="K1543" i="1"/>
  <c r="I1543" i="1"/>
  <c r="S1543" i="1" s="1"/>
  <c r="S1542" i="1"/>
  <c r="Q1542" i="1"/>
  <c r="P1542" i="1"/>
  <c r="K1542" i="1"/>
  <c r="I1542" i="1"/>
  <c r="O1542" i="1" s="1"/>
  <c r="R1542" i="1" s="1"/>
  <c r="Q1541" i="1"/>
  <c r="P1541" i="1"/>
  <c r="K1541" i="1"/>
  <c r="I1541" i="1"/>
  <c r="S1541" i="1" s="1"/>
  <c r="S1540" i="1"/>
  <c r="Q1540" i="1"/>
  <c r="P1540" i="1"/>
  <c r="K1540" i="1"/>
  <c r="I1540" i="1"/>
  <c r="O1540" i="1" s="1"/>
  <c r="R1540" i="1" s="1"/>
  <c r="Q1539" i="1"/>
  <c r="P1539" i="1"/>
  <c r="K1539" i="1"/>
  <c r="I1539" i="1"/>
  <c r="S1539" i="1" s="1"/>
  <c r="Q1538" i="1"/>
  <c r="P1538" i="1"/>
  <c r="K1538" i="1"/>
  <c r="I1538" i="1"/>
  <c r="S1538" i="1" s="1"/>
  <c r="Q1537" i="1"/>
  <c r="P1537" i="1"/>
  <c r="K1537" i="1"/>
  <c r="I1537" i="1"/>
  <c r="S1537" i="1" s="1"/>
  <c r="Q1536" i="1"/>
  <c r="P1536" i="1"/>
  <c r="K1536" i="1"/>
  <c r="I1536" i="1"/>
  <c r="Q1535" i="1"/>
  <c r="P1535" i="1"/>
  <c r="K1535" i="1"/>
  <c r="I1535" i="1"/>
  <c r="S1535" i="1" s="1"/>
  <c r="S1534" i="1"/>
  <c r="Q1534" i="1"/>
  <c r="P1534" i="1"/>
  <c r="K1534" i="1"/>
  <c r="I1534" i="1"/>
  <c r="Q1533" i="1"/>
  <c r="P1533" i="1"/>
  <c r="K1533" i="1"/>
  <c r="I1533" i="1"/>
  <c r="S1533" i="1" s="1"/>
  <c r="Q1532" i="1"/>
  <c r="P1532" i="1"/>
  <c r="K1532" i="1"/>
  <c r="I1532" i="1"/>
  <c r="Q1531" i="1"/>
  <c r="P1531" i="1"/>
  <c r="K1531" i="1"/>
  <c r="I1531" i="1"/>
  <c r="S1530" i="1"/>
  <c r="Q1530" i="1"/>
  <c r="P1530" i="1"/>
  <c r="O1530" i="1"/>
  <c r="R1530" i="1" s="1"/>
  <c r="K1530" i="1"/>
  <c r="I1530" i="1"/>
  <c r="Q1529" i="1"/>
  <c r="P1529" i="1"/>
  <c r="K1529" i="1"/>
  <c r="I1529" i="1"/>
  <c r="Q1528" i="1"/>
  <c r="P1528" i="1"/>
  <c r="K1528" i="1"/>
  <c r="I1528" i="1"/>
  <c r="Q1527" i="1"/>
  <c r="P1527" i="1"/>
  <c r="K1527" i="1"/>
  <c r="I1527" i="1"/>
  <c r="S1527" i="1" s="1"/>
  <c r="Q1526" i="1"/>
  <c r="P1526" i="1"/>
  <c r="K1526" i="1"/>
  <c r="I1526" i="1"/>
  <c r="S1526" i="1" s="1"/>
  <c r="Q1525" i="1"/>
  <c r="P1525" i="1"/>
  <c r="K1525" i="1"/>
  <c r="I1525" i="1"/>
  <c r="S1525" i="1" s="1"/>
  <c r="Q1524" i="1"/>
  <c r="P1524" i="1"/>
  <c r="K1524" i="1"/>
  <c r="I1524" i="1"/>
  <c r="S1524" i="1" s="1"/>
  <c r="Q1523" i="1"/>
  <c r="P1523" i="1"/>
  <c r="K1523" i="1"/>
  <c r="I1523" i="1"/>
  <c r="S1523" i="1" s="1"/>
  <c r="Q1522" i="1"/>
  <c r="P1522" i="1"/>
  <c r="K1522" i="1"/>
  <c r="I1522" i="1"/>
  <c r="S1522" i="1" s="1"/>
  <c r="Q1521" i="1"/>
  <c r="P1521" i="1"/>
  <c r="K1521" i="1"/>
  <c r="I1521" i="1"/>
  <c r="S1520" i="1"/>
  <c r="Q1520" i="1"/>
  <c r="P1520" i="1"/>
  <c r="K1520" i="1"/>
  <c r="I1520" i="1"/>
  <c r="Q1519" i="1"/>
  <c r="P1519" i="1"/>
  <c r="K1519" i="1"/>
  <c r="I1519" i="1"/>
  <c r="S1518" i="1"/>
  <c r="Q1518" i="1"/>
  <c r="P1518" i="1"/>
  <c r="K1518" i="1"/>
  <c r="I1518" i="1"/>
  <c r="Q1517" i="1"/>
  <c r="P1517" i="1"/>
  <c r="O1517" i="1"/>
  <c r="R1517" i="1" s="1"/>
  <c r="K1517" i="1"/>
  <c r="I1517" i="1"/>
  <c r="S1517" i="1" s="1"/>
  <c r="Q1516" i="1"/>
  <c r="P1516" i="1"/>
  <c r="K1516" i="1"/>
  <c r="I1516" i="1"/>
  <c r="S1516" i="1" s="1"/>
  <c r="Q1515" i="1"/>
  <c r="P1515" i="1"/>
  <c r="K1515" i="1"/>
  <c r="I1515" i="1"/>
  <c r="Q1514" i="1"/>
  <c r="P1514" i="1"/>
  <c r="K1514" i="1"/>
  <c r="I1514" i="1"/>
  <c r="Q1513" i="1"/>
  <c r="P1513" i="1"/>
  <c r="K1513" i="1"/>
  <c r="I1513" i="1"/>
  <c r="Q1512" i="1"/>
  <c r="P1512" i="1"/>
  <c r="K1512" i="1"/>
  <c r="I1512" i="1"/>
  <c r="Q1511" i="1"/>
  <c r="P1511" i="1"/>
  <c r="K1511" i="1"/>
  <c r="I1511" i="1"/>
  <c r="S1511" i="1" s="1"/>
  <c r="Q1510" i="1"/>
  <c r="P1510" i="1"/>
  <c r="O1510" i="1"/>
  <c r="R1510" i="1" s="1"/>
  <c r="K1510" i="1"/>
  <c r="I1510" i="1"/>
  <c r="S1510" i="1" s="1"/>
  <c r="Q1509" i="1"/>
  <c r="P1509" i="1"/>
  <c r="O1509" i="1"/>
  <c r="R1509" i="1" s="1"/>
  <c r="K1509" i="1"/>
  <c r="I1509" i="1"/>
  <c r="S1509" i="1" s="1"/>
  <c r="S1508" i="1"/>
  <c r="Q1508" i="1"/>
  <c r="P1508" i="1"/>
  <c r="K1508" i="1"/>
  <c r="I1508" i="1"/>
  <c r="Q1507" i="1"/>
  <c r="P1507" i="1"/>
  <c r="K1507" i="1"/>
  <c r="I1507" i="1"/>
  <c r="S1507" i="1" s="1"/>
  <c r="Q1506" i="1"/>
  <c r="P1506" i="1"/>
  <c r="K1506" i="1"/>
  <c r="I1506" i="1"/>
  <c r="S1506" i="1" s="1"/>
  <c r="Q1505" i="1"/>
  <c r="P1505" i="1"/>
  <c r="K1505" i="1"/>
  <c r="I1505" i="1"/>
  <c r="S1504" i="1"/>
  <c r="Q1504" i="1"/>
  <c r="P1504" i="1"/>
  <c r="K1504" i="1"/>
  <c r="I1504" i="1"/>
  <c r="Q1503" i="1"/>
  <c r="P1503" i="1"/>
  <c r="K1503" i="1"/>
  <c r="I1503" i="1"/>
  <c r="S1503" i="1" s="1"/>
  <c r="S1502" i="1"/>
  <c r="Q1502" i="1"/>
  <c r="P1502" i="1"/>
  <c r="O1502" i="1"/>
  <c r="R1502" i="1" s="1"/>
  <c r="K1502" i="1"/>
  <c r="I1502" i="1"/>
  <c r="Q1501" i="1"/>
  <c r="P1501" i="1"/>
  <c r="O1501" i="1"/>
  <c r="R1501" i="1" s="1"/>
  <c r="K1501" i="1"/>
  <c r="I1501" i="1"/>
  <c r="S1501" i="1" s="1"/>
  <c r="Q1500" i="1"/>
  <c r="P1500" i="1"/>
  <c r="K1500" i="1"/>
  <c r="I1500" i="1"/>
  <c r="S1500" i="1" s="1"/>
  <c r="Q1499" i="1"/>
  <c r="P1499" i="1"/>
  <c r="K1499" i="1"/>
  <c r="I1499" i="1"/>
  <c r="S1498" i="1"/>
  <c r="Q1498" i="1"/>
  <c r="P1498" i="1"/>
  <c r="K1498" i="1"/>
  <c r="I1498" i="1"/>
  <c r="O1498" i="1" s="1"/>
  <c r="R1498" i="1" s="1"/>
  <c r="Q1497" i="1"/>
  <c r="P1497" i="1"/>
  <c r="K1497" i="1"/>
  <c r="I1497" i="1"/>
  <c r="S1496" i="1"/>
  <c r="Q1496" i="1"/>
  <c r="P1496" i="1"/>
  <c r="O1496" i="1"/>
  <c r="R1496" i="1" s="1"/>
  <c r="K1496" i="1"/>
  <c r="I1496" i="1"/>
  <c r="Q1495" i="1"/>
  <c r="P1495" i="1"/>
  <c r="O1495" i="1"/>
  <c r="R1495" i="1" s="1"/>
  <c r="K1495" i="1"/>
  <c r="I1495" i="1"/>
  <c r="S1495" i="1" s="1"/>
  <c r="S1494" i="1"/>
  <c r="Q1494" i="1"/>
  <c r="P1494" i="1"/>
  <c r="O1494" i="1"/>
  <c r="R1494" i="1" s="1"/>
  <c r="K1494" i="1"/>
  <c r="I1494" i="1"/>
  <c r="Q1493" i="1"/>
  <c r="P1493" i="1"/>
  <c r="O1493" i="1"/>
  <c r="R1493" i="1" s="1"/>
  <c r="K1493" i="1"/>
  <c r="I1493" i="1"/>
  <c r="S1493" i="1" s="1"/>
  <c r="Q1492" i="1"/>
  <c r="P1492" i="1"/>
  <c r="K1492" i="1"/>
  <c r="I1492" i="1"/>
  <c r="Q1491" i="1"/>
  <c r="P1491" i="1"/>
  <c r="K1491" i="1"/>
  <c r="I1491" i="1"/>
  <c r="S1491" i="1" s="1"/>
  <c r="Q1490" i="1"/>
  <c r="P1490" i="1"/>
  <c r="K1490" i="1"/>
  <c r="I1490" i="1"/>
  <c r="S1490" i="1" s="1"/>
  <c r="Q1489" i="1"/>
  <c r="P1489" i="1"/>
  <c r="K1489" i="1"/>
  <c r="I1489" i="1"/>
  <c r="S1489" i="1" s="1"/>
  <c r="Q1488" i="1"/>
  <c r="P1488" i="1"/>
  <c r="K1488" i="1"/>
  <c r="I1488" i="1"/>
  <c r="Q1487" i="1"/>
  <c r="P1487" i="1"/>
  <c r="K1487" i="1"/>
  <c r="I1487" i="1"/>
  <c r="S1487" i="1" s="1"/>
  <c r="Q1486" i="1"/>
  <c r="P1486" i="1"/>
  <c r="O1486" i="1"/>
  <c r="R1486" i="1" s="1"/>
  <c r="K1486" i="1"/>
  <c r="I1486" i="1"/>
  <c r="S1486" i="1" s="1"/>
  <c r="S1485" i="1"/>
  <c r="Q1485" i="1"/>
  <c r="P1485" i="1"/>
  <c r="O1485" i="1"/>
  <c r="R1485" i="1" s="1"/>
  <c r="K1485" i="1"/>
  <c r="I1485" i="1"/>
  <c r="S1484" i="1"/>
  <c r="Q1484" i="1"/>
  <c r="P1484" i="1"/>
  <c r="K1484" i="1"/>
  <c r="I1484" i="1"/>
  <c r="S1483" i="1"/>
  <c r="Q1483" i="1"/>
  <c r="P1483" i="1"/>
  <c r="O1483" i="1"/>
  <c r="R1483" i="1" s="1"/>
  <c r="K1483" i="1"/>
  <c r="I1483" i="1"/>
  <c r="Q1482" i="1"/>
  <c r="P1482" i="1"/>
  <c r="K1482" i="1"/>
  <c r="I1482" i="1"/>
  <c r="Q1481" i="1"/>
  <c r="P1481" i="1"/>
  <c r="K1481" i="1"/>
  <c r="I1481" i="1"/>
  <c r="S1480" i="1"/>
  <c r="Q1480" i="1"/>
  <c r="P1480" i="1"/>
  <c r="K1480" i="1"/>
  <c r="I1480" i="1"/>
  <c r="O1480" i="1" s="1"/>
  <c r="R1480" i="1" s="1"/>
  <c r="Q1479" i="1"/>
  <c r="P1479" i="1"/>
  <c r="K1479" i="1"/>
  <c r="I1479" i="1"/>
  <c r="S1478" i="1"/>
  <c r="Q1478" i="1"/>
  <c r="P1478" i="1"/>
  <c r="K1478" i="1"/>
  <c r="I1478" i="1"/>
  <c r="O1478" i="1" s="1"/>
  <c r="R1478" i="1" s="1"/>
  <c r="S1477" i="1"/>
  <c r="Q1477" i="1"/>
  <c r="P1477" i="1"/>
  <c r="O1477" i="1"/>
  <c r="R1477" i="1" s="1"/>
  <c r="K1477" i="1"/>
  <c r="I1477" i="1"/>
  <c r="Q1476" i="1"/>
  <c r="P1476" i="1"/>
  <c r="K1476" i="1"/>
  <c r="I1476" i="1"/>
  <c r="S1475" i="1"/>
  <c r="Q1475" i="1"/>
  <c r="P1475" i="1"/>
  <c r="K1475" i="1"/>
  <c r="I1475" i="1"/>
  <c r="Q1474" i="1"/>
  <c r="P1474" i="1"/>
  <c r="K1474" i="1"/>
  <c r="I1474" i="1"/>
  <c r="S1474" i="1" s="1"/>
  <c r="S1473" i="1"/>
  <c r="Q1473" i="1"/>
  <c r="P1473" i="1"/>
  <c r="K1473" i="1"/>
  <c r="I1473" i="1"/>
  <c r="Q1472" i="1"/>
  <c r="P1472" i="1"/>
  <c r="K1472" i="1"/>
  <c r="I1472" i="1"/>
  <c r="Q1471" i="1"/>
  <c r="P1471" i="1"/>
  <c r="K1471" i="1"/>
  <c r="I1471" i="1"/>
  <c r="Q1470" i="1"/>
  <c r="P1470" i="1"/>
  <c r="O1470" i="1"/>
  <c r="R1470" i="1" s="1"/>
  <c r="K1470" i="1"/>
  <c r="I1470" i="1"/>
  <c r="S1470" i="1" s="1"/>
  <c r="Q1469" i="1"/>
  <c r="P1469" i="1"/>
  <c r="K1469" i="1"/>
  <c r="I1469" i="1"/>
  <c r="S1468" i="1"/>
  <c r="Q1468" i="1"/>
  <c r="P1468" i="1"/>
  <c r="K1468" i="1"/>
  <c r="I1468" i="1"/>
  <c r="Q1467" i="1"/>
  <c r="P1467" i="1"/>
  <c r="O1467" i="1"/>
  <c r="R1467" i="1" s="1"/>
  <c r="K1467" i="1"/>
  <c r="I1467" i="1"/>
  <c r="S1467" i="1" s="1"/>
  <c r="Q1466" i="1"/>
  <c r="P1466" i="1"/>
  <c r="K1466" i="1"/>
  <c r="I1466" i="1"/>
  <c r="Q1465" i="1"/>
  <c r="P1465" i="1"/>
  <c r="K1465" i="1"/>
  <c r="I1465" i="1"/>
  <c r="S1465" i="1" s="1"/>
  <c r="Q1464" i="1"/>
  <c r="P1464" i="1"/>
  <c r="O1464" i="1"/>
  <c r="R1464" i="1" s="1"/>
  <c r="K1464" i="1"/>
  <c r="I1464" i="1"/>
  <c r="S1464" i="1" s="1"/>
  <c r="Q1463" i="1"/>
  <c r="P1463" i="1"/>
  <c r="K1463" i="1"/>
  <c r="I1463" i="1"/>
  <c r="S1462" i="1"/>
  <c r="Q1462" i="1"/>
  <c r="P1462" i="1"/>
  <c r="K1462" i="1"/>
  <c r="I1462" i="1"/>
  <c r="O1462" i="1" s="1"/>
  <c r="R1462" i="1" s="1"/>
  <c r="S1461" i="1"/>
  <c r="Q1461" i="1"/>
  <c r="P1461" i="1"/>
  <c r="O1461" i="1"/>
  <c r="R1461" i="1" s="1"/>
  <c r="K1461" i="1"/>
  <c r="I1461" i="1"/>
  <c r="S1460" i="1"/>
  <c r="Q1460" i="1"/>
  <c r="P1460" i="1"/>
  <c r="O1460" i="1"/>
  <c r="R1460" i="1" s="1"/>
  <c r="K1460" i="1"/>
  <c r="I1460" i="1"/>
  <c r="S1459" i="1"/>
  <c r="Q1459" i="1"/>
  <c r="P1459" i="1"/>
  <c r="K1459" i="1"/>
  <c r="I1459" i="1"/>
  <c r="S1458" i="1"/>
  <c r="Q1458" i="1"/>
  <c r="P1458" i="1"/>
  <c r="K1458" i="1"/>
  <c r="I1458" i="1"/>
  <c r="S1457" i="1"/>
  <c r="Q1457" i="1"/>
  <c r="P1457" i="1"/>
  <c r="K1457" i="1"/>
  <c r="I1457" i="1"/>
  <c r="Q1456" i="1"/>
  <c r="P1456" i="1"/>
  <c r="K1456" i="1"/>
  <c r="I1456" i="1"/>
  <c r="S1455" i="1"/>
  <c r="Q1455" i="1"/>
  <c r="P1455" i="1"/>
  <c r="K1455" i="1"/>
  <c r="I1455" i="1"/>
  <c r="Q1454" i="1"/>
  <c r="P1454" i="1"/>
  <c r="O1454" i="1"/>
  <c r="R1454" i="1" s="1"/>
  <c r="K1454" i="1"/>
  <c r="I1454" i="1"/>
  <c r="S1454" i="1" s="1"/>
  <c r="S1453" i="1"/>
  <c r="Q1453" i="1"/>
  <c r="P1453" i="1"/>
  <c r="O1453" i="1"/>
  <c r="R1453" i="1" s="1"/>
  <c r="K1453" i="1"/>
  <c r="I1453" i="1"/>
  <c r="S1452" i="1"/>
  <c r="Q1452" i="1"/>
  <c r="P1452" i="1"/>
  <c r="K1452" i="1"/>
  <c r="I1452" i="1"/>
  <c r="S1451" i="1"/>
  <c r="Q1451" i="1"/>
  <c r="P1451" i="1"/>
  <c r="K1451" i="1"/>
  <c r="I1451" i="1"/>
  <c r="O1451" i="1" s="1"/>
  <c r="R1451" i="1" s="1"/>
  <c r="S1450" i="1"/>
  <c r="Q1450" i="1"/>
  <c r="P1450" i="1"/>
  <c r="K1450" i="1"/>
  <c r="I1450" i="1"/>
  <c r="O1450" i="1" s="1"/>
  <c r="R1450" i="1" s="1"/>
  <c r="Q1449" i="1"/>
  <c r="P1449" i="1"/>
  <c r="K1449" i="1"/>
  <c r="I1449" i="1"/>
  <c r="S1448" i="1"/>
  <c r="Q1448" i="1"/>
  <c r="P1448" i="1"/>
  <c r="K1448" i="1"/>
  <c r="I1448" i="1"/>
  <c r="O1448" i="1" s="1"/>
  <c r="R1448" i="1" s="1"/>
  <c r="Q1447" i="1"/>
  <c r="P1447" i="1"/>
  <c r="K1447" i="1"/>
  <c r="I1447" i="1"/>
  <c r="Q1446" i="1"/>
  <c r="P1446" i="1"/>
  <c r="K1446" i="1"/>
  <c r="I1446" i="1"/>
  <c r="S1445" i="1"/>
  <c r="Q1445" i="1"/>
  <c r="P1445" i="1"/>
  <c r="O1445" i="1"/>
  <c r="R1445" i="1" s="1"/>
  <c r="K1445" i="1"/>
  <c r="I1445" i="1"/>
  <c r="Q1444" i="1"/>
  <c r="P1444" i="1"/>
  <c r="K1444" i="1"/>
  <c r="I1444" i="1"/>
  <c r="S1443" i="1"/>
  <c r="Q1443" i="1"/>
  <c r="P1443" i="1"/>
  <c r="K1443" i="1"/>
  <c r="I1443" i="1"/>
  <c r="S1442" i="1"/>
  <c r="Q1442" i="1"/>
  <c r="P1442" i="1"/>
  <c r="K1442" i="1"/>
  <c r="I1442" i="1"/>
  <c r="Q1441" i="1"/>
  <c r="P1441" i="1"/>
  <c r="K1441" i="1"/>
  <c r="I1441" i="1"/>
  <c r="Q1440" i="1"/>
  <c r="P1440" i="1"/>
  <c r="K1440" i="1"/>
  <c r="I1440" i="1"/>
  <c r="Q1439" i="1"/>
  <c r="P1439" i="1"/>
  <c r="K1439" i="1"/>
  <c r="I1439" i="1"/>
  <c r="S1439" i="1" s="1"/>
  <c r="Q1438" i="1"/>
  <c r="P1438" i="1"/>
  <c r="O1438" i="1"/>
  <c r="R1438" i="1" s="1"/>
  <c r="K1438" i="1"/>
  <c r="I1438" i="1"/>
  <c r="S1438" i="1" s="1"/>
  <c r="S1437" i="1"/>
  <c r="Q1437" i="1"/>
  <c r="P1437" i="1"/>
  <c r="K1437" i="1"/>
  <c r="I1437" i="1"/>
  <c r="O1437" i="1" s="1"/>
  <c r="R1437" i="1" s="1"/>
  <c r="S1436" i="1"/>
  <c r="Q1436" i="1"/>
  <c r="P1436" i="1"/>
  <c r="K1436" i="1"/>
  <c r="I1436" i="1"/>
  <c r="S1435" i="1"/>
  <c r="Q1435" i="1"/>
  <c r="P1435" i="1"/>
  <c r="K1435" i="1"/>
  <c r="I1435" i="1"/>
  <c r="O1435" i="1" s="1"/>
  <c r="R1435" i="1" s="1"/>
  <c r="Q1434" i="1"/>
  <c r="P1434" i="1"/>
  <c r="K1434" i="1"/>
  <c r="I1434" i="1"/>
  <c r="Q1433" i="1"/>
  <c r="P1433" i="1"/>
  <c r="K1433" i="1"/>
  <c r="I1433" i="1"/>
  <c r="S1433" i="1" s="1"/>
  <c r="Q1432" i="1"/>
  <c r="P1432" i="1"/>
  <c r="K1432" i="1"/>
  <c r="I1432" i="1"/>
  <c r="Q1431" i="1"/>
  <c r="P1431" i="1"/>
  <c r="K1431" i="1"/>
  <c r="I1431" i="1"/>
  <c r="S1430" i="1"/>
  <c r="Q1430" i="1"/>
  <c r="P1430" i="1"/>
  <c r="O1430" i="1"/>
  <c r="R1430" i="1" s="1"/>
  <c r="K1430" i="1"/>
  <c r="I1430" i="1"/>
  <c r="S1429" i="1"/>
  <c r="Q1429" i="1"/>
  <c r="P1429" i="1"/>
  <c r="O1429" i="1"/>
  <c r="R1429" i="1" s="1"/>
  <c r="K1429" i="1"/>
  <c r="I1429" i="1"/>
  <c r="Q1428" i="1"/>
  <c r="P1428" i="1"/>
  <c r="K1428" i="1"/>
  <c r="I1428" i="1"/>
  <c r="S1427" i="1"/>
  <c r="Q1427" i="1"/>
  <c r="P1427" i="1"/>
  <c r="K1427" i="1"/>
  <c r="I1427" i="1"/>
  <c r="Q1426" i="1"/>
  <c r="P1426" i="1"/>
  <c r="K1426" i="1"/>
  <c r="I1426" i="1"/>
  <c r="S1425" i="1"/>
  <c r="Q1425" i="1"/>
  <c r="P1425" i="1"/>
  <c r="K1425" i="1"/>
  <c r="I1425" i="1"/>
  <c r="Q1424" i="1"/>
  <c r="P1424" i="1"/>
  <c r="K1424" i="1"/>
  <c r="I1424" i="1"/>
  <c r="Q1423" i="1"/>
  <c r="P1423" i="1"/>
  <c r="K1423" i="1"/>
  <c r="I1423" i="1"/>
  <c r="Q1422" i="1"/>
  <c r="P1422" i="1"/>
  <c r="K1422" i="1"/>
  <c r="I1422" i="1"/>
  <c r="S1422" i="1" s="1"/>
  <c r="Q1421" i="1"/>
  <c r="P1421" i="1"/>
  <c r="O1421" i="1"/>
  <c r="R1421" i="1" s="1"/>
  <c r="K1421" i="1"/>
  <c r="I1421" i="1"/>
  <c r="S1421" i="1" s="1"/>
  <c r="S1420" i="1"/>
  <c r="Q1420" i="1"/>
  <c r="P1420" i="1"/>
  <c r="K1420" i="1"/>
  <c r="I1420" i="1"/>
  <c r="Q1419" i="1"/>
  <c r="P1419" i="1"/>
  <c r="K1419" i="1"/>
  <c r="I1419" i="1"/>
  <c r="Q1418" i="1"/>
  <c r="P1418" i="1"/>
  <c r="O1418" i="1"/>
  <c r="R1418" i="1" s="1"/>
  <c r="K1418" i="1"/>
  <c r="I1418" i="1"/>
  <c r="S1418" i="1" s="1"/>
  <c r="Q1417" i="1"/>
  <c r="P1417" i="1"/>
  <c r="K1417" i="1"/>
  <c r="I1417" i="1"/>
  <c r="Q1416" i="1"/>
  <c r="P1416" i="1"/>
  <c r="K1416" i="1"/>
  <c r="I1416" i="1"/>
  <c r="S1416" i="1" s="1"/>
  <c r="Q1415" i="1"/>
  <c r="P1415" i="1"/>
  <c r="K1415" i="1"/>
  <c r="I1415" i="1"/>
  <c r="Q1414" i="1"/>
  <c r="P1414" i="1"/>
  <c r="K1414" i="1"/>
  <c r="I1414" i="1"/>
  <c r="S1413" i="1"/>
  <c r="Q1413" i="1"/>
  <c r="P1413" i="1"/>
  <c r="O1413" i="1"/>
  <c r="R1413" i="1" s="1"/>
  <c r="K1413" i="1"/>
  <c r="I1413" i="1"/>
  <c r="S1412" i="1"/>
  <c r="Q1412" i="1"/>
  <c r="P1412" i="1"/>
  <c r="O1412" i="1"/>
  <c r="R1412" i="1" s="1"/>
  <c r="K1412" i="1"/>
  <c r="I1412" i="1"/>
  <c r="S1411" i="1"/>
  <c r="Q1411" i="1"/>
  <c r="P1411" i="1"/>
  <c r="K1411" i="1"/>
  <c r="I1411" i="1"/>
  <c r="S1410" i="1"/>
  <c r="Q1410" i="1"/>
  <c r="P1410" i="1"/>
  <c r="K1410" i="1"/>
  <c r="I1410" i="1"/>
  <c r="Q1409" i="1"/>
  <c r="P1409" i="1"/>
  <c r="K1409" i="1"/>
  <c r="I1409" i="1"/>
  <c r="S1409" i="1" s="1"/>
  <c r="Q1408" i="1"/>
  <c r="P1408" i="1"/>
  <c r="K1408" i="1"/>
  <c r="I1408" i="1"/>
  <c r="Q1407" i="1"/>
  <c r="P1407" i="1"/>
  <c r="K1407" i="1"/>
  <c r="I1407" i="1"/>
  <c r="Q1406" i="1"/>
  <c r="P1406" i="1"/>
  <c r="K1406" i="1"/>
  <c r="I1406" i="1"/>
  <c r="S1406" i="1" s="1"/>
  <c r="S1405" i="1"/>
  <c r="Q1405" i="1"/>
  <c r="P1405" i="1"/>
  <c r="O1405" i="1"/>
  <c r="R1405" i="1" s="1"/>
  <c r="K1405" i="1"/>
  <c r="I1405" i="1"/>
  <c r="S1404" i="1"/>
  <c r="Q1404" i="1"/>
  <c r="P1404" i="1"/>
  <c r="K1404" i="1"/>
  <c r="I1404" i="1"/>
  <c r="S1403" i="1"/>
  <c r="Q1403" i="1"/>
  <c r="P1403" i="1"/>
  <c r="O1403" i="1"/>
  <c r="R1403" i="1" s="1"/>
  <c r="K1403" i="1"/>
  <c r="I1403" i="1"/>
  <c r="Q1402" i="1"/>
  <c r="P1402" i="1"/>
  <c r="K1402" i="1"/>
  <c r="I1402" i="1"/>
  <c r="Q1401" i="1"/>
  <c r="P1401" i="1"/>
  <c r="K1401" i="1"/>
  <c r="I1401" i="1"/>
  <c r="S1401" i="1" s="1"/>
  <c r="S1400" i="1"/>
  <c r="Q1400" i="1"/>
  <c r="P1400" i="1"/>
  <c r="K1400" i="1"/>
  <c r="I1400" i="1"/>
  <c r="Q1399" i="1"/>
  <c r="P1399" i="1"/>
  <c r="K1399" i="1"/>
  <c r="I1399" i="1"/>
  <c r="S1398" i="1"/>
  <c r="Q1398" i="1"/>
  <c r="P1398" i="1"/>
  <c r="K1398" i="1"/>
  <c r="I1398" i="1"/>
  <c r="O1398" i="1" s="1"/>
  <c r="R1398" i="1" s="1"/>
  <c r="S1397" i="1"/>
  <c r="R1397" i="1"/>
  <c r="Q1397" i="1"/>
  <c r="P1397" i="1"/>
  <c r="O1397" i="1"/>
  <c r="K1397" i="1"/>
  <c r="I1397" i="1"/>
  <c r="Q1396" i="1"/>
  <c r="P1396" i="1"/>
  <c r="K1396" i="1"/>
  <c r="I1396" i="1"/>
  <c r="S1395" i="1"/>
  <c r="Q1395" i="1"/>
  <c r="P1395" i="1"/>
  <c r="K1395" i="1"/>
  <c r="I1395" i="1"/>
  <c r="Q1394" i="1"/>
  <c r="P1394" i="1"/>
  <c r="K1394" i="1"/>
  <c r="I1394" i="1"/>
  <c r="S1393" i="1"/>
  <c r="Q1393" i="1"/>
  <c r="P1393" i="1"/>
  <c r="K1393" i="1"/>
  <c r="I1393" i="1"/>
  <c r="Q1392" i="1"/>
  <c r="P1392" i="1"/>
  <c r="K1392" i="1"/>
  <c r="I1392" i="1"/>
  <c r="Q1391" i="1"/>
  <c r="P1391" i="1"/>
  <c r="K1391" i="1"/>
  <c r="I1391" i="1"/>
  <c r="Q1390" i="1"/>
  <c r="P1390" i="1"/>
  <c r="K1390" i="1"/>
  <c r="I1390" i="1"/>
  <c r="S1390" i="1" s="1"/>
  <c r="Q1389" i="1"/>
  <c r="P1389" i="1"/>
  <c r="K1389" i="1"/>
  <c r="I1389" i="1"/>
  <c r="S1388" i="1"/>
  <c r="Q1388" i="1"/>
  <c r="P1388" i="1"/>
  <c r="K1388" i="1"/>
  <c r="I1388" i="1"/>
  <c r="S1387" i="1"/>
  <c r="Q1387" i="1"/>
  <c r="P1387" i="1"/>
  <c r="K1387" i="1"/>
  <c r="I1387" i="1"/>
  <c r="O1387" i="1" s="1"/>
  <c r="R1387" i="1" s="1"/>
  <c r="Q1386" i="1"/>
  <c r="P1386" i="1"/>
  <c r="O1386" i="1"/>
  <c r="R1386" i="1" s="1"/>
  <c r="K1386" i="1"/>
  <c r="I1386" i="1"/>
  <c r="S1386" i="1" s="1"/>
  <c r="Q1385" i="1"/>
  <c r="P1385" i="1"/>
  <c r="O1385" i="1"/>
  <c r="R1385" i="1" s="1"/>
  <c r="K1385" i="1"/>
  <c r="I1385" i="1"/>
  <c r="S1385" i="1" s="1"/>
  <c r="Q1384" i="1"/>
  <c r="P1384" i="1"/>
  <c r="O1384" i="1"/>
  <c r="R1384" i="1" s="1"/>
  <c r="K1384" i="1"/>
  <c r="I1384" i="1"/>
  <c r="S1384" i="1" s="1"/>
  <c r="Q1383" i="1"/>
  <c r="P1383" i="1"/>
  <c r="K1383" i="1"/>
  <c r="I1383" i="1"/>
  <c r="S1382" i="1"/>
  <c r="Q1382" i="1"/>
  <c r="P1382" i="1"/>
  <c r="O1382" i="1"/>
  <c r="R1382" i="1" s="1"/>
  <c r="K1382" i="1"/>
  <c r="I1382" i="1"/>
  <c r="S1381" i="1"/>
  <c r="Q1381" i="1"/>
  <c r="P1381" i="1"/>
  <c r="O1381" i="1"/>
  <c r="R1381" i="1" s="1"/>
  <c r="K1381" i="1"/>
  <c r="I1381" i="1"/>
  <c r="S1380" i="1"/>
  <c r="Q1380" i="1"/>
  <c r="P1380" i="1"/>
  <c r="O1380" i="1"/>
  <c r="R1380" i="1" s="1"/>
  <c r="K1380" i="1"/>
  <c r="I1380" i="1"/>
  <c r="Q1379" i="1"/>
  <c r="P1379" i="1"/>
  <c r="K1379" i="1"/>
  <c r="I1379" i="1"/>
  <c r="S1378" i="1"/>
  <c r="Q1378" i="1"/>
  <c r="P1378" i="1"/>
  <c r="K1378" i="1"/>
  <c r="I1378" i="1"/>
  <c r="Q1377" i="1"/>
  <c r="P1377" i="1"/>
  <c r="K1377" i="1"/>
  <c r="I1377" i="1"/>
  <c r="S1377" i="1" s="1"/>
  <c r="S1376" i="1"/>
  <c r="Q1376" i="1"/>
  <c r="P1376" i="1"/>
  <c r="K1376" i="1"/>
  <c r="I1376" i="1"/>
  <c r="S1375" i="1"/>
  <c r="Q1375" i="1"/>
  <c r="P1375" i="1"/>
  <c r="K1375" i="1"/>
  <c r="I1375" i="1"/>
  <c r="Q1374" i="1"/>
  <c r="P1374" i="1"/>
  <c r="K1374" i="1"/>
  <c r="I1374" i="1"/>
  <c r="S1374" i="1" s="1"/>
  <c r="S1373" i="1"/>
  <c r="Q1373" i="1"/>
  <c r="P1373" i="1"/>
  <c r="O1373" i="1"/>
  <c r="R1373" i="1" s="1"/>
  <c r="K1373" i="1"/>
  <c r="I1373" i="1"/>
  <c r="Q1372" i="1"/>
  <c r="P1372" i="1"/>
  <c r="K1372" i="1"/>
  <c r="I1372" i="1"/>
  <c r="S1371" i="1"/>
  <c r="Q1371" i="1"/>
  <c r="P1371" i="1"/>
  <c r="K1371" i="1"/>
  <c r="I1371" i="1"/>
  <c r="Q1370" i="1"/>
  <c r="P1370" i="1"/>
  <c r="K1370" i="1"/>
  <c r="I1370" i="1"/>
  <c r="Q1369" i="1"/>
  <c r="P1369" i="1"/>
  <c r="K1369" i="1"/>
  <c r="I1369" i="1"/>
  <c r="S1368" i="1"/>
  <c r="Q1368" i="1"/>
  <c r="P1368" i="1"/>
  <c r="K1368" i="1"/>
  <c r="I1368" i="1"/>
  <c r="O1368" i="1" s="1"/>
  <c r="R1368" i="1" s="1"/>
  <c r="Q1367" i="1"/>
  <c r="P1367" i="1"/>
  <c r="K1367" i="1"/>
  <c r="I1367" i="1"/>
  <c r="S1366" i="1"/>
  <c r="Q1366" i="1"/>
  <c r="P1366" i="1"/>
  <c r="O1366" i="1"/>
  <c r="R1366" i="1" s="1"/>
  <c r="K1366" i="1"/>
  <c r="I1366" i="1"/>
  <c r="S1365" i="1"/>
  <c r="Q1365" i="1"/>
  <c r="P1365" i="1"/>
  <c r="O1365" i="1"/>
  <c r="R1365" i="1" s="1"/>
  <c r="K1365" i="1"/>
  <c r="I1365" i="1"/>
  <c r="S1364" i="1"/>
  <c r="Q1364" i="1"/>
  <c r="P1364" i="1"/>
  <c r="O1364" i="1"/>
  <c r="R1364" i="1" s="1"/>
  <c r="K1364" i="1"/>
  <c r="I1364" i="1"/>
  <c r="Q1363" i="1"/>
  <c r="P1363" i="1"/>
  <c r="K1363" i="1"/>
  <c r="I1363" i="1"/>
  <c r="Q1362" i="1"/>
  <c r="P1362" i="1"/>
  <c r="K1362" i="1"/>
  <c r="I1362" i="1"/>
  <c r="S1362" i="1" s="1"/>
  <c r="Q1361" i="1"/>
  <c r="P1361" i="1"/>
  <c r="K1361" i="1"/>
  <c r="I1361" i="1"/>
  <c r="S1361" i="1" s="1"/>
  <c r="S1360" i="1"/>
  <c r="Q1360" i="1"/>
  <c r="P1360" i="1"/>
  <c r="O1360" i="1"/>
  <c r="R1360" i="1" s="1"/>
  <c r="K1360" i="1"/>
  <c r="I1360" i="1"/>
  <c r="S1359" i="1"/>
  <c r="Q1359" i="1"/>
  <c r="P1359" i="1"/>
  <c r="K1359" i="1"/>
  <c r="I1359" i="1"/>
  <c r="S1358" i="1"/>
  <c r="Q1358" i="1"/>
  <c r="P1358" i="1"/>
  <c r="O1358" i="1"/>
  <c r="R1358" i="1" s="1"/>
  <c r="K1358" i="1"/>
  <c r="I1358" i="1"/>
  <c r="S1357" i="1"/>
  <c r="Q1357" i="1"/>
  <c r="P1357" i="1"/>
  <c r="O1357" i="1"/>
  <c r="R1357" i="1" s="1"/>
  <c r="K1357" i="1"/>
  <c r="I1357" i="1"/>
  <c r="Q1356" i="1"/>
  <c r="P1356" i="1"/>
  <c r="K1356" i="1"/>
  <c r="I1356" i="1"/>
  <c r="S1355" i="1"/>
  <c r="Q1355" i="1"/>
  <c r="P1355" i="1"/>
  <c r="O1355" i="1"/>
  <c r="R1355" i="1" s="1"/>
  <c r="K1355" i="1"/>
  <c r="I1355" i="1"/>
  <c r="Q1354" i="1"/>
  <c r="P1354" i="1"/>
  <c r="K1354" i="1"/>
  <c r="I1354" i="1"/>
  <c r="S1353" i="1"/>
  <c r="Q1353" i="1"/>
  <c r="P1353" i="1"/>
  <c r="K1353" i="1"/>
  <c r="I1353" i="1"/>
  <c r="S1352" i="1"/>
  <c r="Q1352" i="1"/>
  <c r="P1352" i="1"/>
  <c r="K1352" i="1"/>
  <c r="I1352" i="1"/>
  <c r="O1352" i="1" s="1"/>
  <c r="R1352" i="1" s="1"/>
  <c r="Q1351" i="1"/>
  <c r="P1351" i="1"/>
  <c r="O1351" i="1"/>
  <c r="R1351" i="1" s="1"/>
  <c r="K1351" i="1"/>
  <c r="I1351" i="1"/>
  <c r="S1351" i="1" s="1"/>
  <c r="S1350" i="1"/>
  <c r="Q1350" i="1"/>
  <c r="P1350" i="1"/>
  <c r="O1350" i="1"/>
  <c r="R1350" i="1" s="1"/>
  <c r="K1350" i="1"/>
  <c r="I1350" i="1"/>
  <c r="Q1349" i="1"/>
  <c r="P1349" i="1"/>
  <c r="K1349" i="1"/>
  <c r="I1349" i="1"/>
  <c r="S1348" i="1"/>
  <c r="Q1348" i="1"/>
  <c r="P1348" i="1"/>
  <c r="O1348" i="1"/>
  <c r="R1348" i="1" s="1"/>
  <c r="K1348" i="1"/>
  <c r="I1348" i="1"/>
  <c r="Q1347" i="1"/>
  <c r="P1347" i="1"/>
  <c r="K1347" i="1"/>
  <c r="I1347" i="1"/>
  <c r="Q1346" i="1"/>
  <c r="P1346" i="1"/>
  <c r="K1346" i="1"/>
  <c r="I1346" i="1"/>
  <c r="Q1345" i="1"/>
  <c r="P1345" i="1"/>
  <c r="K1345" i="1"/>
  <c r="I1345" i="1"/>
  <c r="S1345" i="1" s="1"/>
  <c r="Q1344" i="1"/>
  <c r="P1344" i="1"/>
  <c r="K1344" i="1"/>
  <c r="I1344" i="1"/>
  <c r="S1343" i="1"/>
  <c r="Q1343" i="1"/>
  <c r="P1343" i="1"/>
  <c r="K1343" i="1"/>
  <c r="I1343" i="1"/>
  <c r="S1342" i="1"/>
  <c r="Q1342" i="1"/>
  <c r="P1342" i="1"/>
  <c r="O1342" i="1"/>
  <c r="R1342" i="1" s="1"/>
  <c r="K1342" i="1"/>
  <c r="I1342" i="1"/>
  <c r="S1341" i="1"/>
  <c r="Q1341" i="1"/>
  <c r="P1341" i="1"/>
  <c r="O1341" i="1"/>
  <c r="R1341" i="1" s="1"/>
  <c r="K1341" i="1"/>
  <c r="I1341" i="1"/>
  <c r="Q1340" i="1"/>
  <c r="P1340" i="1"/>
  <c r="K1340" i="1"/>
  <c r="I1340" i="1"/>
  <c r="S1340" i="1" s="1"/>
  <c r="Q1339" i="1"/>
  <c r="P1339" i="1"/>
  <c r="K1339" i="1"/>
  <c r="I1339" i="1"/>
  <c r="Q1338" i="1"/>
  <c r="P1338" i="1"/>
  <c r="K1338" i="1"/>
  <c r="I1338" i="1"/>
  <c r="S1337" i="1"/>
  <c r="Q1337" i="1"/>
  <c r="P1337" i="1"/>
  <c r="K1337" i="1"/>
  <c r="I1337" i="1"/>
  <c r="S1336" i="1"/>
  <c r="Q1336" i="1"/>
  <c r="P1336" i="1"/>
  <c r="K1336" i="1"/>
  <c r="I1336" i="1"/>
  <c r="O1336" i="1" s="1"/>
  <c r="R1336" i="1" s="1"/>
  <c r="S1335" i="1"/>
  <c r="Q1335" i="1"/>
  <c r="P1335" i="1"/>
  <c r="K1335" i="1"/>
  <c r="I1335" i="1"/>
  <c r="O1335" i="1" s="1"/>
  <c r="R1335" i="1" s="1"/>
  <c r="S1334" i="1"/>
  <c r="Q1334" i="1"/>
  <c r="P1334" i="1"/>
  <c r="O1334" i="1"/>
  <c r="R1334" i="1" s="1"/>
  <c r="K1334" i="1"/>
  <c r="I1334" i="1"/>
  <c r="Q1333" i="1"/>
  <c r="P1333" i="1"/>
  <c r="K1333" i="1"/>
  <c r="I1333" i="1"/>
  <c r="S1332" i="1"/>
  <c r="Q1332" i="1"/>
  <c r="P1332" i="1"/>
  <c r="O1332" i="1"/>
  <c r="R1332" i="1" s="1"/>
  <c r="K1332" i="1"/>
  <c r="I1332" i="1"/>
  <c r="Q1331" i="1"/>
  <c r="P1331" i="1"/>
  <c r="K1331" i="1"/>
  <c r="I1331" i="1"/>
  <c r="Q1330" i="1"/>
  <c r="P1330" i="1"/>
  <c r="K1330" i="1"/>
  <c r="I1330" i="1"/>
  <c r="Q1329" i="1"/>
  <c r="P1329" i="1"/>
  <c r="K1329" i="1"/>
  <c r="I1329" i="1"/>
  <c r="S1329" i="1" s="1"/>
  <c r="Q1328" i="1"/>
  <c r="P1328" i="1"/>
  <c r="K1328" i="1"/>
  <c r="I1328" i="1"/>
  <c r="S1328" i="1" s="1"/>
  <c r="S1327" i="1"/>
  <c r="Q1327" i="1"/>
  <c r="P1327" i="1"/>
  <c r="K1327" i="1"/>
  <c r="I1327" i="1"/>
  <c r="Q1326" i="1"/>
  <c r="P1326" i="1"/>
  <c r="K1326" i="1"/>
  <c r="I1326" i="1"/>
  <c r="S1325" i="1"/>
  <c r="Q1325" i="1"/>
  <c r="P1325" i="1"/>
  <c r="O1325" i="1"/>
  <c r="R1325" i="1" s="1"/>
  <c r="K1325" i="1"/>
  <c r="I1325" i="1"/>
  <c r="Q1324" i="1"/>
  <c r="P1324" i="1"/>
  <c r="K1324" i="1"/>
  <c r="I1324" i="1"/>
  <c r="S1324" i="1" s="1"/>
  <c r="Q1323" i="1"/>
  <c r="P1323" i="1"/>
  <c r="O1323" i="1"/>
  <c r="R1323" i="1" s="1"/>
  <c r="K1323" i="1"/>
  <c r="I1323" i="1"/>
  <c r="S1323" i="1" s="1"/>
  <c r="Q1322" i="1"/>
  <c r="P1322" i="1"/>
  <c r="K1322" i="1"/>
  <c r="I1322" i="1"/>
  <c r="S1321" i="1"/>
  <c r="Q1321" i="1"/>
  <c r="P1321" i="1"/>
  <c r="K1321" i="1"/>
  <c r="I1321" i="1"/>
  <c r="S1320" i="1"/>
  <c r="Q1320" i="1"/>
  <c r="P1320" i="1"/>
  <c r="K1320" i="1"/>
  <c r="I1320" i="1"/>
  <c r="O1320" i="1" s="1"/>
  <c r="R1320" i="1" s="1"/>
  <c r="Q1319" i="1"/>
  <c r="P1319" i="1"/>
  <c r="K1319" i="1"/>
  <c r="I1319" i="1"/>
  <c r="S1318" i="1"/>
  <c r="Q1318" i="1"/>
  <c r="P1318" i="1"/>
  <c r="O1318" i="1"/>
  <c r="R1318" i="1" s="1"/>
  <c r="K1318" i="1"/>
  <c r="I1318" i="1"/>
  <c r="S1317" i="1"/>
  <c r="Q1317" i="1"/>
  <c r="P1317" i="1"/>
  <c r="O1317" i="1"/>
  <c r="R1317" i="1" s="1"/>
  <c r="K1317" i="1"/>
  <c r="I1317" i="1"/>
  <c r="S1316" i="1"/>
  <c r="Q1316" i="1"/>
  <c r="P1316" i="1"/>
  <c r="O1316" i="1"/>
  <c r="R1316" i="1" s="1"/>
  <c r="K1316" i="1"/>
  <c r="I1316" i="1"/>
  <c r="Q1315" i="1"/>
  <c r="P1315" i="1"/>
  <c r="K1315" i="1"/>
  <c r="I1315" i="1"/>
  <c r="S1314" i="1"/>
  <c r="Q1314" i="1"/>
  <c r="P1314" i="1"/>
  <c r="K1314" i="1"/>
  <c r="I1314" i="1"/>
  <c r="Q1313" i="1"/>
  <c r="P1313" i="1"/>
  <c r="K1313" i="1"/>
  <c r="I1313" i="1"/>
  <c r="S1313" i="1" s="1"/>
  <c r="S1312" i="1"/>
  <c r="Q1312" i="1"/>
  <c r="P1312" i="1"/>
  <c r="K1312" i="1"/>
  <c r="I1312" i="1"/>
  <c r="S1311" i="1"/>
  <c r="Q1311" i="1"/>
  <c r="P1311" i="1"/>
  <c r="K1311" i="1"/>
  <c r="I1311" i="1"/>
  <c r="Q1310" i="1"/>
  <c r="P1310" i="1"/>
  <c r="O1310" i="1"/>
  <c r="R1310" i="1" s="1"/>
  <c r="K1310" i="1"/>
  <c r="I1310" i="1"/>
  <c r="S1310" i="1" s="1"/>
  <c r="S1309" i="1"/>
  <c r="Q1309" i="1"/>
  <c r="P1309" i="1"/>
  <c r="O1309" i="1"/>
  <c r="R1309" i="1" s="1"/>
  <c r="K1309" i="1"/>
  <c r="I1309" i="1"/>
  <c r="Q1308" i="1"/>
  <c r="P1308" i="1"/>
  <c r="K1308" i="1"/>
  <c r="I1308" i="1"/>
  <c r="Q1307" i="1"/>
  <c r="P1307" i="1"/>
  <c r="K1307" i="1"/>
  <c r="I1307" i="1"/>
  <c r="Q1306" i="1"/>
  <c r="P1306" i="1"/>
  <c r="K1306" i="1"/>
  <c r="I1306" i="1"/>
  <c r="Q1305" i="1"/>
  <c r="P1305" i="1"/>
  <c r="K1305" i="1"/>
  <c r="I1305" i="1"/>
  <c r="S1304" i="1"/>
  <c r="Q1304" i="1"/>
  <c r="P1304" i="1"/>
  <c r="K1304" i="1"/>
  <c r="I1304" i="1"/>
  <c r="S1303" i="1"/>
  <c r="Q1303" i="1"/>
  <c r="P1303" i="1"/>
  <c r="O1303" i="1"/>
  <c r="R1303" i="1" s="1"/>
  <c r="K1303" i="1"/>
  <c r="I1303" i="1"/>
  <c r="S1302" i="1"/>
  <c r="Q1302" i="1"/>
  <c r="P1302" i="1"/>
  <c r="O1302" i="1"/>
  <c r="R1302" i="1" s="1"/>
  <c r="K1302" i="1"/>
  <c r="I1302" i="1"/>
  <c r="Q1301" i="1"/>
  <c r="P1301" i="1"/>
  <c r="K1301" i="1"/>
  <c r="I1301" i="1"/>
  <c r="S1300" i="1"/>
  <c r="Q1300" i="1"/>
  <c r="P1300" i="1"/>
  <c r="O1300" i="1"/>
  <c r="R1300" i="1" s="1"/>
  <c r="K1300" i="1"/>
  <c r="I1300" i="1"/>
  <c r="Q1299" i="1"/>
  <c r="P1299" i="1"/>
  <c r="K1299" i="1"/>
  <c r="I1299" i="1"/>
  <c r="S1298" i="1"/>
  <c r="Q1298" i="1"/>
  <c r="P1298" i="1"/>
  <c r="K1298" i="1"/>
  <c r="I1298" i="1"/>
  <c r="Q1297" i="1"/>
  <c r="P1297" i="1"/>
  <c r="K1297" i="1"/>
  <c r="I1297" i="1"/>
  <c r="S1297" i="1" s="1"/>
  <c r="Q1296" i="1"/>
  <c r="P1296" i="1"/>
  <c r="K1296" i="1"/>
  <c r="I1296" i="1"/>
  <c r="S1296" i="1" s="1"/>
  <c r="S1295" i="1"/>
  <c r="Q1295" i="1"/>
  <c r="P1295" i="1"/>
  <c r="K1295" i="1"/>
  <c r="I1295" i="1"/>
  <c r="Q1294" i="1"/>
  <c r="P1294" i="1"/>
  <c r="K1294" i="1"/>
  <c r="I1294" i="1"/>
  <c r="S1293" i="1"/>
  <c r="Q1293" i="1"/>
  <c r="P1293" i="1"/>
  <c r="O1293" i="1"/>
  <c r="R1293" i="1" s="1"/>
  <c r="K1293" i="1"/>
  <c r="I1293" i="1"/>
  <c r="Q1292" i="1"/>
  <c r="P1292" i="1"/>
  <c r="K1292" i="1"/>
  <c r="I1292" i="1"/>
  <c r="Q1291" i="1"/>
  <c r="P1291" i="1"/>
  <c r="K1291" i="1"/>
  <c r="I1291" i="1"/>
  <c r="S1291" i="1" s="1"/>
  <c r="Q1290" i="1"/>
  <c r="P1290" i="1"/>
  <c r="K1290" i="1"/>
  <c r="I1290" i="1"/>
  <c r="Q1289" i="1"/>
  <c r="P1289" i="1"/>
  <c r="K1289" i="1"/>
  <c r="I1289" i="1"/>
  <c r="S1288" i="1"/>
  <c r="Q1288" i="1"/>
  <c r="P1288" i="1"/>
  <c r="K1288" i="1"/>
  <c r="I1288" i="1"/>
  <c r="O1288" i="1" s="1"/>
  <c r="R1288" i="1" s="1"/>
  <c r="Q1287" i="1"/>
  <c r="P1287" i="1"/>
  <c r="K1287" i="1"/>
  <c r="I1287" i="1"/>
  <c r="S1286" i="1"/>
  <c r="R1286" i="1"/>
  <c r="Q1286" i="1"/>
  <c r="P1286" i="1"/>
  <c r="O1286" i="1"/>
  <c r="K1286" i="1"/>
  <c r="I1286" i="1"/>
  <c r="S1285" i="1"/>
  <c r="Q1285" i="1"/>
  <c r="P1285" i="1"/>
  <c r="O1285" i="1"/>
  <c r="R1285" i="1" s="1"/>
  <c r="K1285" i="1"/>
  <c r="I1285" i="1"/>
  <c r="S1284" i="1"/>
  <c r="Q1284" i="1"/>
  <c r="P1284" i="1"/>
  <c r="O1284" i="1"/>
  <c r="R1284" i="1" s="1"/>
  <c r="K1284" i="1"/>
  <c r="I1284" i="1"/>
  <c r="Q1283" i="1"/>
  <c r="P1283" i="1"/>
  <c r="K1283" i="1"/>
  <c r="I1283" i="1"/>
  <c r="Q1282" i="1"/>
  <c r="P1282" i="1"/>
  <c r="K1282" i="1"/>
  <c r="I1282" i="1"/>
  <c r="Q1281" i="1"/>
  <c r="P1281" i="1"/>
  <c r="K1281" i="1"/>
  <c r="I1281" i="1"/>
  <c r="S1281" i="1" s="1"/>
  <c r="S1280" i="1"/>
  <c r="Q1280" i="1"/>
  <c r="P1280" i="1"/>
  <c r="O1280" i="1"/>
  <c r="R1280" i="1" s="1"/>
  <c r="K1280" i="1"/>
  <c r="I1280" i="1"/>
  <c r="S1279" i="1"/>
  <c r="Q1279" i="1"/>
  <c r="P1279" i="1"/>
  <c r="K1279" i="1"/>
  <c r="I1279" i="1"/>
  <c r="Q1278" i="1"/>
  <c r="P1278" i="1"/>
  <c r="K1278" i="1"/>
  <c r="I1278" i="1"/>
  <c r="S1277" i="1"/>
  <c r="Q1277" i="1"/>
  <c r="P1277" i="1"/>
  <c r="O1277" i="1"/>
  <c r="R1277" i="1" s="1"/>
  <c r="K1277" i="1"/>
  <c r="I1277" i="1"/>
  <c r="Q1276" i="1"/>
  <c r="P1276" i="1"/>
  <c r="K1276" i="1"/>
  <c r="I1276" i="1"/>
  <c r="S1276" i="1" s="1"/>
  <c r="S1275" i="1"/>
  <c r="Q1275" i="1"/>
  <c r="P1275" i="1"/>
  <c r="K1275" i="1"/>
  <c r="I1275" i="1"/>
  <c r="Q1274" i="1"/>
  <c r="P1274" i="1"/>
  <c r="K1274" i="1"/>
  <c r="I1274" i="1"/>
  <c r="S1273" i="1"/>
  <c r="Q1273" i="1"/>
  <c r="P1273" i="1"/>
  <c r="K1273" i="1"/>
  <c r="I1273" i="1"/>
  <c r="S1272" i="1"/>
  <c r="Q1272" i="1"/>
  <c r="P1272" i="1"/>
  <c r="K1272" i="1"/>
  <c r="I1272" i="1"/>
  <c r="O1272" i="1" s="1"/>
  <c r="R1272" i="1" s="1"/>
  <c r="Q1271" i="1"/>
  <c r="P1271" i="1"/>
  <c r="O1271" i="1"/>
  <c r="R1271" i="1" s="1"/>
  <c r="K1271" i="1"/>
  <c r="I1271" i="1"/>
  <c r="S1271" i="1" s="1"/>
  <c r="S1270" i="1"/>
  <c r="Q1270" i="1"/>
  <c r="P1270" i="1"/>
  <c r="O1270" i="1"/>
  <c r="R1270" i="1" s="1"/>
  <c r="K1270" i="1"/>
  <c r="I1270" i="1"/>
  <c r="Q1269" i="1"/>
  <c r="P1269" i="1"/>
  <c r="K1269" i="1"/>
  <c r="I1269" i="1"/>
  <c r="S1268" i="1"/>
  <c r="Q1268" i="1"/>
  <c r="P1268" i="1"/>
  <c r="O1268" i="1"/>
  <c r="R1268" i="1" s="1"/>
  <c r="K1268" i="1"/>
  <c r="I1268" i="1"/>
  <c r="Q1267" i="1"/>
  <c r="P1267" i="1"/>
  <c r="K1267" i="1"/>
  <c r="I1267" i="1"/>
  <c r="Q1266" i="1"/>
  <c r="P1266" i="1"/>
  <c r="K1266" i="1"/>
  <c r="I1266" i="1"/>
  <c r="Q1265" i="1"/>
  <c r="P1265" i="1"/>
  <c r="K1265" i="1"/>
  <c r="I1265" i="1"/>
  <c r="S1265" i="1" s="1"/>
  <c r="S1264" i="1"/>
  <c r="Q1264" i="1"/>
  <c r="P1264" i="1"/>
  <c r="K1264" i="1"/>
  <c r="I1264" i="1"/>
  <c r="S1263" i="1"/>
  <c r="Q1263" i="1"/>
  <c r="P1263" i="1"/>
  <c r="K1263" i="1"/>
  <c r="I1263" i="1"/>
  <c r="S1262" i="1"/>
  <c r="Q1262" i="1"/>
  <c r="P1262" i="1"/>
  <c r="O1262" i="1"/>
  <c r="R1262" i="1" s="1"/>
  <c r="K1262" i="1"/>
  <c r="I1262" i="1"/>
  <c r="S1261" i="1"/>
  <c r="Q1261" i="1"/>
  <c r="P1261" i="1"/>
  <c r="O1261" i="1"/>
  <c r="R1261" i="1" s="1"/>
  <c r="K1261" i="1"/>
  <c r="I1261" i="1"/>
  <c r="Q1260" i="1"/>
  <c r="P1260" i="1"/>
  <c r="K1260" i="1"/>
  <c r="I1260" i="1"/>
  <c r="S1260" i="1" s="1"/>
  <c r="S1259" i="1"/>
  <c r="Q1259" i="1"/>
  <c r="P1259" i="1"/>
  <c r="K1259" i="1"/>
  <c r="I1259" i="1"/>
  <c r="O1259" i="1" s="1"/>
  <c r="R1259" i="1" s="1"/>
  <c r="Q1258" i="1"/>
  <c r="P1258" i="1"/>
  <c r="K1258" i="1"/>
  <c r="I1258" i="1"/>
  <c r="Q1257" i="1"/>
  <c r="P1257" i="1"/>
  <c r="K1257" i="1"/>
  <c r="I1257" i="1"/>
  <c r="S1257" i="1" s="1"/>
  <c r="S1256" i="1"/>
  <c r="Q1256" i="1"/>
  <c r="P1256" i="1"/>
  <c r="K1256" i="1"/>
  <c r="I1256" i="1"/>
  <c r="Q1255" i="1"/>
  <c r="P1255" i="1"/>
  <c r="O1255" i="1"/>
  <c r="R1255" i="1" s="1"/>
  <c r="K1255" i="1"/>
  <c r="I1255" i="1"/>
  <c r="S1255" i="1" s="1"/>
  <c r="S1254" i="1"/>
  <c r="R1254" i="1"/>
  <c r="Q1254" i="1"/>
  <c r="P1254" i="1"/>
  <c r="O1254" i="1"/>
  <c r="K1254" i="1"/>
  <c r="I1254" i="1"/>
  <c r="Q1253" i="1"/>
  <c r="P1253" i="1"/>
  <c r="O1253" i="1"/>
  <c r="R1253" i="1" s="1"/>
  <c r="K1253" i="1"/>
  <c r="I1253" i="1"/>
  <c r="S1253" i="1" s="1"/>
  <c r="S1252" i="1"/>
  <c r="Q1252" i="1"/>
  <c r="P1252" i="1"/>
  <c r="O1252" i="1"/>
  <c r="R1252" i="1" s="1"/>
  <c r="K1252" i="1"/>
  <c r="I1252" i="1"/>
  <c r="Q1251" i="1"/>
  <c r="P1251" i="1"/>
  <c r="K1251" i="1"/>
  <c r="I1251" i="1"/>
  <c r="S1250" i="1"/>
  <c r="Q1250" i="1"/>
  <c r="P1250" i="1"/>
  <c r="K1250" i="1"/>
  <c r="I1250" i="1"/>
  <c r="Q1249" i="1"/>
  <c r="P1249" i="1"/>
  <c r="K1249" i="1"/>
  <c r="I1249" i="1"/>
  <c r="S1249" i="1" s="1"/>
  <c r="Q1248" i="1"/>
  <c r="P1248" i="1"/>
  <c r="K1248" i="1"/>
  <c r="I1248" i="1"/>
  <c r="S1248" i="1" s="1"/>
  <c r="S1247" i="1"/>
  <c r="Q1247" i="1"/>
  <c r="P1247" i="1"/>
  <c r="K1247" i="1"/>
  <c r="I1247" i="1"/>
  <c r="Q1246" i="1"/>
  <c r="P1246" i="1"/>
  <c r="K1246" i="1"/>
  <c r="I1246" i="1"/>
  <c r="S1245" i="1"/>
  <c r="Q1245" i="1"/>
  <c r="P1245" i="1"/>
  <c r="O1245" i="1"/>
  <c r="R1245" i="1" s="1"/>
  <c r="K1245" i="1"/>
  <c r="I1245" i="1"/>
  <c r="Q1244" i="1"/>
  <c r="P1244" i="1"/>
  <c r="K1244" i="1"/>
  <c r="I1244" i="1"/>
  <c r="S1244" i="1" s="1"/>
  <c r="Q1243" i="1"/>
  <c r="P1243" i="1"/>
  <c r="O1243" i="1"/>
  <c r="R1243" i="1" s="1"/>
  <c r="K1243" i="1"/>
  <c r="I1243" i="1"/>
  <c r="S1243" i="1" s="1"/>
  <c r="Q1242" i="1"/>
  <c r="P1242" i="1"/>
  <c r="K1242" i="1"/>
  <c r="I1242" i="1"/>
  <c r="S1241" i="1"/>
  <c r="Q1241" i="1"/>
  <c r="P1241" i="1"/>
  <c r="K1241" i="1"/>
  <c r="I1241" i="1"/>
  <c r="S1240" i="1"/>
  <c r="Q1240" i="1"/>
  <c r="P1240" i="1"/>
  <c r="K1240" i="1"/>
  <c r="I1240" i="1"/>
  <c r="O1240" i="1" s="1"/>
  <c r="R1240" i="1" s="1"/>
  <c r="S1239" i="1"/>
  <c r="Q1239" i="1"/>
  <c r="P1239" i="1"/>
  <c r="O1239" i="1"/>
  <c r="R1239" i="1" s="1"/>
  <c r="K1239" i="1"/>
  <c r="I1239" i="1"/>
  <c r="S1238" i="1"/>
  <c r="Q1238" i="1"/>
  <c r="P1238" i="1"/>
  <c r="O1238" i="1"/>
  <c r="R1238" i="1" s="1"/>
  <c r="K1238" i="1"/>
  <c r="I1238" i="1"/>
  <c r="Q1237" i="1"/>
  <c r="P1237" i="1"/>
  <c r="K1237" i="1"/>
  <c r="I1237" i="1"/>
  <c r="S1237" i="1" s="1"/>
  <c r="S1236" i="1"/>
  <c r="Q1236" i="1"/>
  <c r="P1236" i="1"/>
  <c r="O1236" i="1"/>
  <c r="R1236" i="1" s="1"/>
  <c r="K1236" i="1"/>
  <c r="I1236" i="1"/>
  <c r="Q1235" i="1"/>
  <c r="P1235" i="1"/>
  <c r="K1235" i="1"/>
  <c r="I1235" i="1"/>
  <c r="S1234" i="1"/>
  <c r="Q1234" i="1"/>
  <c r="P1234" i="1"/>
  <c r="K1234" i="1"/>
  <c r="I1234" i="1"/>
  <c r="Q1233" i="1"/>
  <c r="P1233" i="1"/>
  <c r="K1233" i="1"/>
  <c r="I1233" i="1"/>
  <c r="S1233" i="1" s="1"/>
  <c r="Q1232" i="1"/>
  <c r="P1232" i="1"/>
  <c r="K1232" i="1"/>
  <c r="I1232" i="1"/>
  <c r="S1232" i="1" s="1"/>
  <c r="S1231" i="1"/>
  <c r="Q1231" i="1"/>
  <c r="P1231" i="1"/>
  <c r="K1231" i="1"/>
  <c r="I1231" i="1"/>
  <c r="Q1230" i="1"/>
  <c r="P1230" i="1"/>
  <c r="K1230" i="1"/>
  <c r="I1230" i="1"/>
  <c r="S1230" i="1" s="1"/>
  <c r="S1229" i="1"/>
  <c r="Q1229" i="1"/>
  <c r="P1229" i="1"/>
  <c r="O1229" i="1"/>
  <c r="R1229" i="1" s="1"/>
  <c r="K1229" i="1"/>
  <c r="I1229" i="1"/>
  <c r="Q1228" i="1"/>
  <c r="P1228" i="1"/>
  <c r="K1228" i="1"/>
  <c r="I1228" i="1"/>
  <c r="S1228" i="1" s="1"/>
  <c r="S1227" i="1"/>
  <c r="Q1227" i="1"/>
  <c r="P1227" i="1"/>
  <c r="K1227" i="1"/>
  <c r="I1227" i="1"/>
  <c r="O1227" i="1" s="1"/>
  <c r="R1227" i="1" s="1"/>
  <c r="Q1226" i="1"/>
  <c r="P1226" i="1"/>
  <c r="K1226" i="1"/>
  <c r="I1226" i="1"/>
  <c r="Q1225" i="1"/>
  <c r="P1225" i="1"/>
  <c r="K1225" i="1"/>
  <c r="I1225" i="1"/>
  <c r="S1224" i="1"/>
  <c r="Q1224" i="1"/>
  <c r="P1224" i="1"/>
  <c r="K1224" i="1"/>
  <c r="I1224" i="1"/>
  <c r="O1224" i="1" s="1"/>
  <c r="R1224" i="1" s="1"/>
  <c r="S1223" i="1"/>
  <c r="Q1223" i="1"/>
  <c r="P1223" i="1"/>
  <c r="O1223" i="1"/>
  <c r="R1223" i="1" s="1"/>
  <c r="K1223" i="1"/>
  <c r="I1223" i="1"/>
  <c r="S1222" i="1"/>
  <c r="Q1222" i="1"/>
  <c r="P1222" i="1"/>
  <c r="O1222" i="1"/>
  <c r="R1222" i="1" s="1"/>
  <c r="K1222" i="1"/>
  <c r="I1222" i="1"/>
  <c r="Q1221" i="1"/>
  <c r="P1221" i="1"/>
  <c r="K1221" i="1"/>
  <c r="I1221" i="1"/>
  <c r="S1221" i="1" s="1"/>
  <c r="S1220" i="1"/>
  <c r="Q1220" i="1"/>
  <c r="P1220" i="1"/>
  <c r="O1220" i="1"/>
  <c r="R1220" i="1" s="1"/>
  <c r="K1220" i="1"/>
  <c r="I1220" i="1"/>
  <c r="Q1219" i="1"/>
  <c r="P1219" i="1"/>
  <c r="K1219" i="1"/>
  <c r="I1219" i="1"/>
  <c r="S1218" i="1"/>
  <c r="Q1218" i="1"/>
  <c r="P1218" i="1"/>
  <c r="K1218" i="1"/>
  <c r="I1218" i="1"/>
  <c r="Q1217" i="1"/>
  <c r="P1217" i="1"/>
  <c r="K1217" i="1"/>
  <c r="I1217" i="1"/>
  <c r="S1217" i="1" s="1"/>
  <c r="Q1216" i="1"/>
  <c r="P1216" i="1"/>
  <c r="K1216" i="1"/>
  <c r="I1216" i="1"/>
  <c r="S1215" i="1"/>
  <c r="Q1215" i="1"/>
  <c r="P1215" i="1"/>
  <c r="K1215" i="1"/>
  <c r="I1215" i="1"/>
  <c r="S1214" i="1"/>
  <c r="Q1214" i="1"/>
  <c r="P1214" i="1"/>
  <c r="O1214" i="1"/>
  <c r="R1214" i="1" s="1"/>
  <c r="K1214" i="1"/>
  <c r="I1214" i="1"/>
  <c r="S1213" i="1"/>
  <c r="Q1213" i="1"/>
  <c r="P1213" i="1"/>
  <c r="O1213" i="1"/>
  <c r="R1213" i="1" s="1"/>
  <c r="K1213" i="1"/>
  <c r="I1213" i="1"/>
  <c r="Q1212" i="1"/>
  <c r="P1212" i="1"/>
  <c r="K1212" i="1"/>
  <c r="I1212" i="1"/>
  <c r="S1212" i="1" s="1"/>
  <c r="Q1211" i="1"/>
  <c r="P1211" i="1"/>
  <c r="O1211" i="1"/>
  <c r="R1211" i="1" s="1"/>
  <c r="K1211" i="1"/>
  <c r="I1211" i="1"/>
  <c r="S1211" i="1" s="1"/>
  <c r="Q1210" i="1"/>
  <c r="P1210" i="1"/>
  <c r="K1210" i="1"/>
  <c r="I1210" i="1"/>
  <c r="Q1209" i="1"/>
  <c r="P1209" i="1"/>
  <c r="K1209" i="1"/>
  <c r="I1209" i="1"/>
  <c r="S1209" i="1" s="1"/>
  <c r="S1208" i="1"/>
  <c r="Q1208" i="1"/>
  <c r="P1208" i="1"/>
  <c r="K1208" i="1"/>
  <c r="I1208" i="1"/>
  <c r="O1208" i="1" s="1"/>
  <c r="R1208" i="1" s="1"/>
  <c r="S1207" i="1"/>
  <c r="Q1207" i="1"/>
  <c r="P1207" i="1"/>
  <c r="K1207" i="1"/>
  <c r="I1207" i="1"/>
  <c r="O1207" i="1" s="1"/>
  <c r="R1207" i="1" s="1"/>
  <c r="S1206" i="1"/>
  <c r="Q1206" i="1"/>
  <c r="P1206" i="1"/>
  <c r="O1206" i="1"/>
  <c r="R1206" i="1" s="1"/>
  <c r="K1206" i="1"/>
  <c r="I1206" i="1"/>
  <c r="S1205" i="1"/>
  <c r="Q1205" i="1"/>
  <c r="P1205" i="1"/>
  <c r="O1205" i="1"/>
  <c r="R1205" i="1" s="1"/>
  <c r="K1205" i="1"/>
  <c r="I1205" i="1"/>
  <c r="S1204" i="1"/>
  <c r="Q1204" i="1"/>
  <c r="P1204" i="1"/>
  <c r="O1204" i="1"/>
  <c r="R1204" i="1" s="1"/>
  <c r="K1204" i="1"/>
  <c r="I1204" i="1"/>
  <c r="Q1203" i="1"/>
  <c r="P1203" i="1"/>
  <c r="K1203" i="1"/>
  <c r="I1203" i="1"/>
  <c r="Q1202" i="1"/>
  <c r="P1202" i="1"/>
  <c r="K1202" i="1"/>
  <c r="I1202" i="1"/>
  <c r="Q1201" i="1"/>
  <c r="P1201" i="1"/>
  <c r="K1201" i="1"/>
  <c r="I1201" i="1"/>
  <c r="S1201" i="1" s="1"/>
  <c r="S1200" i="1"/>
  <c r="Q1200" i="1"/>
  <c r="P1200" i="1"/>
  <c r="K1200" i="1"/>
  <c r="I1200" i="1"/>
  <c r="S1199" i="1"/>
  <c r="Q1199" i="1"/>
  <c r="P1199" i="1"/>
  <c r="K1199" i="1"/>
  <c r="I1199" i="1"/>
  <c r="S1198" i="1"/>
  <c r="Q1198" i="1"/>
  <c r="P1198" i="1"/>
  <c r="O1198" i="1"/>
  <c r="R1198" i="1" s="1"/>
  <c r="K1198" i="1"/>
  <c r="I1198" i="1"/>
  <c r="S1197" i="1"/>
  <c r="Q1197" i="1"/>
  <c r="P1197" i="1"/>
  <c r="O1197" i="1"/>
  <c r="R1197" i="1" s="1"/>
  <c r="K1197" i="1"/>
  <c r="I1197" i="1"/>
  <c r="Q1196" i="1"/>
  <c r="P1196" i="1"/>
  <c r="K1196" i="1"/>
  <c r="I1196" i="1"/>
  <c r="S1196" i="1" s="1"/>
  <c r="S1195" i="1"/>
  <c r="Q1195" i="1"/>
  <c r="P1195" i="1"/>
  <c r="O1195" i="1"/>
  <c r="R1195" i="1" s="1"/>
  <c r="K1195" i="1"/>
  <c r="I1195" i="1"/>
  <c r="Q1194" i="1"/>
  <c r="P1194" i="1"/>
  <c r="K1194" i="1"/>
  <c r="I1194" i="1"/>
  <c r="Q1193" i="1"/>
  <c r="P1193" i="1"/>
  <c r="K1193" i="1"/>
  <c r="I1193" i="1"/>
  <c r="S1193" i="1" s="1"/>
  <c r="S1192" i="1"/>
  <c r="Q1192" i="1"/>
  <c r="P1192" i="1"/>
  <c r="K1192" i="1"/>
  <c r="I1192" i="1"/>
  <c r="O1192" i="1" s="1"/>
  <c r="R1192" i="1" s="1"/>
  <c r="Q1191" i="1"/>
  <c r="P1191" i="1"/>
  <c r="K1191" i="1"/>
  <c r="I1191" i="1"/>
  <c r="S1190" i="1"/>
  <c r="Q1190" i="1"/>
  <c r="P1190" i="1"/>
  <c r="O1190" i="1"/>
  <c r="R1190" i="1" s="1"/>
  <c r="K1190" i="1"/>
  <c r="I1190" i="1"/>
  <c r="S1189" i="1"/>
  <c r="Q1189" i="1"/>
  <c r="P1189" i="1"/>
  <c r="K1189" i="1"/>
  <c r="I1189" i="1"/>
  <c r="O1189" i="1" s="1"/>
  <c r="R1189" i="1" s="1"/>
  <c r="S1188" i="1"/>
  <c r="Q1188" i="1"/>
  <c r="P1188" i="1"/>
  <c r="O1188" i="1"/>
  <c r="R1188" i="1" s="1"/>
  <c r="K1188" i="1"/>
  <c r="I1188" i="1"/>
  <c r="Q1187" i="1"/>
  <c r="P1187" i="1"/>
  <c r="K1187" i="1"/>
  <c r="I1187" i="1"/>
  <c r="Q1186" i="1"/>
  <c r="P1186" i="1"/>
  <c r="K1186" i="1"/>
  <c r="I1186" i="1"/>
  <c r="S1186" i="1" s="1"/>
  <c r="Q1185" i="1"/>
  <c r="P1185" i="1"/>
  <c r="K1185" i="1"/>
  <c r="I1185" i="1"/>
  <c r="S1185" i="1" s="1"/>
  <c r="S1184" i="1"/>
  <c r="Q1184" i="1"/>
  <c r="P1184" i="1"/>
  <c r="K1184" i="1"/>
  <c r="I1184" i="1"/>
  <c r="S1183" i="1"/>
  <c r="Q1183" i="1"/>
  <c r="P1183" i="1"/>
  <c r="K1183" i="1"/>
  <c r="I1183" i="1"/>
  <c r="S1182" i="1"/>
  <c r="Q1182" i="1"/>
  <c r="P1182" i="1"/>
  <c r="O1182" i="1"/>
  <c r="R1182" i="1" s="1"/>
  <c r="K1182" i="1"/>
  <c r="I1182" i="1"/>
  <c r="S1181" i="1"/>
  <c r="Q1181" i="1"/>
  <c r="P1181" i="1"/>
  <c r="O1181" i="1"/>
  <c r="R1181" i="1" s="1"/>
  <c r="K1181" i="1"/>
  <c r="I1181" i="1"/>
  <c r="Q1180" i="1"/>
  <c r="P1180" i="1"/>
  <c r="K1180" i="1"/>
  <c r="I1180" i="1"/>
  <c r="S1179" i="1"/>
  <c r="Q1179" i="1"/>
  <c r="P1179" i="1"/>
  <c r="O1179" i="1"/>
  <c r="R1179" i="1" s="1"/>
  <c r="K1179" i="1"/>
  <c r="I1179" i="1"/>
  <c r="Q1178" i="1"/>
  <c r="P1178" i="1"/>
  <c r="K1178" i="1"/>
  <c r="I1178" i="1"/>
  <c r="Q1177" i="1"/>
  <c r="P1177" i="1"/>
  <c r="K1177" i="1"/>
  <c r="I1177" i="1"/>
  <c r="S1176" i="1"/>
  <c r="Q1176" i="1"/>
  <c r="P1176" i="1"/>
  <c r="K1176" i="1"/>
  <c r="I1176" i="1"/>
  <c r="O1176" i="1" s="1"/>
  <c r="R1176" i="1" s="1"/>
  <c r="Q1175" i="1"/>
  <c r="P1175" i="1"/>
  <c r="O1175" i="1"/>
  <c r="R1175" i="1" s="1"/>
  <c r="K1175" i="1"/>
  <c r="I1175" i="1"/>
  <c r="S1175" i="1" s="1"/>
  <c r="S1174" i="1"/>
  <c r="Q1174" i="1"/>
  <c r="P1174" i="1"/>
  <c r="O1174" i="1"/>
  <c r="R1174" i="1" s="1"/>
  <c r="K1174" i="1"/>
  <c r="I1174" i="1"/>
  <c r="Q1173" i="1"/>
  <c r="P1173" i="1"/>
  <c r="O1173" i="1"/>
  <c r="R1173" i="1" s="1"/>
  <c r="K1173" i="1"/>
  <c r="I1173" i="1"/>
  <c r="S1173" i="1" s="1"/>
  <c r="S1172" i="1"/>
  <c r="Q1172" i="1"/>
  <c r="P1172" i="1"/>
  <c r="O1172" i="1"/>
  <c r="R1172" i="1" s="1"/>
  <c r="K1172" i="1"/>
  <c r="I1172" i="1"/>
  <c r="Q1171" i="1"/>
  <c r="P1171" i="1"/>
  <c r="K1171" i="1"/>
  <c r="I1171" i="1"/>
  <c r="Q1170" i="1"/>
  <c r="P1170" i="1"/>
  <c r="K1170" i="1"/>
  <c r="I1170" i="1"/>
  <c r="Q1169" i="1"/>
  <c r="P1169" i="1"/>
  <c r="K1169" i="1"/>
  <c r="I1169" i="1"/>
  <c r="S1169" i="1" s="1"/>
  <c r="Q1168" i="1"/>
  <c r="P1168" i="1"/>
  <c r="K1168" i="1"/>
  <c r="I1168" i="1"/>
  <c r="S1168" i="1" s="1"/>
  <c r="S1167" i="1"/>
  <c r="Q1167" i="1"/>
  <c r="P1167" i="1"/>
  <c r="K1167" i="1"/>
  <c r="I1167" i="1"/>
  <c r="S1166" i="1"/>
  <c r="Q1166" i="1"/>
  <c r="P1166" i="1"/>
  <c r="K1166" i="1"/>
  <c r="I1166" i="1"/>
  <c r="O1166" i="1" s="1"/>
  <c r="R1166" i="1" s="1"/>
  <c r="S1165" i="1"/>
  <c r="Q1165" i="1"/>
  <c r="P1165" i="1"/>
  <c r="O1165" i="1"/>
  <c r="R1165" i="1" s="1"/>
  <c r="K1165" i="1"/>
  <c r="I1165" i="1"/>
  <c r="Q1164" i="1"/>
  <c r="P1164" i="1"/>
  <c r="O1164" i="1"/>
  <c r="R1164" i="1" s="1"/>
  <c r="K1164" i="1"/>
  <c r="I1164" i="1"/>
  <c r="S1164" i="1" s="1"/>
  <c r="Q1163" i="1"/>
  <c r="P1163" i="1"/>
  <c r="K1163" i="1"/>
  <c r="I1163" i="1"/>
  <c r="Q1162" i="1"/>
  <c r="P1162" i="1"/>
  <c r="K1162" i="1"/>
  <c r="I1162" i="1"/>
  <c r="S1161" i="1"/>
  <c r="Q1161" i="1"/>
  <c r="P1161" i="1"/>
  <c r="K1161" i="1"/>
  <c r="I1161" i="1"/>
  <c r="S1160" i="1"/>
  <c r="Q1160" i="1"/>
  <c r="P1160" i="1"/>
  <c r="K1160" i="1"/>
  <c r="I1160" i="1"/>
  <c r="O1160" i="1" s="1"/>
  <c r="R1160" i="1" s="1"/>
  <c r="S1159" i="1"/>
  <c r="Q1159" i="1"/>
  <c r="P1159" i="1"/>
  <c r="K1159" i="1"/>
  <c r="I1159" i="1"/>
  <c r="O1159" i="1" s="1"/>
  <c r="R1159" i="1" s="1"/>
  <c r="S1158" i="1"/>
  <c r="Q1158" i="1"/>
  <c r="P1158" i="1"/>
  <c r="O1158" i="1"/>
  <c r="R1158" i="1" s="1"/>
  <c r="K1158" i="1"/>
  <c r="I1158" i="1"/>
  <c r="Q1157" i="1"/>
  <c r="P1157" i="1"/>
  <c r="K1157" i="1"/>
  <c r="I1157" i="1"/>
  <c r="S1156" i="1"/>
  <c r="R1156" i="1"/>
  <c r="Q1156" i="1"/>
  <c r="P1156" i="1"/>
  <c r="O1156" i="1"/>
  <c r="K1156" i="1"/>
  <c r="I1156" i="1"/>
  <c r="Q1155" i="1"/>
  <c r="P1155" i="1"/>
  <c r="K1155" i="1"/>
  <c r="I1155" i="1"/>
  <c r="S1154" i="1"/>
  <c r="Q1154" i="1"/>
  <c r="P1154" i="1"/>
  <c r="K1154" i="1"/>
  <c r="I1154" i="1"/>
  <c r="Q1153" i="1"/>
  <c r="P1153" i="1"/>
  <c r="K1153" i="1"/>
  <c r="I1153" i="1"/>
  <c r="S1153" i="1" s="1"/>
  <c r="Q1152" i="1"/>
  <c r="P1152" i="1"/>
  <c r="K1152" i="1"/>
  <c r="I1152" i="1"/>
  <c r="S1151" i="1"/>
  <c r="Q1151" i="1"/>
  <c r="P1151" i="1"/>
  <c r="K1151" i="1"/>
  <c r="I1151" i="1"/>
  <c r="Q1150" i="1"/>
  <c r="P1150" i="1"/>
  <c r="K1150" i="1"/>
  <c r="I1150" i="1"/>
  <c r="S1149" i="1"/>
  <c r="Q1149" i="1"/>
  <c r="P1149" i="1"/>
  <c r="O1149" i="1"/>
  <c r="R1149" i="1" s="1"/>
  <c r="K1149" i="1"/>
  <c r="I1149" i="1"/>
  <c r="Q1148" i="1"/>
  <c r="P1148" i="1"/>
  <c r="K1148" i="1"/>
  <c r="I1148" i="1"/>
  <c r="S1148" i="1" s="1"/>
  <c r="Q1147" i="1"/>
  <c r="P1147" i="1"/>
  <c r="K1147" i="1"/>
  <c r="I1147" i="1"/>
  <c r="Q1146" i="1"/>
  <c r="P1146" i="1"/>
  <c r="K1146" i="1"/>
  <c r="I1146" i="1"/>
  <c r="S1145" i="1"/>
  <c r="Q1145" i="1"/>
  <c r="P1145" i="1"/>
  <c r="K1145" i="1"/>
  <c r="I1145" i="1"/>
  <c r="S1144" i="1"/>
  <c r="Q1144" i="1"/>
  <c r="P1144" i="1"/>
  <c r="K1144" i="1"/>
  <c r="I1144" i="1"/>
  <c r="O1144" i="1" s="1"/>
  <c r="R1144" i="1" s="1"/>
  <c r="S1143" i="1"/>
  <c r="Q1143" i="1"/>
  <c r="P1143" i="1"/>
  <c r="O1143" i="1"/>
  <c r="R1143" i="1" s="1"/>
  <c r="K1143" i="1"/>
  <c r="I1143" i="1"/>
  <c r="S1142" i="1"/>
  <c r="Q1142" i="1"/>
  <c r="P1142" i="1"/>
  <c r="O1142" i="1"/>
  <c r="R1142" i="1" s="1"/>
  <c r="K1142" i="1"/>
  <c r="I1142" i="1"/>
  <c r="Q1141" i="1"/>
  <c r="P1141" i="1"/>
  <c r="O1141" i="1"/>
  <c r="R1141" i="1" s="1"/>
  <c r="K1141" i="1"/>
  <c r="I1141" i="1"/>
  <c r="S1141" i="1" s="1"/>
  <c r="S1140" i="1"/>
  <c r="R1140" i="1"/>
  <c r="Q1140" i="1"/>
  <c r="P1140" i="1"/>
  <c r="O1140" i="1"/>
  <c r="K1140" i="1"/>
  <c r="I1140" i="1"/>
  <c r="Q1139" i="1"/>
  <c r="P1139" i="1"/>
  <c r="K1139" i="1"/>
  <c r="I1139" i="1"/>
  <c r="S1138" i="1"/>
  <c r="Q1138" i="1"/>
  <c r="P1138" i="1"/>
  <c r="K1138" i="1"/>
  <c r="I1138" i="1"/>
  <c r="Q1137" i="1"/>
  <c r="P1137" i="1"/>
  <c r="K1137" i="1"/>
  <c r="I1137" i="1"/>
  <c r="S1137" i="1" s="1"/>
  <c r="S1136" i="1"/>
  <c r="Q1136" i="1"/>
  <c r="P1136" i="1"/>
  <c r="K1136" i="1"/>
  <c r="I1136" i="1"/>
  <c r="S1135" i="1"/>
  <c r="Q1135" i="1"/>
  <c r="P1135" i="1"/>
  <c r="K1135" i="1"/>
  <c r="I1135" i="1"/>
  <c r="Q1134" i="1"/>
  <c r="P1134" i="1"/>
  <c r="K1134" i="1"/>
  <c r="I1134" i="1"/>
  <c r="S1134" i="1" s="1"/>
  <c r="S1133" i="1"/>
  <c r="Q1133" i="1"/>
  <c r="P1133" i="1"/>
  <c r="K1133" i="1"/>
  <c r="I1133" i="1"/>
  <c r="O1133" i="1" s="1"/>
  <c r="R1133" i="1" s="1"/>
  <c r="Q1132" i="1"/>
  <c r="P1132" i="1"/>
  <c r="K1132" i="1"/>
  <c r="I1132" i="1"/>
  <c r="S1131" i="1"/>
  <c r="Q1131" i="1"/>
  <c r="P1131" i="1"/>
  <c r="K1131" i="1"/>
  <c r="I1131" i="1"/>
  <c r="Q1130" i="1"/>
  <c r="P1130" i="1"/>
  <c r="K1130" i="1"/>
  <c r="I1130" i="1"/>
  <c r="S1129" i="1"/>
  <c r="Q1129" i="1"/>
  <c r="P1129" i="1"/>
  <c r="K1129" i="1"/>
  <c r="I1129" i="1"/>
  <c r="Q1128" i="1"/>
  <c r="P1128" i="1"/>
  <c r="O1128" i="1"/>
  <c r="R1128" i="1" s="1"/>
  <c r="K1128" i="1"/>
  <c r="I1128" i="1"/>
  <c r="S1128" i="1" s="1"/>
  <c r="S1127" i="1"/>
  <c r="Q1127" i="1"/>
  <c r="P1127" i="1"/>
  <c r="K1127" i="1"/>
  <c r="I1127" i="1"/>
  <c r="O1127" i="1" s="1"/>
  <c r="R1127" i="1" s="1"/>
  <c r="Q1126" i="1"/>
  <c r="P1126" i="1"/>
  <c r="O1126" i="1"/>
  <c r="R1126" i="1" s="1"/>
  <c r="K1126" i="1"/>
  <c r="I1126" i="1"/>
  <c r="S1126" i="1" s="1"/>
  <c r="S1125" i="1"/>
  <c r="Q1125" i="1"/>
  <c r="P1125" i="1"/>
  <c r="K1125" i="1"/>
  <c r="I1125" i="1"/>
  <c r="O1125" i="1" s="1"/>
  <c r="R1125" i="1" s="1"/>
  <c r="Q1124" i="1"/>
  <c r="P1124" i="1"/>
  <c r="O1124" i="1"/>
  <c r="R1124" i="1" s="1"/>
  <c r="K1124" i="1"/>
  <c r="I1124" i="1"/>
  <c r="S1124" i="1" s="1"/>
  <c r="S1123" i="1"/>
  <c r="Q1123" i="1"/>
  <c r="P1123" i="1"/>
  <c r="K1123" i="1"/>
  <c r="I1123" i="1"/>
  <c r="Q1122" i="1"/>
  <c r="P1122" i="1"/>
  <c r="K1122" i="1"/>
  <c r="I1122" i="1"/>
  <c r="S1122" i="1" s="1"/>
  <c r="S1121" i="1"/>
  <c r="Q1121" i="1"/>
  <c r="P1121" i="1"/>
  <c r="K1121" i="1"/>
  <c r="I1121" i="1"/>
  <c r="Q1120" i="1"/>
  <c r="P1120" i="1"/>
  <c r="K1120" i="1"/>
  <c r="I1120" i="1"/>
  <c r="S1120" i="1" s="1"/>
  <c r="S1119" i="1"/>
  <c r="Q1119" i="1"/>
  <c r="P1119" i="1"/>
  <c r="K1119" i="1"/>
  <c r="I1119" i="1"/>
  <c r="Q1118" i="1"/>
  <c r="P1118" i="1"/>
  <c r="K1118" i="1"/>
  <c r="I1118" i="1"/>
  <c r="S1117" i="1"/>
  <c r="Q1117" i="1"/>
  <c r="P1117" i="1"/>
  <c r="O1117" i="1"/>
  <c r="R1117" i="1" s="1"/>
  <c r="K1117" i="1"/>
  <c r="I1117" i="1"/>
  <c r="Q1116" i="1"/>
  <c r="P1116" i="1"/>
  <c r="K1116" i="1"/>
  <c r="I1116" i="1"/>
  <c r="S1115" i="1"/>
  <c r="Q1115" i="1"/>
  <c r="P1115" i="1"/>
  <c r="O1115" i="1"/>
  <c r="R1115" i="1" s="1"/>
  <c r="K1115" i="1"/>
  <c r="I1115" i="1"/>
  <c r="Q1114" i="1"/>
  <c r="P1114" i="1"/>
  <c r="K1114" i="1"/>
  <c r="I1114" i="1"/>
  <c r="S1113" i="1"/>
  <c r="Q1113" i="1"/>
  <c r="P1113" i="1"/>
  <c r="K1113" i="1"/>
  <c r="I1113" i="1"/>
  <c r="Q1112" i="1"/>
  <c r="P1112" i="1"/>
  <c r="O1112" i="1"/>
  <c r="R1112" i="1" s="1"/>
  <c r="K1112" i="1"/>
  <c r="I1112" i="1"/>
  <c r="S1112" i="1" s="1"/>
  <c r="S1111" i="1"/>
  <c r="Q1111" i="1"/>
  <c r="P1111" i="1"/>
  <c r="K1111" i="1"/>
  <c r="I1111" i="1"/>
  <c r="O1111" i="1" s="1"/>
  <c r="R1111" i="1" s="1"/>
  <c r="Q1110" i="1"/>
  <c r="P1110" i="1"/>
  <c r="O1110" i="1"/>
  <c r="R1110" i="1" s="1"/>
  <c r="K1110" i="1"/>
  <c r="I1110" i="1"/>
  <c r="S1110" i="1" s="1"/>
  <c r="S1109" i="1"/>
  <c r="Q1109" i="1"/>
  <c r="P1109" i="1"/>
  <c r="O1109" i="1"/>
  <c r="R1109" i="1" s="1"/>
  <c r="K1109" i="1"/>
  <c r="I1109" i="1"/>
  <c r="Q1108" i="1"/>
  <c r="P1108" i="1"/>
  <c r="K1108" i="1"/>
  <c r="I1108" i="1"/>
  <c r="S1107" i="1"/>
  <c r="Q1107" i="1"/>
  <c r="P1107" i="1"/>
  <c r="K1107" i="1"/>
  <c r="I1107" i="1"/>
  <c r="Q1106" i="1"/>
  <c r="P1106" i="1"/>
  <c r="K1106" i="1"/>
  <c r="I1106" i="1"/>
  <c r="S1105" i="1"/>
  <c r="Q1105" i="1"/>
  <c r="P1105" i="1"/>
  <c r="K1105" i="1"/>
  <c r="I1105" i="1"/>
  <c r="Q1104" i="1"/>
  <c r="P1104" i="1"/>
  <c r="K1104" i="1"/>
  <c r="I1104" i="1"/>
  <c r="S1104" i="1" s="1"/>
  <c r="S1103" i="1"/>
  <c r="Q1103" i="1"/>
  <c r="P1103" i="1"/>
  <c r="O1103" i="1"/>
  <c r="R1103" i="1" s="1"/>
  <c r="K1103" i="1"/>
  <c r="I1103" i="1"/>
  <c r="Q1102" i="1"/>
  <c r="P1102" i="1"/>
  <c r="K1102" i="1"/>
  <c r="I1102" i="1"/>
  <c r="S1102" i="1" s="1"/>
  <c r="S1101" i="1"/>
  <c r="Q1101" i="1"/>
  <c r="P1101" i="1"/>
  <c r="O1101" i="1"/>
  <c r="R1101" i="1" s="1"/>
  <c r="K1101" i="1"/>
  <c r="I1101" i="1"/>
  <c r="Q1100" i="1"/>
  <c r="P1100" i="1"/>
  <c r="K1100" i="1"/>
  <c r="I1100" i="1"/>
  <c r="S1099" i="1"/>
  <c r="Q1099" i="1"/>
  <c r="P1099" i="1"/>
  <c r="K1099" i="1"/>
  <c r="I1099" i="1"/>
  <c r="Q1098" i="1"/>
  <c r="P1098" i="1"/>
  <c r="K1098" i="1"/>
  <c r="I1098" i="1"/>
  <c r="Q1097" i="1"/>
  <c r="P1097" i="1"/>
  <c r="K1097" i="1"/>
  <c r="I1097" i="1"/>
  <c r="Q1096" i="1"/>
  <c r="P1096" i="1"/>
  <c r="O1096" i="1"/>
  <c r="R1096" i="1" s="1"/>
  <c r="K1096" i="1"/>
  <c r="I1096" i="1"/>
  <c r="S1096" i="1" s="1"/>
  <c r="Q1095" i="1"/>
  <c r="P1095" i="1"/>
  <c r="K1095" i="1"/>
  <c r="I1095" i="1"/>
  <c r="Q1094" i="1"/>
  <c r="P1094" i="1"/>
  <c r="O1094" i="1"/>
  <c r="R1094" i="1" s="1"/>
  <c r="K1094" i="1"/>
  <c r="I1094" i="1"/>
  <c r="S1094" i="1" s="1"/>
  <c r="Q1093" i="1"/>
  <c r="P1093" i="1"/>
  <c r="K1093" i="1"/>
  <c r="I1093" i="1"/>
  <c r="Q1092" i="1"/>
  <c r="P1092" i="1"/>
  <c r="K1092" i="1"/>
  <c r="I1092" i="1"/>
  <c r="Q1091" i="1"/>
  <c r="P1091" i="1"/>
  <c r="K1091" i="1"/>
  <c r="I1091" i="1"/>
  <c r="Q1090" i="1"/>
  <c r="P1090" i="1"/>
  <c r="K1090" i="1"/>
  <c r="I1090" i="1"/>
  <c r="S1090" i="1" s="1"/>
  <c r="S1089" i="1"/>
  <c r="Q1089" i="1"/>
  <c r="P1089" i="1"/>
  <c r="K1089" i="1"/>
  <c r="I1089" i="1"/>
  <c r="O1089" i="1" s="1"/>
  <c r="R1089" i="1" s="1"/>
  <c r="Q1088" i="1"/>
  <c r="P1088" i="1"/>
  <c r="K1088" i="1"/>
  <c r="I1088" i="1"/>
  <c r="S1087" i="1"/>
  <c r="Q1087" i="1"/>
  <c r="P1087" i="1"/>
  <c r="K1087" i="1"/>
  <c r="I1087" i="1"/>
  <c r="Q1086" i="1"/>
  <c r="P1086" i="1"/>
  <c r="O1086" i="1"/>
  <c r="R1086" i="1" s="1"/>
  <c r="K1086" i="1"/>
  <c r="I1086" i="1"/>
  <c r="S1086" i="1" s="1"/>
  <c r="S1085" i="1"/>
  <c r="Q1085" i="1"/>
  <c r="P1085" i="1"/>
  <c r="O1085" i="1"/>
  <c r="R1085" i="1" s="1"/>
  <c r="K1085" i="1"/>
  <c r="I1085" i="1"/>
  <c r="Q1084" i="1"/>
  <c r="P1084" i="1"/>
  <c r="K1084" i="1"/>
  <c r="I1084" i="1"/>
  <c r="S1084" i="1" s="1"/>
  <c r="Q1083" i="1"/>
  <c r="P1083" i="1"/>
  <c r="K1083" i="1"/>
  <c r="I1083" i="1"/>
  <c r="Q1082" i="1"/>
  <c r="P1082" i="1"/>
  <c r="K1082" i="1"/>
  <c r="I1082" i="1"/>
  <c r="S1081" i="1"/>
  <c r="Q1081" i="1"/>
  <c r="P1081" i="1"/>
  <c r="K1081" i="1"/>
  <c r="I1081" i="1"/>
  <c r="Q1080" i="1"/>
  <c r="P1080" i="1"/>
  <c r="O1080" i="1"/>
  <c r="R1080" i="1" s="1"/>
  <c r="K1080" i="1"/>
  <c r="I1080" i="1"/>
  <c r="S1080" i="1" s="1"/>
  <c r="Q1079" i="1"/>
  <c r="P1079" i="1"/>
  <c r="K1079" i="1"/>
  <c r="I1079" i="1"/>
  <c r="Q1078" i="1"/>
  <c r="P1078" i="1"/>
  <c r="O1078" i="1"/>
  <c r="R1078" i="1" s="1"/>
  <c r="K1078" i="1"/>
  <c r="I1078" i="1"/>
  <c r="S1078" i="1" s="1"/>
  <c r="Q1077" i="1"/>
  <c r="P1077" i="1"/>
  <c r="K1077" i="1"/>
  <c r="I1077" i="1"/>
  <c r="Q1076" i="1"/>
  <c r="P1076" i="1"/>
  <c r="K1076" i="1"/>
  <c r="I1076" i="1"/>
  <c r="S1076" i="1" s="1"/>
  <c r="Q1075" i="1"/>
  <c r="P1075" i="1"/>
  <c r="K1075" i="1"/>
  <c r="I1075" i="1"/>
  <c r="Q1074" i="1"/>
  <c r="P1074" i="1"/>
  <c r="K1074" i="1"/>
  <c r="I1074" i="1"/>
  <c r="S1073" i="1"/>
  <c r="Q1073" i="1"/>
  <c r="P1073" i="1"/>
  <c r="K1073" i="1"/>
  <c r="I1073" i="1"/>
  <c r="Q1072" i="1"/>
  <c r="P1072" i="1"/>
  <c r="K1072" i="1"/>
  <c r="I1072" i="1"/>
  <c r="S1071" i="1"/>
  <c r="Q1071" i="1"/>
  <c r="P1071" i="1"/>
  <c r="K1071" i="1"/>
  <c r="I1071" i="1"/>
  <c r="Q1070" i="1"/>
  <c r="P1070" i="1"/>
  <c r="K1070" i="1"/>
  <c r="I1070" i="1"/>
  <c r="S1069" i="1"/>
  <c r="Q1069" i="1"/>
  <c r="P1069" i="1"/>
  <c r="O1069" i="1"/>
  <c r="R1069" i="1" s="1"/>
  <c r="K1069" i="1"/>
  <c r="I1069" i="1"/>
  <c r="Q1068" i="1"/>
  <c r="P1068" i="1"/>
  <c r="K1068" i="1"/>
  <c r="I1068" i="1"/>
  <c r="S1068" i="1" s="1"/>
  <c r="Q1067" i="1"/>
  <c r="P1067" i="1"/>
  <c r="K1067" i="1"/>
  <c r="I1067" i="1"/>
  <c r="Q1066" i="1"/>
  <c r="P1066" i="1"/>
  <c r="K1066" i="1"/>
  <c r="I1066" i="1"/>
  <c r="Q1065" i="1"/>
  <c r="P1065" i="1"/>
  <c r="K1065" i="1"/>
  <c r="I1065" i="1"/>
  <c r="O1065" i="1" s="1"/>
  <c r="R1065" i="1" s="1"/>
  <c r="Q1064" i="1"/>
  <c r="P1064" i="1"/>
  <c r="K1064" i="1"/>
  <c r="I1064" i="1"/>
  <c r="S1064" i="1" s="1"/>
  <c r="Q1063" i="1"/>
  <c r="P1063" i="1"/>
  <c r="K1063" i="1"/>
  <c r="I1063" i="1"/>
  <c r="Q1062" i="1"/>
  <c r="P1062" i="1"/>
  <c r="O1062" i="1"/>
  <c r="R1062" i="1" s="1"/>
  <c r="K1062" i="1"/>
  <c r="I1062" i="1"/>
  <c r="S1062" i="1" s="1"/>
  <c r="Q1061" i="1"/>
  <c r="P1061" i="1"/>
  <c r="K1061" i="1"/>
  <c r="I1061" i="1"/>
  <c r="Q1060" i="1"/>
  <c r="P1060" i="1"/>
  <c r="K1060" i="1"/>
  <c r="I1060" i="1"/>
  <c r="S1060" i="1" s="1"/>
  <c r="Q1059" i="1"/>
  <c r="P1059" i="1"/>
  <c r="K1059" i="1"/>
  <c r="I1059" i="1"/>
  <c r="Q1058" i="1"/>
  <c r="P1058" i="1"/>
  <c r="K1058" i="1"/>
  <c r="I1058" i="1"/>
  <c r="S1057" i="1"/>
  <c r="Q1057" i="1"/>
  <c r="P1057" i="1"/>
  <c r="K1057" i="1"/>
  <c r="I1057" i="1"/>
  <c r="Q1056" i="1"/>
  <c r="P1056" i="1"/>
  <c r="K1056" i="1"/>
  <c r="I1056" i="1"/>
  <c r="S1056" i="1" s="1"/>
  <c r="S1055" i="1"/>
  <c r="Q1055" i="1"/>
  <c r="P1055" i="1"/>
  <c r="K1055" i="1"/>
  <c r="I1055" i="1"/>
  <c r="Q1054" i="1"/>
  <c r="P1054" i="1"/>
  <c r="K1054" i="1"/>
  <c r="I1054" i="1"/>
  <c r="S1053" i="1"/>
  <c r="Q1053" i="1"/>
  <c r="P1053" i="1"/>
  <c r="O1053" i="1"/>
  <c r="R1053" i="1" s="1"/>
  <c r="K1053" i="1"/>
  <c r="I1053" i="1"/>
  <c r="Q1052" i="1"/>
  <c r="P1052" i="1"/>
  <c r="K1052" i="1"/>
  <c r="I1052" i="1"/>
  <c r="S1051" i="1"/>
  <c r="Q1051" i="1"/>
  <c r="P1051" i="1"/>
  <c r="K1051" i="1"/>
  <c r="I1051" i="1"/>
  <c r="O1051" i="1" s="1"/>
  <c r="R1051" i="1" s="1"/>
  <c r="Q1050" i="1"/>
  <c r="P1050" i="1"/>
  <c r="K1050" i="1"/>
  <c r="I1050" i="1"/>
  <c r="Q1049" i="1"/>
  <c r="P1049" i="1"/>
  <c r="O1049" i="1"/>
  <c r="R1049" i="1" s="1"/>
  <c r="K1049" i="1"/>
  <c r="I1049" i="1"/>
  <c r="Q1048" i="1"/>
  <c r="P1048" i="1"/>
  <c r="O1048" i="1"/>
  <c r="R1048" i="1" s="1"/>
  <c r="K1048" i="1"/>
  <c r="I1048" i="1"/>
  <c r="S1048" i="1" s="1"/>
  <c r="Q1047" i="1"/>
  <c r="P1047" i="1"/>
  <c r="K1047" i="1"/>
  <c r="I1047" i="1"/>
  <c r="Q1046" i="1"/>
  <c r="P1046" i="1"/>
  <c r="O1046" i="1"/>
  <c r="R1046" i="1" s="1"/>
  <c r="K1046" i="1"/>
  <c r="I1046" i="1"/>
  <c r="S1046" i="1" s="1"/>
  <c r="Q1045" i="1"/>
  <c r="P1045" i="1"/>
  <c r="K1045" i="1"/>
  <c r="I1045" i="1"/>
  <c r="Q1044" i="1"/>
  <c r="P1044" i="1"/>
  <c r="O1044" i="1"/>
  <c r="R1044" i="1" s="1"/>
  <c r="K1044" i="1"/>
  <c r="I1044" i="1"/>
  <c r="S1044" i="1" s="1"/>
  <c r="Q1043" i="1"/>
  <c r="P1043" i="1"/>
  <c r="K1043" i="1"/>
  <c r="I1043" i="1"/>
  <c r="Q1042" i="1"/>
  <c r="P1042" i="1"/>
  <c r="K1042" i="1"/>
  <c r="I1042" i="1"/>
  <c r="S1042" i="1" s="1"/>
  <c r="S1041" i="1"/>
  <c r="Q1041" i="1"/>
  <c r="P1041" i="1"/>
  <c r="K1041" i="1"/>
  <c r="I1041" i="1"/>
  <c r="Q1040" i="1"/>
  <c r="P1040" i="1"/>
  <c r="K1040" i="1"/>
  <c r="I1040" i="1"/>
  <c r="S1040" i="1" s="1"/>
  <c r="S1039" i="1"/>
  <c r="Q1039" i="1"/>
  <c r="P1039" i="1"/>
  <c r="K1039" i="1"/>
  <c r="I1039" i="1"/>
  <c r="Q1038" i="1"/>
  <c r="P1038" i="1"/>
  <c r="K1038" i="1"/>
  <c r="I1038" i="1"/>
  <c r="S1037" i="1"/>
  <c r="Q1037" i="1"/>
  <c r="P1037" i="1"/>
  <c r="O1037" i="1"/>
  <c r="R1037" i="1" s="1"/>
  <c r="K1037" i="1"/>
  <c r="I1037" i="1"/>
  <c r="Q1036" i="1"/>
  <c r="P1036" i="1"/>
  <c r="K1036" i="1"/>
  <c r="I1036" i="1"/>
  <c r="S1036" i="1" s="1"/>
  <c r="Q1035" i="1"/>
  <c r="P1035" i="1"/>
  <c r="K1035" i="1"/>
  <c r="I1035" i="1"/>
  <c r="Q1034" i="1"/>
  <c r="P1034" i="1"/>
  <c r="K1034" i="1"/>
  <c r="I1034" i="1"/>
  <c r="Q1033" i="1"/>
  <c r="P1033" i="1"/>
  <c r="K1033" i="1"/>
  <c r="I1033" i="1"/>
  <c r="Q1032" i="1"/>
  <c r="P1032" i="1"/>
  <c r="O1032" i="1"/>
  <c r="R1032" i="1" s="1"/>
  <c r="K1032" i="1"/>
  <c r="I1032" i="1"/>
  <c r="S1032" i="1" s="1"/>
  <c r="Q1031" i="1"/>
  <c r="P1031" i="1"/>
  <c r="K1031" i="1"/>
  <c r="I1031" i="1"/>
  <c r="Q1030" i="1"/>
  <c r="P1030" i="1"/>
  <c r="O1030" i="1"/>
  <c r="R1030" i="1" s="1"/>
  <c r="K1030" i="1"/>
  <c r="I1030" i="1"/>
  <c r="S1030" i="1" s="1"/>
  <c r="Q1029" i="1"/>
  <c r="P1029" i="1"/>
  <c r="K1029" i="1"/>
  <c r="I1029" i="1"/>
  <c r="Q1028" i="1"/>
  <c r="P1028" i="1"/>
  <c r="K1028" i="1"/>
  <c r="I1028" i="1"/>
  <c r="Q1027" i="1"/>
  <c r="P1027" i="1"/>
  <c r="K1027" i="1"/>
  <c r="I1027" i="1"/>
  <c r="Q1026" i="1"/>
  <c r="P1026" i="1"/>
  <c r="K1026" i="1"/>
  <c r="I1026" i="1"/>
  <c r="S1025" i="1"/>
  <c r="Q1025" i="1"/>
  <c r="P1025" i="1"/>
  <c r="K1025" i="1"/>
  <c r="I1025" i="1"/>
  <c r="Q1024" i="1"/>
  <c r="P1024" i="1"/>
  <c r="K1024" i="1"/>
  <c r="I1024" i="1"/>
  <c r="S1024" i="1" s="1"/>
  <c r="S1023" i="1"/>
  <c r="Q1023" i="1"/>
  <c r="P1023" i="1"/>
  <c r="K1023" i="1"/>
  <c r="I1023" i="1"/>
  <c r="Q1022" i="1"/>
  <c r="P1022" i="1"/>
  <c r="K1022" i="1"/>
  <c r="I1022" i="1"/>
  <c r="S1021" i="1"/>
  <c r="Q1021" i="1"/>
  <c r="P1021" i="1"/>
  <c r="O1021" i="1"/>
  <c r="R1021" i="1" s="1"/>
  <c r="K1021" i="1"/>
  <c r="I1021" i="1"/>
  <c r="Q1020" i="1"/>
  <c r="P1020" i="1"/>
  <c r="O1020" i="1"/>
  <c r="R1020" i="1" s="1"/>
  <c r="K1020" i="1"/>
  <c r="I1020" i="1"/>
  <c r="S1020" i="1" s="1"/>
  <c r="S1019" i="1"/>
  <c r="Q1019" i="1"/>
  <c r="P1019" i="1"/>
  <c r="K1019" i="1"/>
  <c r="I1019" i="1"/>
  <c r="Q1018" i="1"/>
  <c r="P1018" i="1"/>
  <c r="K1018" i="1"/>
  <c r="I1018" i="1"/>
  <c r="Q1017" i="1"/>
  <c r="P1017" i="1"/>
  <c r="K1017" i="1"/>
  <c r="I1017" i="1"/>
  <c r="Q1016" i="1"/>
  <c r="P1016" i="1"/>
  <c r="K1016" i="1"/>
  <c r="I1016" i="1"/>
  <c r="S1016" i="1" s="1"/>
  <c r="Q1015" i="1"/>
  <c r="P1015" i="1"/>
  <c r="K1015" i="1"/>
  <c r="I1015" i="1"/>
  <c r="Q1014" i="1"/>
  <c r="P1014" i="1"/>
  <c r="O1014" i="1"/>
  <c r="R1014" i="1" s="1"/>
  <c r="K1014" i="1"/>
  <c r="I1014" i="1"/>
  <c r="S1014" i="1" s="1"/>
  <c r="Q1013" i="1"/>
  <c r="P1013" i="1"/>
  <c r="K1013" i="1"/>
  <c r="I1013" i="1"/>
  <c r="Q1012" i="1"/>
  <c r="P1012" i="1"/>
  <c r="O1012" i="1"/>
  <c r="R1012" i="1" s="1"/>
  <c r="K1012" i="1"/>
  <c r="I1012" i="1"/>
  <c r="S1012" i="1" s="1"/>
  <c r="Q1011" i="1"/>
  <c r="P1011" i="1"/>
  <c r="K1011" i="1"/>
  <c r="I1011" i="1"/>
  <c r="Q1010" i="1"/>
  <c r="P1010" i="1"/>
  <c r="O1010" i="1"/>
  <c r="R1010" i="1" s="1"/>
  <c r="K1010" i="1"/>
  <c r="I1010" i="1"/>
  <c r="S1010" i="1" s="1"/>
  <c r="S1009" i="1"/>
  <c r="Q1009" i="1"/>
  <c r="P1009" i="1"/>
  <c r="K1009" i="1"/>
  <c r="I1009" i="1"/>
  <c r="Q1008" i="1"/>
  <c r="P1008" i="1"/>
  <c r="K1008" i="1"/>
  <c r="I1008" i="1"/>
  <c r="S1007" i="1"/>
  <c r="Q1007" i="1"/>
  <c r="P1007" i="1"/>
  <c r="O1007" i="1"/>
  <c r="R1007" i="1" s="1"/>
  <c r="K1007" i="1"/>
  <c r="I1007" i="1"/>
  <c r="Q1006" i="1"/>
  <c r="P1006" i="1"/>
  <c r="K1006" i="1"/>
  <c r="I1006" i="1"/>
  <c r="S1006" i="1" s="1"/>
  <c r="S1005" i="1"/>
  <c r="Q1005" i="1"/>
  <c r="P1005" i="1"/>
  <c r="O1005" i="1"/>
  <c r="R1005" i="1" s="1"/>
  <c r="K1005" i="1"/>
  <c r="I1005" i="1"/>
  <c r="Q1004" i="1"/>
  <c r="P1004" i="1"/>
  <c r="K1004" i="1"/>
  <c r="I1004" i="1"/>
  <c r="S1004" i="1" s="1"/>
  <c r="S1003" i="1"/>
  <c r="Q1003" i="1"/>
  <c r="P1003" i="1"/>
  <c r="K1003" i="1"/>
  <c r="I1003" i="1"/>
  <c r="Q1002" i="1"/>
  <c r="P1002" i="1"/>
  <c r="K1002" i="1"/>
  <c r="I1002" i="1"/>
  <c r="Q1001" i="1"/>
  <c r="P1001" i="1"/>
  <c r="K1001" i="1"/>
  <c r="I1001" i="1"/>
  <c r="Q1000" i="1"/>
  <c r="P1000" i="1"/>
  <c r="O1000" i="1"/>
  <c r="R1000" i="1" s="1"/>
  <c r="K1000" i="1"/>
  <c r="I1000" i="1"/>
  <c r="S1000" i="1" s="1"/>
  <c r="Q999" i="1"/>
  <c r="P999" i="1"/>
  <c r="K999" i="1"/>
  <c r="I999" i="1"/>
  <c r="Q998" i="1"/>
  <c r="P998" i="1"/>
  <c r="O998" i="1"/>
  <c r="R998" i="1" s="1"/>
  <c r="K998" i="1"/>
  <c r="I998" i="1"/>
  <c r="S998" i="1" s="1"/>
  <c r="Q997" i="1"/>
  <c r="P997" i="1"/>
  <c r="K997" i="1"/>
  <c r="I997" i="1"/>
  <c r="Q996" i="1"/>
  <c r="P996" i="1"/>
  <c r="K996" i="1"/>
  <c r="I996" i="1"/>
  <c r="Q995" i="1"/>
  <c r="P995" i="1"/>
  <c r="K995" i="1"/>
  <c r="I995" i="1"/>
  <c r="Q994" i="1"/>
  <c r="P994" i="1"/>
  <c r="K994" i="1"/>
  <c r="I994" i="1"/>
  <c r="S994" i="1" s="1"/>
  <c r="S993" i="1"/>
  <c r="Q993" i="1"/>
  <c r="P993" i="1"/>
  <c r="K993" i="1"/>
  <c r="I993" i="1"/>
  <c r="O993" i="1" s="1"/>
  <c r="R993" i="1" s="1"/>
  <c r="Q992" i="1"/>
  <c r="P992" i="1"/>
  <c r="K992" i="1"/>
  <c r="I992" i="1"/>
  <c r="S992" i="1" s="1"/>
  <c r="S991" i="1"/>
  <c r="Q991" i="1"/>
  <c r="P991" i="1"/>
  <c r="K991" i="1"/>
  <c r="I991" i="1"/>
  <c r="Q990" i="1"/>
  <c r="P990" i="1"/>
  <c r="K990" i="1"/>
  <c r="I990" i="1"/>
  <c r="S989" i="1"/>
  <c r="Q989" i="1"/>
  <c r="P989" i="1"/>
  <c r="O989" i="1"/>
  <c r="R989" i="1" s="1"/>
  <c r="K989" i="1"/>
  <c r="I989" i="1"/>
  <c r="Q988" i="1"/>
  <c r="P988" i="1"/>
  <c r="K988" i="1"/>
  <c r="I988" i="1"/>
  <c r="Q987" i="1"/>
  <c r="P987" i="1"/>
  <c r="K987" i="1"/>
  <c r="I987" i="1"/>
  <c r="Q986" i="1"/>
  <c r="P986" i="1"/>
  <c r="K986" i="1"/>
  <c r="I986" i="1"/>
  <c r="S985" i="1"/>
  <c r="Q985" i="1"/>
  <c r="P985" i="1"/>
  <c r="K985" i="1"/>
  <c r="I985" i="1"/>
  <c r="Q984" i="1"/>
  <c r="P984" i="1"/>
  <c r="K984" i="1"/>
  <c r="I984" i="1"/>
  <c r="S984" i="1" s="1"/>
  <c r="Q983" i="1"/>
  <c r="P983" i="1"/>
  <c r="K983" i="1"/>
  <c r="I983" i="1"/>
  <c r="Q982" i="1"/>
  <c r="P982" i="1"/>
  <c r="O982" i="1"/>
  <c r="R982" i="1" s="1"/>
  <c r="K982" i="1"/>
  <c r="I982" i="1"/>
  <c r="S982" i="1" s="1"/>
  <c r="Q981" i="1"/>
  <c r="P981" i="1"/>
  <c r="K981" i="1"/>
  <c r="I981" i="1"/>
  <c r="Q980" i="1"/>
  <c r="P980" i="1"/>
  <c r="O980" i="1"/>
  <c r="R980" i="1" s="1"/>
  <c r="K980" i="1"/>
  <c r="I980" i="1"/>
  <c r="S980" i="1" s="1"/>
  <c r="Q979" i="1"/>
  <c r="P979" i="1"/>
  <c r="K979" i="1"/>
  <c r="I979" i="1"/>
  <c r="Q978" i="1"/>
  <c r="P978" i="1"/>
  <c r="K978" i="1"/>
  <c r="I978" i="1"/>
  <c r="S977" i="1"/>
  <c r="Q977" i="1"/>
  <c r="P977" i="1"/>
  <c r="K977" i="1"/>
  <c r="I977" i="1"/>
  <c r="Q976" i="1"/>
  <c r="P976" i="1"/>
  <c r="K976" i="1"/>
  <c r="I976" i="1"/>
  <c r="S975" i="1"/>
  <c r="Q975" i="1"/>
  <c r="P975" i="1"/>
  <c r="K975" i="1"/>
  <c r="I975" i="1"/>
  <c r="Q974" i="1"/>
  <c r="P974" i="1"/>
  <c r="K974" i="1"/>
  <c r="I974" i="1"/>
  <c r="S973" i="1"/>
  <c r="Q973" i="1"/>
  <c r="P973" i="1"/>
  <c r="O973" i="1"/>
  <c r="R973" i="1" s="1"/>
  <c r="K973" i="1"/>
  <c r="I973" i="1"/>
  <c r="Q972" i="1"/>
  <c r="P972" i="1"/>
  <c r="K972" i="1"/>
  <c r="I972" i="1"/>
  <c r="S972" i="1" s="1"/>
  <c r="S971" i="1"/>
  <c r="Q971" i="1"/>
  <c r="P971" i="1"/>
  <c r="K971" i="1"/>
  <c r="I971" i="1"/>
  <c r="Q970" i="1"/>
  <c r="P970" i="1"/>
  <c r="K970" i="1"/>
  <c r="I970" i="1"/>
  <c r="S969" i="1"/>
  <c r="Q969" i="1"/>
  <c r="P969" i="1"/>
  <c r="K969" i="1"/>
  <c r="I969" i="1"/>
  <c r="Q968" i="1"/>
  <c r="P968" i="1"/>
  <c r="K968" i="1"/>
  <c r="I968" i="1"/>
  <c r="S968" i="1" s="1"/>
  <c r="Q967" i="1"/>
  <c r="P967" i="1"/>
  <c r="K967" i="1"/>
  <c r="I967" i="1"/>
  <c r="Q966" i="1"/>
  <c r="P966" i="1"/>
  <c r="O966" i="1"/>
  <c r="R966" i="1" s="1"/>
  <c r="K966" i="1"/>
  <c r="I966" i="1"/>
  <c r="S966" i="1" s="1"/>
  <c r="Q965" i="1"/>
  <c r="P965" i="1"/>
  <c r="K965" i="1"/>
  <c r="I965" i="1"/>
  <c r="Q964" i="1"/>
  <c r="P964" i="1"/>
  <c r="K964" i="1"/>
  <c r="I964" i="1"/>
  <c r="Q963" i="1"/>
  <c r="P963" i="1"/>
  <c r="K963" i="1"/>
  <c r="I963" i="1"/>
  <c r="Q962" i="1"/>
  <c r="P962" i="1"/>
  <c r="K962" i="1"/>
  <c r="I962" i="1"/>
  <c r="S962" i="1" s="1"/>
  <c r="S961" i="1"/>
  <c r="Q961" i="1"/>
  <c r="P961" i="1"/>
  <c r="K961" i="1"/>
  <c r="I961" i="1"/>
  <c r="Q960" i="1"/>
  <c r="P960" i="1"/>
  <c r="K960" i="1"/>
  <c r="I960" i="1"/>
  <c r="S960" i="1" s="1"/>
  <c r="S959" i="1"/>
  <c r="Q959" i="1"/>
  <c r="P959" i="1"/>
  <c r="K959" i="1"/>
  <c r="I959" i="1"/>
  <c r="Q958" i="1"/>
  <c r="P958" i="1"/>
  <c r="K958" i="1"/>
  <c r="I958" i="1"/>
  <c r="S957" i="1"/>
  <c r="Q957" i="1"/>
  <c r="P957" i="1"/>
  <c r="O957" i="1"/>
  <c r="R957" i="1" s="1"/>
  <c r="K957" i="1"/>
  <c r="I957" i="1"/>
  <c r="Q956" i="1"/>
  <c r="P956" i="1"/>
  <c r="K956" i="1"/>
  <c r="I956" i="1"/>
  <c r="S955" i="1"/>
  <c r="Q955" i="1"/>
  <c r="P955" i="1"/>
  <c r="K955" i="1"/>
  <c r="I955" i="1"/>
  <c r="Q954" i="1"/>
  <c r="P954" i="1"/>
  <c r="K954" i="1"/>
  <c r="I954" i="1"/>
  <c r="Q953" i="1"/>
  <c r="P953" i="1"/>
  <c r="K953" i="1"/>
  <c r="I953" i="1"/>
  <c r="Q952" i="1"/>
  <c r="P952" i="1"/>
  <c r="K952" i="1"/>
  <c r="I952" i="1"/>
  <c r="Q951" i="1"/>
  <c r="P951" i="1"/>
  <c r="O951" i="1"/>
  <c r="R951" i="1" s="1"/>
  <c r="K951" i="1"/>
  <c r="I951" i="1"/>
  <c r="S951" i="1" s="1"/>
  <c r="Q950" i="1"/>
  <c r="P950" i="1"/>
  <c r="K950" i="1"/>
  <c r="I950" i="1"/>
  <c r="S949" i="1"/>
  <c r="Q949" i="1"/>
  <c r="P949" i="1"/>
  <c r="O949" i="1"/>
  <c r="R949" i="1" s="1"/>
  <c r="K949" i="1"/>
  <c r="I949" i="1"/>
  <c r="Q948" i="1"/>
  <c r="P948" i="1"/>
  <c r="K948" i="1"/>
  <c r="I948" i="1"/>
  <c r="S948" i="1" s="1"/>
  <c r="S947" i="1"/>
  <c r="Q947" i="1"/>
  <c r="P947" i="1"/>
  <c r="K947" i="1"/>
  <c r="I947" i="1"/>
  <c r="O947" i="1" s="1"/>
  <c r="R947" i="1" s="1"/>
  <c r="Q946" i="1"/>
  <c r="P946" i="1"/>
  <c r="K946" i="1"/>
  <c r="I946" i="1"/>
  <c r="S946" i="1" s="1"/>
  <c r="Q945" i="1"/>
  <c r="P945" i="1"/>
  <c r="K945" i="1"/>
  <c r="I945" i="1"/>
  <c r="S945" i="1" s="1"/>
  <c r="Q944" i="1"/>
  <c r="P944" i="1"/>
  <c r="K944" i="1"/>
  <c r="I944" i="1"/>
  <c r="S944" i="1" s="1"/>
  <c r="Q943" i="1"/>
  <c r="P943" i="1"/>
  <c r="K943" i="1"/>
  <c r="I943" i="1"/>
  <c r="S943" i="1" s="1"/>
  <c r="Q942" i="1"/>
  <c r="P942" i="1"/>
  <c r="O942" i="1"/>
  <c r="R942" i="1" s="1"/>
  <c r="K942" i="1"/>
  <c r="I942" i="1"/>
  <c r="S942" i="1" s="1"/>
  <c r="Q941" i="1"/>
  <c r="P941" i="1"/>
  <c r="K941" i="1"/>
  <c r="I941" i="1"/>
  <c r="Q940" i="1"/>
  <c r="P940" i="1"/>
  <c r="K940" i="1"/>
  <c r="I940" i="1"/>
  <c r="S940" i="1" s="1"/>
  <c r="Q939" i="1"/>
  <c r="P939" i="1"/>
  <c r="K939" i="1"/>
  <c r="I939" i="1"/>
  <c r="S939" i="1" s="1"/>
  <c r="Q938" i="1"/>
  <c r="P938" i="1"/>
  <c r="K938" i="1"/>
  <c r="I938" i="1"/>
  <c r="S938" i="1" s="1"/>
  <c r="Q937" i="1"/>
  <c r="P937" i="1"/>
  <c r="K937" i="1"/>
  <c r="I937" i="1"/>
  <c r="S937" i="1" s="1"/>
  <c r="Q936" i="1"/>
  <c r="P936" i="1"/>
  <c r="K936" i="1"/>
  <c r="I936" i="1"/>
  <c r="S936" i="1" s="1"/>
  <c r="Q935" i="1"/>
  <c r="P935" i="1"/>
  <c r="K935" i="1"/>
  <c r="I935" i="1"/>
  <c r="Q934" i="1"/>
  <c r="P934" i="1"/>
  <c r="O934" i="1"/>
  <c r="R934" i="1" s="1"/>
  <c r="K934" i="1"/>
  <c r="I934" i="1"/>
  <c r="S934" i="1" s="1"/>
  <c r="S933" i="1"/>
  <c r="Q933" i="1"/>
  <c r="P933" i="1"/>
  <c r="K933" i="1"/>
  <c r="I933" i="1"/>
  <c r="O933" i="1" s="1"/>
  <c r="R933" i="1" s="1"/>
  <c r="Q932" i="1"/>
  <c r="P932" i="1"/>
  <c r="K932" i="1"/>
  <c r="I932" i="1"/>
  <c r="S932" i="1" s="1"/>
  <c r="S931" i="1"/>
  <c r="Q931" i="1"/>
  <c r="P931" i="1"/>
  <c r="K931" i="1"/>
  <c r="I931" i="1"/>
  <c r="Q930" i="1"/>
  <c r="P930" i="1"/>
  <c r="K930" i="1"/>
  <c r="I930" i="1"/>
  <c r="S930" i="1" s="1"/>
  <c r="S929" i="1"/>
  <c r="Q929" i="1"/>
  <c r="P929" i="1"/>
  <c r="K929" i="1"/>
  <c r="I929" i="1"/>
  <c r="Q928" i="1"/>
  <c r="P928" i="1"/>
  <c r="K928" i="1"/>
  <c r="I928" i="1"/>
  <c r="S928" i="1" s="1"/>
  <c r="S927" i="1"/>
  <c r="Q927" i="1"/>
  <c r="P927" i="1"/>
  <c r="K927" i="1"/>
  <c r="I927" i="1"/>
  <c r="Q926" i="1"/>
  <c r="P926" i="1"/>
  <c r="K926" i="1"/>
  <c r="I926" i="1"/>
  <c r="S925" i="1"/>
  <c r="Q925" i="1"/>
  <c r="P925" i="1"/>
  <c r="O925" i="1"/>
  <c r="R925" i="1" s="1"/>
  <c r="K925" i="1"/>
  <c r="I925" i="1"/>
  <c r="Q924" i="1"/>
  <c r="P924" i="1"/>
  <c r="K924" i="1"/>
  <c r="I924" i="1"/>
  <c r="S924" i="1" s="1"/>
  <c r="S923" i="1"/>
  <c r="Q923" i="1"/>
  <c r="P923" i="1"/>
  <c r="O923" i="1"/>
  <c r="R923" i="1" s="1"/>
  <c r="K923" i="1"/>
  <c r="I923" i="1"/>
  <c r="Q922" i="1"/>
  <c r="P922" i="1"/>
  <c r="K922" i="1"/>
  <c r="I922" i="1"/>
  <c r="S921" i="1"/>
  <c r="Q921" i="1"/>
  <c r="P921" i="1"/>
  <c r="K921" i="1"/>
  <c r="I921" i="1"/>
  <c r="Q920" i="1"/>
  <c r="P920" i="1"/>
  <c r="O920" i="1"/>
  <c r="R920" i="1" s="1"/>
  <c r="K920" i="1"/>
  <c r="I920" i="1"/>
  <c r="S920" i="1" s="1"/>
  <c r="S919" i="1"/>
  <c r="Q919" i="1"/>
  <c r="P919" i="1"/>
  <c r="O919" i="1"/>
  <c r="R919" i="1" s="1"/>
  <c r="K919" i="1"/>
  <c r="I919" i="1"/>
  <c r="Q918" i="1"/>
  <c r="P918" i="1"/>
  <c r="K918" i="1"/>
  <c r="I918" i="1"/>
  <c r="S917" i="1"/>
  <c r="Q917" i="1"/>
  <c r="P917" i="1"/>
  <c r="O917" i="1"/>
  <c r="R917" i="1" s="1"/>
  <c r="K917" i="1"/>
  <c r="I917" i="1"/>
  <c r="Q916" i="1"/>
  <c r="P916" i="1"/>
  <c r="O916" i="1"/>
  <c r="R916" i="1" s="1"/>
  <c r="K916" i="1"/>
  <c r="I916" i="1"/>
  <c r="S916" i="1" s="1"/>
  <c r="S915" i="1"/>
  <c r="Q915" i="1"/>
  <c r="P915" i="1"/>
  <c r="K915" i="1"/>
  <c r="I915" i="1"/>
  <c r="S914" i="1"/>
  <c r="Q914" i="1"/>
  <c r="P914" i="1"/>
  <c r="K914" i="1"/>
  <c r="I914" i="1"/>
  <c r="S913" i="1"/>
  <c r="Q913" i="1"/>
  <c r="P913" i="1"/>
  <c r="K913" i="1"/>
  <c r="I913" i="1"/>
  <c r="Q912" i="1"/>
  <c r="P912" i="1"/>
  <c r="K912" i="1"/>
  <c r="I912" i="1"/>
  <c r="S911" i="1"/>
  <c r="Q911" i="1"/>
  <c r="P911" i="1"/>
  <c r="K911" i="1"/>
  <c r="I911" i="1"/>
  <c r="S910" i="1"/>
  <c r="Q910" i="1"/>
  <c r="P910" i="1"/>
  <c r="K910" i="1"/>
  <c r="I910" i="1"/>
  <c r="S909" i="1"/>
  <c r="Q909" i="1"/>
  <c r="P909" i="1"/>
  <c r="O909" i="1"/>
  <c r="R909" i="1" s="1"/>
  <c r="K909" i="1"/>
  <c r="I909" i="1"/>
  <c r="S908" i="1"/>
  <c r="Q908" i="1"/>
  <c r="P908" i="1"/>
  <c r="K908" i="1"/>
  <c r="I908" i="1"/>
  <c r="O908" i="1" s="1"/>
  <c r="R908" i="1" s="1"/>
  <c r="S907" i="1"/>
  <c r="Q907" i="1"/>
  <c r="P907" i="1"/>
  <c r="O907" i="1"/>
  <c r="R907" i="1" s="1"/>
  <c r="K907" i="1"/>
  <c r="I907" i="1"/>
  <c r="S906" i="1"/>
  <c r="Q906" i="1"/>
  <c r="P906" i="1"/>
  <c r="O906" i="1"/>
  <c r="R906" i="1" s="1"/>
  <c r="K906" i="1"/>
  <c r="I906" i="1"/>
  <c r="S905" i="1"/>
  <c r="Q905" i="1"/>
  <c r="P905" i="1"/>
  <c r="O905" i="1"/>
  <c r="R905" i="1" s="1"/>
  <c r="K905" i="1"/>
  <c r="I905" i="1"/>
  <c r="S904" i="1"/>
  <c r="Q904" i="1"/>
  <c r="P904" i="1"/>
  <c r="K904" i="1"/>
  <c r="I904" i="1"/>
  <c r="S903" i="1"/>
  <c r="Q903" i="1"/>
  <c r="P903" i="1"/>
  <c r="O903" i="1"/>
  <c r="R903" i="1" s="1"/>
  <c r="K903" i="1"/>
  <c r="I903" i="1"/>
  <c r="S902" i="1"/>
  <c r="Q902" i="1"/>
  <c r="P902" i="1"/>
  <c r="K902" i="1"/>
  <c r="I902" i="1"/>
  <c r="O902" i="1" s="1"/>
  <c r="R902" i="1" s="1"/>
  <c r="S901" i="1"/>
  <c r="Q901" i="1"/>
  <c r="P901" i="1"/>
  <c r="O901" i="1"/>
  <c r="R901" i="1" s="1"/>
  <c r="K901" i="1"/>
  <c r="I901" i="1"/>
  <c r="Q900" i="1"/>
  <c r="P900" i="1"/>
  <c r="K900" i="1"/>
  <c r="I900" i="1"/>
  <c r="S900" i="1" s="1"/>
  <c r="S899" i="1"/>
  <c r="Q899" i="1"/>
  <c r="P899" i="1"/>
  <c r="K899" i="1"/>
  <c r="I899" i="1"/>
  <c r="Q898" i="1"/>
  <c r="P898" i="1"/>
  <c r="K898" i="1"/>
  <c r="I898" i="1"/>
  <c r="S898" i="1" s="1"/>
  <c r="S897" i="1"/>
  <c r="Q897" i="1"/>
  <c r="P897" i="1"/>
  <c r="K897" i="1"/>
  <c r="I897" i="1"/>
  <c r="Q896" i="1"/>
  <c r="P896" i="1"/>
  <c r="K896" i="1"/>
  <c r="I896" i="1"/>
  <c r="S895" i="1"/>
  <c r="Q895" i="1"/>
  <c r="P895" i="1"/>
  <c r="K895" i="1"/>
  <c r="I895" i="1"/>
  <c r="Q894" i="1"/>
  <c r="P894" i="1"/>
  <c r="K894" i="1"/>
  <c r="I894" i="1"/>
  <c r="S893" i="1"/>
  <c r="Q893" i="1"/>
  <c r="P893" i="1"/>
  <c r="O893" i="1"/>
  <c r="R893" i="1" s="1"/>
  <c r="K893" i="1"/>
  <c r="I893" i="1"/>
  <c r="S892" i="1"/>
  <c r="Q892" i="1"/>
  <c r="P892" i="1"/>
  <c r="K892" i="1"/>
  <c r="I892" i="1"/>
  <c r="S891" i="1"/>
  <c r="Q891" i="1"/>
  <c r="P891" i="1"/>
  <c r="O891" i="1"/>
  <c r="R891" i="1" s="1"/>
  <c r="K891" i="1"/>
  <c r="I891" i="1"/>
  <c r="S890" i="1"/>
  <c r="Q890" i="1"/>
  <c r="P890" i="1"/>
  <c r="K890" i="1"/>
  <c r="I890" i="1"/>
  <c r="O890" i="1" s="1"/>
  <c r="R890" i="1" s="1"/>
  <c r="S889" i="1"/>
  <c r="Q889" i="1"/>
  <c r="P889" i="1"/>
  <c r="K889" i="1"/>
  <c r="I889" i="1"/>
  <c r="Q888" i="1"/>
  <c r="P888" i="1"/>
  <c r="K888" i="1"/>
  <c r="I888" i="1"/>
  <c r="S887" i="1"/>
  <c r="Q887" i="1"/>
  <c r="P887" i="1"/>
  <c r="O887" i="1"/>
  <c r="R887" i="1" s="1"/>
  <c r="K887" i="1"/>
  <c r="I887" i="1"/>
  <c r="S886" i="1"/>
  <c r="Q886" i="1"/>
  <c r="P886" i="1"/>
  <c r="K886" i="1"/>
  <c r="I886" i="1"/>
  <c r="O886" i="1" s="1"/>
  <c r="R886" i="1" s="1"/>
  <c r="S885" i="1"/>
  <c r="Q885" i="1"/>
  <c r="P885" i="1"/>
  <c r="O885" i="1"/>
  <c r="R885" i="1" s="1"/>
  <c r="K885" i="1"/>
  <c r="I885" i="1"/>
  <c r="S884" i="1"/>
  <c r="Q884" i="1"/>
  <c r="P884" i="1"/>
  <c r="O884" i="1"/>
  <c r="R884" i="1" s="1"/>
  <c r="K884" i="1"/>
  <c r="I884" i="1"/>
  <c r="S883" i="1"/>
  <c r="Q883" i="1"/>
  <c r="P883" i="1"/>
  <c r="K883" i="1"/>
  <c r="I883" i="1"/>
  <c r="S882" i="1"/>
  <c r="Q882" i="1"/>
  <c r="P882" i="1"/>
  <c r="K882" i="1"/>
  <c r="I882" i="1"/>
  <c r="S881" i="1"/>
  <c r="Q881" i="1"/>
  <c r="P881" i="1"/>
  <c r="K881" i="1"/>
  <c r="I881" i="1"/>
  <c r="S880" i="1"/>
  <c r="Q880" i="1"/>
  <c r="P880" i="1"/>
  <c r="K880" i="1"/>
  <c r="I880" i="1"/>
  <c r="S879" i="1"/>
  <c r="Q879" i="1"/>
  <c r="P879" i="1"/>
  <c r="K879" i="1"/>
  <c r="I879" i="1"/>
  <c r="S878" i="1"/>
  <c r="Q878" i="1"/>
  <c r="P878" i="1"/>
  <c r="K878" i="1"/>
  <c r="I878" i="1"/>
  <c r="S877" i="1"/>
  <c r="Q877" i="1"/>
  <c r="P877" i="1"/>
  <c r="O877" i="1"/>
  <c r="R877" i="1" s="1"/>
  <c r="K877" i="1"/>
  <c r="I877" i="1"/>
  <c r="Q876" i="1"/>
  <c r="P876" i="1"/>
  <c r="K876" i="1"/>
  <c r="I876" i="1"/>
  <c r="O876" i="1" s="1"/>
  <c r="R876" i="1" s="1"/>
  <c r="S875" i="1"/>
  <c r="Q875" i="1"/>
  <c r="P875" i="1"/>
  <c r="K875" i="1"/>
  <c r="I875" i="1"/>
  <c r="Q874" i="1"/>
  <c r="P874" i="1"/>
  <c r="K874" i="1"/>
  <c r="I874" i="1"/>
  <c r="S874" i="1" s="1"/>
  <c r="S873" i="1"/>
  <c r="Q873" i="1"/>
  <c r="P873" i="1"/>
  <c r="O873" i="1"/>
  <c r="R873" i="1" s="1"/>
  <c r="K873" i="1"/>
  <c r="I873" i="1"/>
  <c r="Q872" i="1"/>
  <c r="P872" i="1"/>
  <c r="K872" i="1"/>
  <c r="I872" i="1"/>
  <c r="S871" i="1"/>
  <c r="Q871" i="1"/>
  <c r="P871" i="1"/>
  <c r="O871" i="1"/>
  <c r="R871" i="1" s="1"/>
  <c r="K871" i="1"/>
  <c r="I871" i="1"/>
  <c r="Q870" i="1"/>
  <c r="P870" i="1"/>
  <c r="O870" i="1"/>
  <c r="R870" i="1" s="1"/>
  <c r="K870" i="1"/>
  <c r="I870" i="1"/>
  <c r="S870" i="1" s="1"/>
  <c r="S869" i="1"/>
  <c r="Q869" i="1"/>
  <c r="P869" i="1"/>
  <c r="O869" i="1"/>
  <c r="R869" i="1" s="1"/>
  <c r="K869" i="1"/>
  <c r="I869" i="1"/>
  <c r="Q868" i="1"/>
  <c r="P868" i="1"/>
  <c r="K868" i="1"/>
  <c r="I868" i="1"/>
  <c r="S867" i="1"/>
  <c r="Q867" i="1"/>
  <c r="P867" i="1"/>
  <c r="K867" i="1"/>
  <c r="I867" i="1"/>
  <c r="Q866" i="1"/>
  <c r="P866" i="1"/>
  <c r="K866" i="1"/>
  <c r="I866" i="1"/>
  <c r="S865" i="1"/>
  <c r="Q865" i="1"/>
  <c r="P865" i="1"/>
  <c r="K865" i="1"/>
  <c r="I865" i="1"/>
  <c r="Q864" i="1"/>
  <c r="P864" i="1"/>
  <c r="K864" i="1"/>
  <c r="I864" i="1"/>
  <c r="S863" i="1"/>
  <c r="Q863" i="1"/>
  <c r="P863" i="1"/>
  <c r="K863" i="1"/>
  <c r="I863" i="1"/>
  <c r="Q862" i="1"/>
  <c r="P862" i="1"/>
  <c r="K862" i="1"/>
  <c r="I862" i="1"/>
  <c r="S862" i="1" s="1"/>
  <c r="S861" i="1"/>
  <c r="Q861" i="1"/>
  <c r="P861" i="1"/>
  <c r="O861" i="1"/>
  <c r="R861" i="1" s="1"/>
  <c r="K861" i="1"/>
  <c r="I861" i="1"/>
  <c r="S860" i="1"/>
  <c r="Q860" i="1"/>
  <c r="P860" i="1"/>
  <c r="O860" i="1"/>
  <c r="R860" i="1" s="1"/>
  <c r="K860" i="1"/>
  <c r="I860" i="1"/>
  <c r="S859" i="1"/>
  <c r="Q859" i="1"/>
  <c r="P859" i="1"/>
  <c r="O859" i="1"/>
  <c r="R859" i="1" s="1"/>
  <c r="K859" i="1"/>
  <c r="I859" i="1"/>
  <c r="Q858" i="1"/>
  <c r="P858" i="1"/>
  <c r="K858" i="1"/>
  <c r="I858" i="1"/>
  <c r="S857" i="1"/>
  <c r="Q857" i="1"/>
  <c r="P857" i="1"/>
  <c r="O857" i="1"/>
  <c r="R857" i="1" s="1"/>
  <c r="K857" i="1"/>
  <c r="I857" i="1"/>
  <c r="Q856" i="1"/>
  <c r="P856" i="1"/>
  <c r="K856" i="1"/>
  <c r="I856" i="1"/>
  <c r="S855" i="1"/>
  <c r="Q855" i="1"/>
  <c r="P855" i="1"/>
  <c r="O855" i="1"/>
  <c r="R855" i="1" s="1"/>
  <c r="K855" i="1"/>
  <c r="I855" i="1"/>
  <c r="S854" i="1"/>
  <c r="Q854" i="1"/>
  <c r="P854" i="1"/>
  <c r="K854" i="1"/>
  <c r="I854" i="1"/>
  <c r="O854" i="1" s="1"/>
  <c r="R854" i="1" s="1"/>
  <c r="S853" i="1"/>
  <c r="Q853" i="1"/>
  <c r="P853" i="1"/>
  <c r="O853" i="1"/>
  <c r="R853" i="1" s="1"/>
  <c r="K853" i="1"/>
  <c r="I853" i="1"/>
  <c r="S852" i="1"/>
  <c r="Q852" i="1"/>
  <c r="P852" i="1"/>
  <c r="K852" i="1"/>
  <c r="I852" i="1"/>
  <c r="O852" i="1" s="1"/>
  <c r="R852" i="1" s="1"/>
  <c r="S851" i="1"/>
  <c r="Q851" i="1"/>
  <c r="P851" i="1"/>
  <c r="K851" i="1"/>
  <c r="I851" i="1"/>
  <c r="S850" i="1"/>
  <c r="Q850" i="1"/>
  <c r="P850" i="1"/>
  <c r="K850" i="1"/>
  <c r="I850" i="1"/>
  <c r="S849" i="1"/>
  <c r="Q849" i="1"/>
  <c r="P849" i="1"/>
  <c r="K849" i="1"/>
  <c r="I849" i="1"/>
  <c r="S848" i="1"/>
  <c r="Q848" i="1"/>
  <c r="P848" i="1"/>
  <c r="K848" i="1"/>
  <c r="I848" i="1"/>
  <c r="S847" i="1"/>
  <c r="Q847" i="1"/>
  <c r="P847" i="1"/>
  <c r="K847" i="1"/>
  <c r="I847" i="1"/>
  <c r="Q846" i="1"/>
  <c r="P846" i="1"/>
  <c r="K846" i="1"/>
  <c r="I846" i="1"/>
  <c r="S845" i="1"/>
  <c r="Q845" i="1"/>
  <c r="P845" i="1"/>
  <c r="O845" i="1"/>
  <c r="R845" i="1" s="1"/>
  <c r="K845" i="1"/>
  <c r="I845" i="1"/>
  <c r="Q844" i="1"/>
  <c r="P844" i="1"/>
  <c r="K844" i="1"/>
  <c r="I844" i="1"/>
  <c r="S843" i="1"/>
  <c r="Q843" i="1"/>
  <c r="P843" i="1"/>
  <c r="O843" i="1"/>
  <c r="R843" i="1" s="1"/>
  <c r="K843" i="1"/>
  <c r="I843" i="1"/>
  <c r="Q842" i="1"/>
  <c r="P842" i="1"/>
  <c r="K842" i="1"/>
  <c r="I842" i="1"/>
  <c r="S842" i="1" s="1"/>
  <c r="S841" i="1"/>
  <c r="Q841" i="1"/>
  <c r="P841" i="1"/>
  <c r="O841" i="1"/>
  <c r="R841" i="1" s="1"/>
  <c r="K841" i="1"/>
  <c r="I841" i="1"/>
  <c r="Q840" i="1"/>
  <c r="P840" i="1"/>
  <c r="O840" i="1"/>
  <c r="R840" i="1" s="1"/>
  <c r="K840" i="1"/>
  <c r="I840" i="1"/>
  <c r="S840" i="1" s="1"/>
  <c r="S839" i="1"/>
  <c r="R839" i="1"/>
  <c r="Q839" i="1"/>
  <c r="P839" i="1"/>
  <c r="O839" i="1"/>
  <c r="K839" i="1"/>
  <c r="I839" i="1"/>
  <c r="Q838" i="1"/>
  <c r="P838" i="1"/>
  <c r="K838" i="1"/>
  <c r="I838" i="1"/>
  <c r="S838" i="1" s="1"/>
  <c r="S837" i="1"/>
  <c r="Q837" i="1"/>
  <c r="P837" i="1"/>
  <c r="O837" i="1"/>
  <c r="R837" i="1" s="1"/>
  <c r="K837" i="1"/>
  <c r="I837" i="1"/>
  <c r="Q836" i="1"/>
  <c r="P836" i="1"/>
  <c r="K836" i="1"/>
  <c r="I836" i="1"/>
  <c r="S835" i="1"/>
  <c r="Q835" i="1"/>
  <c r="P835" i="1"/>
  <c r="K835" i="1"/>
  <c r="I835" i="1"/>
  <c r="Q834" i="1"/>
  <c r="P834" i="1"/>
  <c r="K834" i="1"/>
  <c r="I834" i="1"/>
  <c r="S833" i="1"/>
  <c r="Q833" i="1"/>
  <c r="P833" i="1"/>
  <c r="K833" i="1"/>
  <c r="I833" i="1"/>
  <c r="Q832" i="1"/>
  <c r="P832" i="1"/>
  <c r="K832" i="1"/>
  <c r="I832" i="1"/>
  <c r="S832" i="1" s="1"/>
  <c r="S831" i="1"/>
  <c r="Q831" i="1"/>
  <c r="P831" i="1"/>
  <c r="K831" i="1"/>
  <c r="I831" i="1"/>
  <c r="Q830" i="1"/>
  <c r="P830" i="1"/>
  <c r="K830" i="1"/>
  <c r="I830" i="1"/>
  <c r="S829" i="1"/>
  <c r="Q829" i="1"/>
  <c r="P829" i="1"/>
  <c r="O829" i="1"/>
  <c r="R829" i="1" s="1"/>
  <c r="K829" i="1"/>
  <c r="I829" i="1"/>
  <c r="Q828" i="1"/>
  <c r="P828" i="1"/>
  <c r="K828" i="1"/>
  <c r="I828" i="1"/>
  <c r="S827" i="1"/>
  <c r="R827" i="1"/>
  <c r="Q827" i="1"/>
  <c r="P827" i="1"/>
  <c r="K827" i="1"/>
  <c r="I827" i="1"/>
  <c r="Q826" i="1"/>
  <c r="P826" i="1"/>
  <c r="K826" i="1"/>
  <c r="I826" i="1"/>
  <c r="S826" i="1" s="1"/>
  <c r="S825" i="1"/>
  <c r="Q825" i="1"/>
  <c r="P825" i="1"/>
  <c r="O825" i="1"/>
  <c r="R825" i="1" s="1"/>
  <c r="K825" i="1"/>
  <c r="I825" i="1"/>
  <c r="Q824" i="1"/>
  <c r="P824" i="1"/>
  <c r="K824" i="1"/>
  <c r="I824" i="1"/>
  <c r="S824" i="1" s="1"/>
  <c r="S823" i="1"/>
  <c r="Q823" i="1"/>
  <c r="P823" i="1"/>
  <c r="O823" i="1"/>
  <c r="R823" i="1" s="1"/>
  <c r="K823" i="1"/>
  <c r="I823" i="1"/>
  <c r="Q822" i="1"/>
  <c r="P822" i="1"/>
  <c r="O822" i="1"/>
  <c r="R822" i="1" s="1"/>
  <c r="K822" i="1"/>
  <c r="I822" i="1"/>
  <c r="S822" i="1" s="1"/>
  <c r="S821" i="1"/>
  <c r="Q821" i="1"/>
  <c r="P821" i="1"/>
  <c r="O821" i="1"/>
  <c r="R821" i="1" s="1"/>
  <c r="K821" i="1"/>
  <c r="I821" i="1"/>
  <c r="Q820" i="1"/>
  <c r="P820" i="1"/>
  <c r="O820" i="1"/>
  <c r="R820" i="1" s="1"/>
  <c r="K820" i="1"/>
  <c r="I820" i="1"/>
  <c r="S820" i="1" s="1"/>
  <c r="S819" i="1"/>
  <c r="Q819" i="1"/>
  <c r="P819" i="1"/>
  <c r="K819" i="1"/>
  <c r="I819" i="1"/>
  <c r="Q818" i="1"/>
  <c r="P818" i="1"/>
  <c r="K818" i="1"/>
  <c r="I818" i="1"/>
  <c r="S817" i="1"/>
  <c r="Q817" i="1"/>
  <c r="P817" i="1"/>
  <c r="K817" i="1"/>
  <c r="I817" i="1"/>
  <c r="Q816" i="1"/>
  <c r="P816" i="1"/>
  <c r="K816" i="1"/>
  <c r="I816" i="1"/>
  <c r="S815" i="1"/>
  <c r="Q815" i="1"/>
  <c r="P815" i="1"/>
  <c r="K815" i="1"/>
  <c r="I815" i="1"/>
  <c r="Q814" i="1"/>
  <c r="P814" i="1"/>
  <c r="K814" i="1"/>
  <c r="I814" i="1"/>
  <c r="S814" i="1" s="1"/>
  <c r="S813" i="1"/>
  <c r="Q813" i="1"/>
  <c r="P813" i="1"/>
  <c r="O813" i="1"/>
  <c r="R813" i="1" s="1"/>
  <c r="K813" i="1"/>
  <c r="I813" i="1"/>
  <c r="Q812" i="1"/>
  <c r="P812" i="1"/>
  <c r="K812" i="1"/>
  <c r="I812" i="1"/>
  <c r="S811" i="1"/>
  <c r="Q811" i="1"/>
  <c r="P811" i="1"/>
  <c r="K811" i="1"/>
  <c r="I811" i="1"/>
  <c r="Q810" i="1"/>
  <c r="P810" i="1"/>
  <c r="K810" i="1"/>
  <c r="I810" i="1"/>
  <c r="S810" i="1" s="1"/>
  <c r="S809" i="1"/>
  <c r="Q809" i="1"/>
  <c r="P809" i="1"/>
  <c r="K809" i="1"/>
  <c r="I809" i="1"/>
  <c r="Q808" i="1"/>
  <c r="P808" i="1"/>
  <c r="K808" i="1"/>
  <c r="I808" i="1"/>
  <c r="S808" i="1" s="1"/>
  <c r="S807" i="1"/>
  <c r="Q807" i="1"/>
  <c r="P807" i="1"/>
  <c r="O807" i="1"/>
  <c r="R807" i="1" s="1"/>
  <c r="K807" i="1"/>
  <c r="I807" i="1"/>
  <c r="Q806" i="1"/>
  <c r="P806" i="1"/>
  <c r="K806" i="1"/>
  <c r="I806" i="1"/>
  <c r="S806" i="1" s="1"/>
  <c r="S805" i="1"/>
  <c r="Q805" i="1"/>
  <c r="P805" i="1"/>
  <c r="O805" i="1"/>
  <c r="R805" i="1" s="1"/>
  <c r="K805" i="1"/>
  <c r="I805" i="1"/>
  <c r="Q804" i="1"/>
  <c r="P804" i="1"/>
  <c r="K804" i="1"/>
  <c r="I804" i="1"/>
  <c r="S803" i="1"/>
  <c r="Q803" i="1"/>
  <c r="P803" i="1"/>
  <c r="K803" i="1"/>
  <c r="I803" i="1"/>
  <c r="Q802" i="1"/>
  <c r="P802" i="1"/>
  <c r="K802" i="1"/>
  <c r="I802" i="1"/>
  <c r="S802" i="1" s="1"/>
  <c r="S801" i="1"/>
  <c r="Q801" i="1"/>
  <c r="P801" i="1"/>
  <c r="K801" i="1"/>
  <c r="I801" i="1"/>
  <c r="Q800" i="1"/>
  <c r="P800" i="1"/>
  <c r="K800" i="1"/>
  <c r="I800" i="1"/>
  <c r="S800" i="1" s="1"/>
  <c r="S799" i="1"/>
  <c r="Q799" i="1"/>
  <c r="P799" i="1"/>
  <c r="K799" i="1"/>
  <c r="I799" i="1"/>
  <c r="Q798" i="1"/>
  <c r="P798" i="1"/>
  <c r="K798" i="1"/>
  <c r="I798" i="1"/>
  <c r="S797" i="1"/>
  <c r="R797" i="1"/>
  <c r="Q797" i="1"/>
  <c r="P797" i="1"/>
  <c r="O797" i="1"/>
  <c r="K797" i="1"/>
  <c r="I797" i="1"/>
  <c r="Q796" i="1"/>
  <c r="P796" i="1"/>
  <c r="K796" i="1"/>
  <c r="I796" i="1"/>
  <c r="S795" i="1"/>
  <c r="Q795" i="1"/>
  <c r="P795" i="1"/>
  <c r="O795" i="1"/>
  <c r="R795" i="1" s="1"/>
  <c r="K795" i="1"/>
  <c r="I795" i="1"/>
  <c r="Q794" i="1"/>
  <c r="P794" i="1"/>
  <c r="K794" i="1"/>
  <c r="I794" i="1"/>
  <c r="S794" i="1" s="1"/>
  <c r="S793" i="1"/>
  <c r="Q793" i="1"/>
  <c r="P793" i="1"/>
  <c r="K793" i="1"/>
  <c r="I793" i="1"/>
  <c r="Q792" i="1"/>
  <c r="P792" i="1"/>
  <c r="K792" i="1"/>
  <c r="I792" i="1"/>
  <c r="S792" i="1" s="1"/>
  <c r="S791" i="1"/>
  <c r="Q791" i="1"/>
  <c r="P791" i="1"/>
  <c r="O791" i="1"/>
  <c r="R791" i="1" s="1"/>
  <c r="K791" i="1"/>
  <c r="I791" i="1"/>
  <c r="Q790" i="1"/>
  <c r="P790" i="1"/>
  <c r="O790" i="1"/>
  <c r="R790" i="1" s="1"/>
  <c r="K790" i="1"/>
  <c r="I790" i="1"/>
  <c r="S790" i="1" s="1"/>
  <c r="S789" i="1"/>
  <c r="Q789" i="1"/>
  <c r="P789" i="1"/>
  <c r="O789" i="1"/>
  <c r="R789" i="1" s="1"/>
  <c r="K789" i="1"/>
  <c r="I789" i="1"/>
  <c r="Q788" i="1"/>
  <c r="P788" i="1"/>
  <c r="O788" i="1"/>
  <c r="R788" i="1" s="1"/>
  <c r="K788" i="1"/>
  <c r="I788" i="1"/>
  <c r="S788" i="1" s="1"/>
  <c r="S787" i="1"/>
  <c r="Q787" i="1"/>
  <c r="P787" i="1"/>
  <c r="K787" i="1"/>
  <c r="I787" i="1"/>
  <c r="Q786" i="1"/>
  <c r="P786" i="1"/>
  <c r="K786" i="1"/>
  <c r="I786" i="1"/>
  <c r="S786" i="1" s="1"/>
  <c r="S785" i="1"/>
  <c r="Q785" i="1"/>
  <c r="P785" i="1"/>
  <c r="K785" i="1"/>
  <c r="I785" i="1"/>
  <c r="Q784" i="1"/>
  <c r="P784" i="1"/>
  <c r="K784" i="1"/>
  <c r="I784" i="1"/>
  <c r="S784" i="1" s="1"/>
  <c r="S783" i="1"/>
  <c r="Q783" i="1"/>
  <c r="P783" i="1"/>
  <c r="K783" i="1"/>
  <c r="I783" i="1"/>
  <c r="Q782" i="1"/>
  <c r="P782" i="1"/>
  <c r="K782" i="1"/>
  <c r="I782" i="1"/>
  <c r="Q781" i="1"/>
  <c r="P781" i="1"/>
  <c r="K781" i="1"/>
  <c r="I781" i="1"/>
  <c r="Q780" i="1"/>
  <c r="P780" i="1"/>
  <c r="O780" i="1"/>
  <c r="R780" i="1" s="1"/>
  <c r="K780" i="1"/>
  <c r="I780" i="1"/>
  <c r="S780" i="1" s="1"/>
  <c r="Q779" i="1"/>
  <c r="P779" i="1"/>
  <c r="K779" i="1"/>
  <c r="I779" i="1"/>
  <c r="S779" i="1" s="1"/>
  <c r="S778" i="1"/>
  <c r="Q778" i="1"/>
  <c r="P778" i="1"/>
  <c r="O778" i="1"/>
  <c r="R778" i="1" s="1"/>
  <c r="K778" i="1"/>
  <c r="I778" i="1"/>
  <c r="Q777" i="1"/>
  <c r="P777" i="1"/>
  <c r="K777" i="1"/>
  <c r="I777" i="1"/>
  <c r="S777" i="1" s="1"/>
  <c r="Q776" i="1"/>
  <c r="P776" i="1"/>
  <c r="K776" i="1"/>
  <c r="I776" i="1"/>
  <c r="S776" i="1" s="1"/>
  <c r="Q775" i="1"/>
  <c r="P775" i="1"/>
  <c r="O775" i="1"/>
  <c r="R775" i="1" s="1"/>
  <c r="K775" i="1"/>
  <c r="I775" i="1"/>
  <c r="S775" i="1" s="1"/>
  <c r="Q774" i="1"/>
  <c r="P774" i="1"/>
  <c r="K774" i="1"/>
  <c r="I774" i="1"/>
  <c r="S774" i="1" s="1"/>
  <c r="Q773" i="1"/>
  <c r="P773" i="1"/>
  <c r="O773" i="1"/>
  <c r="R773" i="1" s="1"/>
  <c r="K773" i="1"/>
  <c r="I773" i="1"/>
  <c r="S773" i="1" s="1"/>
  <c r="Q772" i="1"/>
  <c r="P772" i="1"/>
  <c r="K772" i="1"/>
  <c r="I772" i="1"/>
  <c r="Q771" i="1"/>
  <c r="P771" i="1"/>
  <c r="K771" i="1"/>
  <c r="I771" i="1"/>
  <c r="S771" i="1" s="1"/>
  <c r="Q770" i="1"/>
  <c r="P770" i="1"/>
  <c r="K770" i="1"/>
  <c r="I770" i="1"/>
  <c r="Q769" i="1"/>
  <c r="P769" i="1"/>
  <c r="K769" i="1"/>
  <c r="I769" i="1"/>
  <c r="S769" i="1" s="1"/>
  <c r="S768" i="1"/>
  <c r="Q768" i="1"/>
  <c r="P768" i="1"/>
  <c r="K768" i="1"/>
  <c r="I768" i="1"/>
  <c r="Q767" i="1"/>
  <c r="P767" i="1"/>
  <c r="K767" i="1"/>
  <c r="I767" i="1"/>
  <c r="S767" i="1" s="1"/>
  <c r="S766" i="1"/>
  <c r="Q766" i="1"/>
  <c r="P766" i="1"/>
  <c r="K766" i="1"/>
  <c r="I766" i="1"/>
  <c r="O766" i="1" s="1"/>
  <c r="R766" i="1" s="1"/>
  <c r="Q765" i="1"/>
  <c r="P765" i="1"/>
  <c r="K765" i="1"/>
  <c r="I765" i="1"/>
  <c r="S764" i="1"/>
  <c r="Q764" i="1"/>
  <c r="P764" i="1"/>
  <c r="K764" i="1"/>
  <c r="I764" i="1"/>
  <c r="Q763" i="1"/>
  <c r="P763" i="1"/>
  <c r="K763" i="1"/>
  <c r="I763" i="1"/>
  <c r="S762" i="1"/>
  <c r="Q762" i="1"/>
  <c r="P762" i="1"/>
  <c r="K762" i="1"/>
  <c r="I762" i="1"/>
  <c r="O762" i="1" s="1"/>
  <c r="R762" i="1" s="1"/>
  <c r="Q761" i="1"/>
  <c r="P761" i="1"/>
  <c r="K761" i="1"/>
  <c r="I761" i="1"/>
  <c r="S761" i="1" s="1"/>
  <c r="S760" i="1"/>
  <c r="Q760" i="1"/>
  <c r="P760" i="1"/>
  <c r="K760" i="1"/>
  <c r="I760" i="1"/>
  <c r="O760" i="1" s="1"/>
  <c r="R760" i="1" s="1"/>
  <c r="Q759" i="1"/>
  <c r="P759" i="1"/>
  <c r="K759" i="1"/>
  <c r="I759" i="1"/>
  <c r="S759" i="1" s="1"/>
  <c r="S758" i="1"/>
  <c r="Q758" i="1"/>
  <c r="P758" i="1"/>
  <c r="O758" i="1"/>
  <c r="R758" i="1" s="1"/>
  <c r="K758" i="1"/>
  <c r="I758" i="1"/>
  <c r="Q757" i="1"/>
  <c r="P757" i="1"/>
  <c r="K757" i="1"/>
  <c r="I757" i="1"/>
  <c r="S756" i="1"/>
  <c r="Q756" i="1"/>
  <c r="P756" i="1"/>
  <c r="O756" i="1"/>
  <c r="R756" i="1" s="1"/>
  <c r="K756" i="1"/>
  <c r="I756" i="1"/>
  <c r="Q755" i="1"/>
  <c r="P755" i="1"/>
  <c r="K755" i="1"/>
  <c r="I755" i="1"/>
  <c r="S755" i="1" s="1"/>
  <c r="S754" i="1"/>
  <c r="Q754" i="1"/>
  <c r="P754" i="1"/>
  <c r="K754" i="1"/>
  <c r="I754" i="1"/>
  <c r="Q753" i="1"/>
  <c r="P753" i="1"/>
  <c r="O753" i="1"/>
  <c r="R753" i="1" s="1"/>
  <c r="K753" i="1"/>
  <c r="I753" i="1"/>
  <c r="S753" i="1" s="1"/>
  <c r="Q752" i="1"/>
  <c r="P752" i="1"/>
  <c r="K752" i="1"/>
  <c r="I752" i="1"/>
  <c r="S752" i="1" s="1"/>
  <c r="Q751" i="1"/>
  <c r="P751" i="1"/>
  <c r="K751" i="1"/>
  <c r="I751" i="1"/>
  <c r="Q750" i="1"/>
  <c r="P750" i="1"/>
  <c r="K750" i="1"/>
  <c r="I750" i="1"/>
  <c r="S750" i="1" s="1"/>
  <c r="Q749" i="1"/>
  <c r="P749" i="1"/>
  <c r="O749" i="1"/>
  <c r="R749" i="1" s="1"/>
  <c r="K749" i="1"/>
  <c r="I749" i="1"/>
  <c r="S749" i="1" s="1"/>
  <c r="Q748" i="1"/>
  <c r="P748" i="1"/>
  <c r="K748" i="1"/>
  <c r="I748" i="1"/>
  <c r="S748" i="1" s="1"/>
  <c r="Q747" i="1"/>
  <c r="P747" i="1"/>
  <c r="K747" i="1"/>
  <c r="I747" i="1"/>
  <c r="S747" i="1" s="1"/>
  <c r="S746" i="1"/>
  <c r="Q746" i="1"/>
  <c r="P746" i="1"/>
  <c r="O746" i="1"/>
  <c r="R746" i="1" s="1"/>
  <c r="K746" i="1"/>
  <c r="I746" i="1"/>
  <c r="Q745" i="1"/>
  <c r="P745" i="1"/>
  <c r="K745" i="1"/>
  <c r="I745" i="1"/>
  <c r="Q744" i="1"/>
  <c r="P744" i="1"/>
  <c r="K744" i="1"/>
  <c r="I744" i="1"/>
  <c r="S744" i="1" s="1"/>
  <c r="Q743" i="1"/>
  <c r="P743" i="1"/>
  <c r="O743" i="1"/>
  <c r="R743" i="1" s="1"/>
  <c r="K743" i="1"/>
  <c r="I743" i="1"/>
  <c r="S743" i="1" s="1"/>
  <c r="S742" i="1"/>
  <c r="Q742" i="1"/>
  <c r="P742" i="1"/>
  <c r="O742" i="1"/>
  <c r="R742" i="1" s="1"/>
  <c r="K742" i="1"/>
  <c r="I742" i="1"/>
  <c r="Q741" i="1"/>
  <c r="P741" i="1"/>
  <c r="O741" i="1"/>
  <c r="R741" i="1" s="1"/>
  <c r="K741" i="1"/>
  <c r="I741" i="1"/>
  <c r="S741" i="1" s="1"/>
  <c r="Q740" i="1"/>
  <c r="P740" i="1"/>
  <c r="K740" i="1"/>
  <c r="I740" i="1"/>
  <c r="S740" i="1" s="1"/>
  <c r="Q739" i="1"/>
  <c r="P739" i="1"/>
  <c r="O739" i="1"/>
  <c r="R739" i="1" s="1"/>
  <c r="K739" i="1"/>
  <c r="I739" i="1"/>
  <c r="S739" i="1" s="1"/>
  <c r="Q738" i="1"/>
  <c r="P738" i="1"/>
  <c r="K738" i="1"/>
  <c r="I738" i="1"/>
  <c r="Q737" i="1"/>
  <c r="P737" i="1"/>
  <c r="K737" i="1"/>
  <c r="I737" i="1"/>
  <c r="S737" i="1" s="1"/>
  <c r="S736" i="1"/>
  <c r="Q736" i="1"/>
  <c r="P736" i="1"/>
  <c r="K736" i="1"/>
  <c r="I736" i="1"/>
  <c r="O736" i="1" s="1"/>
  <c r="R736" i="1" s="1"/>
  <c r="Q735" i="1"/>
  <c r="P735" i="1"/>
  <c r="K735" i="1"/>
  <c r="I735" i="1"/>
  <c r="S735" i="1" s="1"/>
  <c r="Q734" i="1"/>
  <c r="P734" i="1"/>
  <c r="K734" i="1"/>
  <c r="I734" i="1"/>
  <c r="Q733" i="1"/>
  <c r="P733" i="1"/>
  <c r="K733" i="1"/>
  <c r="I733" i="1"/>
  <c r="Q732" i="1"/>
  <c r="P732" i="1"/>
  <c r="K732" i="1"/>
  <c r="I732" i="1"/>
  <c r="Q731" i="1"/>
  <c r="P731" i="1"/>
  <c r="K731" i="1"/>
  <c r="I731" i="1"/>
  <c r="S731" i="1" s="1"/>
  <c r="S730" i="1"/>
  <c r="Q730" i="1"/>
  <c r="P730" i="1"/>
  <c r="K730" i="1"/>
  <c r="I730" i="1"/>
  <c r="O730" i="1" s="1"/>
  <c r="R730" i="1" s="1"/>
  <c r="Q729" i="1"/>
  <c r="P729" i="1"/>
  <c r="O729" i="1"/>
  <c r="R729" i="1" s="1"/>
  <c r="K729" i="1"/>
  <c r="I729" i="1"/>
  <c r="S729" i="1" s="1"/>
  <c r="S728" i="1"/>
  <c r="Q728" i="1"/>
  <c r="P728" i="1"/>
  <c r="O728" i="1"/>
  <c r="R728" i="1" s="1"/>
  <c r="K728" i="1"/>
  <c r="I728" i="1"/>
  <c r="Q727" i="1"/>
  <c r="P727" i="1"/>
  <c r="O727" i="1"/>
  <c r="R727" i="1" s="1"/>
  <c r="K727" i="1"/>
  <c r="I727" i="1"/>
  <c r="S727" i="1" s="1"/>
  <c r="S726" i="1"/>
  <c r="Q726" i="1"/>
  <c r="P726" i="1"/>
  <c r="O726" i="1"/>
  <c r="R726" i="1" s="1"/>
  <c r="K726" i="1"/>
  <c r="I726" i="1"/>
  <c r="Q725" i="1"/>
  <c r="P725" i="1"/>
  <c r="K725" i="1"/>
  <c r="I725" i="1"/>
  <c r="S724" i="1"/>
  <c r="Q724" i="1"/>
  <c r="P724" i="1"/>
  <c r="O724" i="1"/>
  <c r="R724" i="1" s="1"/>
  <c r="K724" i="1"/>
  <c r="I724" i="1"/>
  <c r="S723" i="1"/>
  <c r="Q723" i="1"/>
  <c r="P723" i="1"/>
  <c r="K723" i="1"/>
  <c r="I723" i="1"/>
  <c r="S722" i="1"/>
  <c r="Q722" i="1"/>
  <c r="P722" i="1"/>
  <c r="K722" i="1"/>
  <c r="I722" i="1"/>
  <c r="S721" i="1"/>
  <c r="Q721" i="1"/>
  <c r="P721" i="1"/>
  <c r="K721" i="1"/>
  <c r="I721" i="1"/>
  <c r="S720" i="1"/>
  <c r="Q720" i="1"/>
  <c r="P720" i="1"/>
  <c r="K720" i="1"/>
  <c r="I720" i="1"/>
  <c r="S719" i="1"/>
  <c r="Q719" i="1"/>
  <c r="P719" i="1"/>
  <c r="K719" i="1"/>
  <c r="I719" i="1"/>
  <c r="S718" i="1"/>
  <c r="Q718" i="1"/>
  <c r="P718" i="1"/>
  <c r="K718" i="1"/>
  <c r="I718" i="1"/>
  <c r="S717" i="1"/>
  <c r="Q717" i="1"/>
  <c r="P717" i="1"/>
  <c r="O717" i="1"/>
  <c r="R717" i="1" s="1"/>
  <c r="K717" i="1"/>
  <c r="I717" i="1"/>
  <c r="S716" i="1"/>
  <c r="Q716" i="1"/>
  <c r="P716" i="1"/>
  <c r="K716" i="1"/>
  <c r="I716" i="1"/>
  <c r="S715" i="1"/>
  <c r="Q715" i="1"/>
  <c r="P715" i="1"/>
  <c r="K715" i="1"/>
  <c r="I715" i="1"/>
  <c r="S714" i="1"/>
  <c r="Q714" i="1"/>
  <c r="P714" i="1"/>
  <c r="O714" i="1"/>
  <c r="R714" i="1" s="1"/>
  <c r="K714" i="1"/>
  <c r="I714" i="1"/>
  <c r="Q713" i="1"/>
  <c r="P713" i="1"/>
  <c r="K713" i="1"/>
  <c r="I713" i="1"/>
  <c r="S712" i="1"/>
  <c r="Q712" i="1"/>
  <c r="P712" i="1"/>
  <c r="K712" i="1"/>
  <c r="I712" i="1"/>
  <c r="S711" i="1"/>
  <c r="Q711" i="1"/>
  <c r="P711" i="1"/>
  <c r="K711" i="1"/>
  <c r="I711" i="1"/>
  <c r="O711" i="1" s="1"/>
  <c r="R711" i="1" s="1"/>
  <c r="S710" i="1"/>
  <c r="Q710" i="1"/>
  <c r="P710" i="1"/>
  <c r="O710" i="1"/>
  <c r="R710" i="1" s="1"/>
  <c r="K710" i="1"/>
  <c r="I710" i="1"/>
  <c r="S709" i="1"/>
  <c r="Q709" i="1"/>
  <c r="P709" i="1"/>
  <c r="K709" i="1"/>
  <c r="I709" i="1"/>
  <c r="O709" i="1" s="1"/>
  <c r="R709" i="1" s="1"/>
  <c r="S708" i="1"/>
  <c r="Q708" i="1"/>
  <c r="P708" i="1"/>
  <c r="O708" i="1"/>
  <c r="R708" i="1" s="1"/>
  <c r="K708" i="1"/>
  <c r="I708" i="1"/>
  <c r="Q707" i="1"/>
  <c r="P707" i="1"/>
  <c r="K707" i="1"/>
  <c r="I707" i="1"/>
  <c r="S707" i="1" s="1"/>
  <c r="S706" i="1"/>
  <c r="Q706" i="1"/>
  <c r="P706" i="1"/>
  <c r="K706" i="1"/>
  <c r="I706" i="1"/>
  <c r="S705" i="1"/>
  <c r="Q705" i="1"/>
  <c r="P705" i="1"/>
  <c r="K705" i="1"/>
  <c r="I705" i="1"/>
  <c r="S704" i="1"/>
  <c r="Q704" i="1"/>
  <c r="P704" i="1"/>
  <c r="K704" i="1"/>
  <c r="I704" i="1"/>
  <c r="S703" i="1"/>
  <c r="Q703" i="1"/>
  <c r="P703" i="1"/>
  <c r="K703" i="1"/>
  <c r="I703" i="1"/>
  <c r="S702" i="1"/>
  <c r="R702" i="1"/>
  <c r="Q702" i="1"/>
  <c r="P702" i="1"/>
  <c r="K702" i="1"/>
  <c r="I702" i="1"/>
  <c r="Q701" i="1"/>
  <c r="P701" i="1"/>
  <c r="O701" i="1"/>
  <c r="R701" i="1" s="1"/>
  <c r="K701" i="1"/>
  <c r="I701" i="1"/>
  <c r="S701" i="1" s="1"/>
  <c r="S700" i="1"/>
  <c r="Q700" i="1"/>
  <c r="P700" i="1"/>
  <c r="O700" i="1"/>
  <c r="R700" i="1" s="1"/>
  <c r="K700" i="1"/>
  <c r="I700" i="1"/>
  <c r="Q699" i="1"/>
  <c r="P699" i="1"/>
  <c r="K699" i="1"/>
  <c r="I699" i="1"/>
  <c r="S698" i="1"/>
  <c r="Q698" i="1"/>
  <c r="P698" i="1"/>
  <c r="O698" i="1"/>
  <c r="R698" i="1" s="1"/>
  <c r="K698" i="1"/>
  <c r="I698" i="1"/>
  <c r="Q697" i="1"/>
  <c r="P697" i="1"/>
  <c r="K697" i="1"/>
  <c r="I697" i="1"/>
  <c r="S697" i="1" s="1"/>
  <c r="S696" i="1"/>
  <c r="Q696" i="1"/>
  <c r="P696" i="1"/>
  <c r="K696" i="1"/>
  <c r="I696" i="1"/>
  <c r="Q695" i="1"/>
  <c r="P695" i="1"/>
  <c r="O695" i="1"/>
  <c r="R695" i="1" s="1"/>
  <c r="K695" i="1"/>
  <c r="I695" i="1"/>
  <c r="S695" i="1" s="1"/>
  <c r="S694" i="1"/>
  <c r="Q694" i="1"/>
  <c r="P694" i="1"/>
  <c r="O694" i="1"/>
  <c r="R694" i="1" s="1"/>
  <c r="K694" i="1"/>
  <c r="I694" i="1"/>
  <c r="S693" i="1"/>
  <c r="Q693" i="1"/>
  <c r="P693" i="1"/>
  <c r="K693" i="1"/>
  <c r="I693" i="1"/>
  <c r="O693" i="1" s="1"/>
  <c r="R693" i="1" s="1"/>
  <c r="S692" i="1"/>
  <c r="Q692" i="1"/>
  <c r="P692" i="1"/>
  <c r="O692" i="1"/>
  <c r="R692" i="1" s="1"/>
  <c r="K692" i="1"/>
  <c r="I692" i="1"/>
  <c r="Q691" i="1"/>
  <c r="P691" i="1"/>
  <c r="K691" i="1"/>
  <c r="I691" i="1"/>
  <c r="S690" i="1"/>
  <c r="Q690" i="1"/>
  <c r="P690" i="1"/>
  <c r="K690" i="1"/>
  <c r="I690" i="1"/>
  <c r="S689" i="1"/>
  <c r="Q689" i="1"/>
  <c r="P689" i="1"/>
  <c r="K689" i="1"/>
  <c r="I689" i="1"/>
  <c r="S688" i="1"/>
  <c r="Q688" i="1"/>
  <c r="P688" i="1"/>
  <c r="K688" i="1"/>
  <c r="I688" i="1"/>
  <c r="S687" i="1"/>
  <c r="Q687" i="1"/>
  <c r="P687" i="1"/>
  <c r="K687" i="1"/>
  <c r="I687" i="1"/>
  <c r="S686" i="1"/>
  <c r="Q686" i="1"/>
  <c r="P686" i="1"/>
  <c r="K686" i="1"/>
  <c r="I686" i="1"/>
  <c r="S685" i="1"/>
  <c r="Q685" i="1"/>
  <c r="P685" i="1"/>
  <c r="O685" i="1"/>
  <c r="R685" i="1" s="1"/>
  <c r="K685" i="1"/>
  <c r="I685" i="1"/>
  <c r="Q684" i="1"/>
  <c r="P684" i="1"/>
  <c r="K684" i="1"/>
  <c r="I684" i="1"/>
  <c r="S683" i="1"/>
  <c r="Q683" i="1"/>
  <c r="P683" i="1"/>
  <c r="K683" i="1"/>
  <c r="I683" i="1"/>
  <c r="Q682" i="1"/>
  <c r="P682" i="1"/>
  <c r="K682" i="1"/>
  <c r="I682" i="1"/>
  <c r="Q681" i="1"/>
  <c r="P681" i="1"/>
  <c r="K681" i="1"/>
  <c r="I681" i="1"/>
  <c r="Q680" i="1"/>
  <c r="P680" i="1"/>
  <c r="K680" i="1"/>
  <c r="I680" i="1"/>
  <c r="S680" i="1" s="1"/>
  <c r="Q679" i="1"/>
  <c r="P679" i="1"/>
  <c r="O679" i="1"/>
  <c r="R679" i="1" s="1"/>
  <c r="K679" i="1"/>
  <c r="I679" i="1"/>
  <c r="S679" i="1" s="1"/>
  <c r="S678" i="1"/>
  <c r="Q678" i="1"/>
  <c r="P678" i="1"/>
  <c r="O678" i="1"/>
  <c r="R678" i="1" s="1"/>
  <c r="K678" i="1"/>
  <c r="I678" i="1"/>
  <c r="Q677" i="1"/>
  <c r="P677" i="1"/>
  <c r="K677" i="1"/>
  <c r="I677" i="1"/>
  <c r="S677" i="1" s="1"/>
  <c r="S676" i="1"/>
  <c r="Q676" i="1"/>
  <c r="P676" i="1"/>
  <c r="O676" i="1"/>
  <c r="R676" i="1" s="1"/>
  <c r="K676" i="1"/>
  <c r="I676" i="1"/>
  <c r="Q675" i="1"/>
  <c r="P675" i="1"/>
  <c r="K675" i="1"/>
  <c r="I675" i="1"/>
  <c r="S674" i="1"/>
  <c r="Q674" i="1"/>
  <c r="P674" i="1"/>
  <c r="K674" i="1"/>
  <c r="I674" i="1"/>
  <c r="Q673" i="1"/>
  <c r="P673" i="1"/>
  <c r="K673" i="1"/>
  <c r="I673" i="1"/>
  <c r="S672" i="1"/>
  <c r="Q672" i="1"/>
  <c r="P672" i="1"/>
  <c r="K672" i="1"/>
  <c r="I672" i="1"/>
  <c r="S671" i="1"/>
  <c r="Q671" i="1"/>
  <c r="P671" i="1"/>
  <c r="K671" i="1"/>
  <c r="I671" i="1"/>
  <c r="S670" i="1"/>
  <c r="Q670" i="1"/>
  <c r="P670" i="1"/>
  <c r="K670" i="1"/>
  <c r="I670" i="1"/>
  <c r="S669" i="1"/>
  <c r="Q669" i="1"/>
  <c r="P669" i="1"/>
  <c r="O669" i="1"/>
  <c r="R669" i="1" s="1"/>
  <c r="K669" i="1"/>
  <c r="I669" i="1"/>
  <c r="S668" i="1"/>
  <c r="Q668" i="1"/>
  <c r="P668" i="1"/>
  <c r="K668" i="1"/>
  <c r="I668" i="1"/>
  <c r="S667" i="1"/>
  <c r="Q667" i="1"/>
  <c r="P667" i="1"/>
  <c r="K667" i="1"/>
  <c r="I667" i="1"/>
  <c r="S666" i="1"/>
  <c r="Q666" i="1"/>
  <c r="P666" i="1"/>
  <c r="O666" i="1"/>
  <c r="R666" i="1" s="1"/>
  <c r="K666" i="1"/>
  <c r="I666" i="1"/>
  <c r="Q665" i="1"/>
  <c r="P665" i="1"/>
  <c r="K665" i="1"/>
  <c r="I665" i="1"/>
  <c r="S665" i="1" s="1"/>
  <c r="S664" i="1"/>
  <c r="Q664" i="1"/>
  <c r="P664" i="1"/>
  <c r="O664" i="1"/>
  <c r="R664" i="1" s="1"/>
  <c r="K664" i="1"/>
  <c r="I664" i="1"/>
  <c r="Q663" i="1"/>
  <c r="P663" i="1"/>
  <c r="K663" i="1"/>
  <c r="I663" i="1"/>
  <c r="S663" i="1" s="1"/>
  <c r="S662" i="1"/>
  <c r="Q662" i="1"/>
  <c r="P662" i="1"/>
  <c r="O662" i="1"/>
  <c r="R662" i="1" s="1"/>
  <c r="K662" i="1"/>
  <c r="I662" i="1"/>
  <c r="Q661" i="1"/>
  <c r="P661" i="1"/>
  <c r="K661" i="1"/>
  <c r="I661" i="1"/>
  <c r="S660" i="1"/>
  <c r="Q660" i="1"/>
  <c r="P660" i="1"/>
  <c r="O660" i="1"/>
  <c r="R660" i="1" s="1"/>
  <c r="K660" i="1"/>
  <c r="I660" i="1"/>
  <c r="Q659" i="1"/>
  <c r="P659" i="1"/>
  <c r="K659" i="1"/>
  <c r="I659" i="1"/>
  <c r="S658" i="1"/>
  <c r="Q658" i="1"/>
  <c r="P658" i="1"/>
  <c r="K658" i="1"/>
  <c r="I658" i="1"/>
  <c r="S657" i="1"/>
  <c r="Q657" i="1"/>
  <c r="P657" i="1"/>
  <c r="K657" i="1"/>
  <c r="I657" i="1"/>
  <c r="O657" i="1" s="1"/>
  <c r="R657" i="1" s="1"/>
  <c r="S656" i="1"/>
  <c r="Q656" i="1"/>
  <c r="P656" i="1"/>
  <c r="K656" i="1"/>
  <c r="I656" i="1"/>
  <c r="S655" i="1"/>
  <c r="Q655" i="1"/>
  <c r="P655" i="1"/>
  <c r="K655" i="1"/>
  <c r="I655" i="1"/>
  <c r="S654" i="1"/>
  <c r="Q654" i="1"/>
  <c r="P654" i="1"/>
  <c r="O654" i="1"/>
  <c r="R654" i="1" s="1"/>
  <c r="K654" i="1"/>
  <c r="I654" i="1"/>
  <c r="S653" i="1"/>
  <c r="Q653" i="1"/>
  <c r="P653" i="1"/>
  <c r="O653" i="1"/>
  <c r="R653" i="1" s="1"/>
  <c r="K653" i="1"/>
  <c r="I653" i="1"/>
  <c r="S652" i="1"/>
  <c r="Q652" i="1"/>
  <c r="P652" i="1"/>
  <c r="K652" i="1"/>
  <c r="I652" i="1"/>
  <c r="Q651" i="1"/>
  <c r="P651" i="1"/>
  <c r="O651" i="1"/>
  <c r="R651" i="1" s="1"/>
  <c r="K651" i="1"/>
  <c r="I651" i="1"/>
  <c r="S651" i="1" s="1"/>
  <c r="S650" i="1"/>
  <c r="Q650" i="1"/>
  <c r="P650" i="1"/>
  <c r="O650" i="1"/>
  <c r="R650" i="1" s="1"/>
  <c r="K650" i="1"/>
  <c r="I650" i="1"/>
  <c r="Q649" i="1"/>
  <c r="P649" i="1"/>
  <c r="K649" i="1"/>
  <c r="I649" i="1"/>
  <c r="S649" i="1" s="1"/>
  <c r="S648" i="1"/>
  <c r="Q648" i="1"/>
  <c r="P648" i="1"/>
  <c r="O648" i="1"/>
  <c r="R648" i="1" s="1"/>
  <c r="K648" i="1"/>
  <c r="I648" i="1"/>
  <c r="Q647" i="1"/>
  <c r="P647" i="1"/>
  <c r="K647" i="1"/>
  <c r="I647" i="1"/>
  <c r="S647" i="1" s="1"/>
  <c r="S646" i="1"/>
  <c r="Q646" i="1"/>
  <c r="P646" i="1"/>
  <c r="O646" i="1"/>
  <c r="R646" i="1" s="1"/>
  <c r="K646" i="1"/>
  <c r="I646" i="1"/>
  <c r="Q645" i="1"/>
  <c r="P645" i="1"/>
  <c r="O645" i="1"/>
  <c r="R645" i="1" s="1"/>
  <c r="K645" i="1"/>
  <c r="I645" i="1"/>
  <c r="S645" i="1" s="1"/>
  <c r="S644" i="1"/>
  <c r="Q644" i="1"/>
  <c r="P644" i="1"/>
  <c r="O644" i="1"/>
  <c r="R644" i="1" s="1"/>
  <c r="K644" i="1"/>
  <c r="I644" i="1"/>
  <c r="Q643" i="1"/>
  <c r="P643" i="1"/>
  <c r="K643" i="1"/>
  <c r="I643" i="1"/>
  <c r="S642" i="1"/>
  <c r="Q642" i="1"/>
  <c r="P642" i="1"/>
  <c r="K642" i="1"/>
  <c r="I642" i="1"/>
  <c r="Q641" i="1"/>
  <c r="P641" i="1"/>
  <c r="K641" i="1"/>
  <c r="I641" i="1"/>
  <c r="S640" i="1"/>
  <c r="Q640" i="1"/>
  <c r="P640" i="1"/>
  <c r="K640" i="1"/>
  <c r="I640" i="1"/>
  <c r="S639" i="1"/>
  <c r="Q639" i="1"/>
  <c r="P639" i="1"/>
  <c r="K639" i="1"/>
  <c r="I639" i="1"/>
  <c r="S638" i="1"/>
  <c r="Q638" i="1"/>
  <c r="P638" i="1"/>
  <c r="K638" i="1"/>
  <c r="I638" i="1"/>
  <c r="S637" i="1"/>
  <c r="Q637" i="1"/>
  <c r="P637" i="1"/>
  <c r="O637" i="1"/>
  <c r="R637" i="1" s="1"/>
  <c r="K637" i="1"/>
  <c r="I637" i="1"/>
  <c r="S636" i="1"/>
  <c r="Q636" i="1"/>
  <c r="P636" i="1"/>
  <c r="K636" i="1"/>
  <c r="I636" i="1"/>
  <c r="Q635" i="1"/>
  <c r="P635" i="1"/>
  <c r="K635" i="1"/>
  <c r="I635" i="1"/>
  <c r="S635" i="1" s="1"/>
  <c r="S634" i="1"/>
  <c r="Q634" i="1"/>
  <c r="P634" i="1"/>
  <c r="O634" i="1"/>
  <c r="R634" i="1" s="1"/>
  <c r="K634" i="1"/>
  <c r="I634" i="1"/>
  <c r="Q633" i="1"/>
  <c r="P633" i="1"/>
  <c r="K633" i="1"/>
  <c r="I633" i="1"/>
  <c r="S633" i="1" s="1"/>
  <c r="S632" i="1"/>
  <c r="Q632" i="1"/>
  <c r="P632" i="1"/>
  <c r="O632" i="1"/>
  <c r="R632" i="1" s="1"/>
  <c r="K632" i="1"/>
  <c r="I632" i="1"/>
  <c r="Q631" i="1"/>
  <c r="P631" i="1"/>
  <c r="K631" i="1"/>
  <c r="I631" i="1"/>
  <c r="S631" i="1" s="1"/>
  <c r="S630" i="1"/>
  <c r="Q630" i="1"/>
  <c r="P630" i="1"/>
  <c r="O630" i="1"/>
  <c r="R630" i="1" s="1"/>
  <c r="K630" i="1"/>
  <c r="I630" i="1"/>
  <c r="Q629" i="1"/>
  <c r="P629" i="1"/>
  <c r="K629" i="1"/>
  <c r="I629" i="1"/>
  <c r="S628" i="1"/>
  <c r="Q628" i="1"/>
  <c r="P628" i="1"/>
  <c r="O628" i="1"/>
  <c r="R628" i="1" s="1"/>
  <c r="K628" i="1"/>
  <c r="I628" i="1"/>
  <c r="S627" i="1"/>
  <c r="Q627" i="1"/>
  <c r="P627" i="1"/>
  <c r="K627" i="1"/>
  <c r="I627" i="1"/>
  <c r="S626" i="1"/>
  <c r="Q626" i="1"/>
  <c r="P626" i="1"/>
  <c r="K626" i="1"/>
  <c r="I626" i="1"/>
  <c r="Q625" i="1"/>
  <c r="P625" i="1"/>
  <c r="K625" i="1"/>
  <c r="I625" i="1"/>
  <c r="S624" i="1"/>
  <c r="Q624" i="1"/>
  <c r="P624" i="1"/>
  <c r="K624" i="1"/>
  <c r="I624" i="1"/>
  <c r="S623" i="1"/>
  <c r="Q623" i="1"/>
  <c r="P623" i="1"/>
  <c r="K623" i="1"/>
  <c r="I623" i="1"/>
  <c r="S622" i="1"/>
  <c r="Q622" i="1"/>
  <c r="P622" i="1"/>
  <c r="K622" i="1"/>
  <c r="I622" i="1"/>
  <c r="S621" i="1"/>
  <c r="Q621" i="1"/>
  <c r="P621" i="1"/>
  <c r="O621" i="1"/>
  <c r="R621" i="1" s="1"/>
  <c r="K621" i="1"/>
  <c r="I621" i="1"/>
  <c r="S620" i="1"/>
  <c r="Q620" i="1"/>
  <c r="P620" i="1"/>
  <c r="K620" i="1"/>
  <c r="I620" i="1"/>
  <c r="Q619" i="1"/>
  <c r="P619" i="1"/>
  <c r="K619" i="1"/>
  <c r="I619" i="1"/>
  <c r="S618" i="1"/>
  <c r="Q618" i="1"/>
  <c r="P618" i="1"/>
  <c r="O618" i="1"/>
  <c r="R618" i="1" s="1"/>
  <c r="K618" i="1"/>
  <c r="I618" i="1"/>
  <c r="Q617" i="1"/>
  <c r="P617" i="1"/>
  <c r="K617" i="1"/>
  <c r="I617" i="1"/>
  <c r="S617" i="1" s="1"/>
  <c r="S616" i="1"/>
  <c r="Q616" i="1"/>
  <c r="P616" i="1"/>
  <c r="K616" i="1"/>
  <c r="I616" i="1"/>
  <c r="Q615" i="1"/>
  <c r="P615" i="1"/>
  <c r="O615" i="1"/>
  <c r="R615" i="1" s="1"/>
  <c r="K615" i="1"/>
  <c r="I615" i="1"/>
  <c r="S615" i="1" s="1"/>
  <c r="S614" i="1"/>
  <c r="Q614" i="1"/>
  <c r="P614" i="1"/>
  <c r="O614" i="1"/>
  <c r="R614" i="1" s="1"/>
  <c r="K614" i="1"/>
  <c r="I614" i="1"/>
  <c r="Q613" i="1"/>
  <c r="P613" i="1"/>
  <c r="O613" i="1"/>
  <c r="R613" i="1" s="1"/>
  <c r="K613" i="1"/>
  <c r="I613" i="1"/>
  <c r="S613" i="1" s="1"/>
  <c r="S612" i="1"/>
  <c r="Q612" i="1"/>
  <c r="P612" i="1"/>
  <c r="O612" i="1"/>
  <c r="R612" i="1" s="1"/>
  <c r="K612" i="1"/>
  <c r="I612" i="1"/>
  <c r="Q611" i="1"/>
  <c r="P611" i="1"/>
  <c r="K611" i="1"/>
  <c r="I611" i="1"/>
  <c r="S611" i="1" s="1"/>
  <c r="S610" i="1"/>
  <c r="Q610" i="1"/>
  <c r="P610" i="1"/>
  <c r="K610" i="1"/>
  <c r="I610" i="1"/>
  <c r="S609" i="1"/>
  <c r="Q609" i="1"/>
  <c r="P609" i="1"/>
  <c r="K609" i="1"/>
  <c r="I609" i="1"/>
  <c r="S608" i="1"/>
  <c r="Q608" i="1"/>
  <c r="P608" i="1"/>
  <c r="K608" i="1"/>
  <c r="I608" i="1"/>
  <c r="S607" i="1"/>
  <c r="Q607" i="1"/>
  <c r="P607" i="1"/>
  <c r="K607" i="1"/>
  <c r="I607" i="1"/>
  <c r="S606" i="1"/>
  <c r="Q606" i="1"/>
  <c r="P606" i="1"/>
  <c r="K606" i="1"/>
  <c r="I606" i="1"/>
  <c r="S605" i="1"/>
  <c r="Q605" i="1"/>
  <c r="P605" i="1"/>
  <c r="O605" i="1"/>
  <c r="R605" i="1" s="1"/>
  <c r="K605" i="1"/>
  <c r="I605" i="1"/>
  <c r="S604" i="1"/>
  <c r="Q604" i="1"/>
  <c r="P604" i="1"/>
  <c r="O604" i="1"/>
  <c r="R604" i="1" s="1"/>
  <c r="K604" i="1"/>
  <c r="I604" i="1"/>
  <c r="S603" i="1"/>
  <c r="Q603" i="1"/>
  <c r="P603" i="1"/>
  <c r="K603" i="1"/>
  <c r="I603" i="1"/>
  <c r="S602" i="1"/>
  <c r="Q602" i="1"/>
  <c r="P602" i="1"/>
  <c r="O602" i="1"/>
  <c r="R602" i="1" s="1"/>
  <c r="K602" i="1"/>
  <c r="I602" i="1"/>
  <c r="Q601" i="1"/>
  <c r="P601" i="1"/>
  <c r="K601" i="1"/>
  <c r="I601" i="1"/>
  <c r="S600" i="1"/>
  <c r="Q600" i="1"/>
  <c r="P600" i="1"/>
  <c r="K600" i="1"/>
  <c r="I600" i="1"/>
  <c r="Q599" i="1"/>
  <c r="P599" i="1"/>
  <c r="K599" i="1"/>
  <c r="I599" i="1"/>
  <c r="S598" i="1"/>
  <c r="Q598" i="1"/>
  <c r="P598" i="1"/>
  <c r="O598" i="1"/>
  <c r="R598" i="1" s="1"/>
  <c r="K598" i="1"/>
  <c r="I598" i="1"/>
  <c r="Q597" i="1"/>
  <c r="P597" i="1"/>
  <c r="O597" i="1"/>
  <c r="R597" i="1" s="1"/>
  <c r="K597" i="1"/>
  <c r="I597" i="1"/>
  <c r="S597" i="1" s="1"/>
  <c r="S596" i="1"/>
  <c r="Q596" i="1"/>
  <c r="P596" i="1"/>
  <c r="O596" i="1"/>
  <c r="R596" i="1" s="1"/>
  <c r="K596" i="1"/>
  <c r="I596" i="1"/>
  <c r="Q595" i="1"/>
  <c r="P595" i="1"/>
  <c r="K595" i="1"/>
  <c r="I595" i="1"/>
  <c r="S595" i="1" s="1"/>
  <c r="S594" i="1"/>
  <c r="Q594" i="1"/>
  <c r="P594" i="1"/>
  <c r="K594" i="1"/>
  <c r="I594" i="1"/>
  <c r="Q593" i="1"/>
  <c r="P593" i="1"/>
  <c r="K593" i="1"/>
  <c r="I593" i="1"/>
  <c r="S592" i="1"/>
  <c r="Q592" i="1"/>
  <c r="P592" i="1"/>
  <c r="O592" i="1"/>
  <c r="R592" i="1" s="1"/>
  <c r="K592" i="1"/>
  <c r="I592" i="1"/>
  <c r="S591" i="1"/>
  <c r="Q591" i="1"/>
  <c r="P591" i="1"/>
  <c r="K591" i="1"/>
  <c r="I591" i="1"/>
  <c r="S590" i="1"/>
  <c r="Q590" i="1"/>
  <c r="P590" i="1"/>
  <c r="K590" i="1"/>
  <c r="I590" i="1"/>
  <c r="S589" i="1"/>
  <c r="Q589" i="1"/>
  <c r="P589" i="1"/>
  <c r="O589" i="1"/>
  <c r="R589" i="1" s="1"/>
  <c r="K589" i="1"/>
  <c r="I589" i="1"/>
  <c r="S588" i="1"/>
  <c r="Q588" i="1"/>
  <c r="P588" i="1"/>
  <c r="K588" i="1"/>
  <c r="I588" i="1"/>
  <c r="S587" i="1"/>
  <c r="Q587" i="1"/>
  <c r="P587" i="1"/>
  <c r="K587" i="1"/>
  <c r="I587" i="1"/>
  <c r="S586" i="1"/>
  <c r="Q586" i="1"/>
  <c r="P586" i="1"/>
  <c r="O586" i="1"/>
  <c r="R586" i="1" s="1"/>
  <c r="K586" i="1"/>
  <c r="I586" i="1"/>
  <c r="Q585" i="1"/>
  <c r="P585" i="1"/>
  <c r="K585" i="1"/>
  <c r="I585" i="1"/>
  <c r="S584" i="1"/>
  <c r="Q584" i="1"/>
  <c r="P584" i="1"/>
  <c r="K584" i="1"/>
  <c r="I584" i="1"/>
  <c r="Q583" i="1"/>
  <c r="P583" i="1"/>
  <c r="K583" i="1"/>
  <c r="I583" i="1"/>
  <c r="S583" i="1" s="1"/>
  <c r="S582" i="1"/>
  <c r="Q582" i="1"/>
  <c r="P582" i="1"/>
  <c r="O582" i="1"/>
  <c r="R582" i="1" s="1"/>
  <c r="K582" i="1"/>
  <c r="I582" i="1"/>
  <c r="Q581" i="1"/>
  <c r="P581" i="1"/>
  <c r="O581" i="1"/>
  <c r="R581" i="1" s="1"/>
  <c r="K581" i="1"/>
  <c r="I581" i="1"/>
  <c r="S581" i="1" s="1"/>
  <c r="S580" i="1"/>
  <c r="Q580" i="1"/>
  <c r="P580" i="1"/>
  <c r="O580" i="1"/>
  <c r="R580" i="1" s="1"/>
  <c r="K580" i="1"/>
  <c r="I580" i="1"/>
  <c r="S579" i="1"/>
  <c r="Q579" i="1"/>
  <c r="P579" i="1"/>
  <c r="K579" i="1"/>
  <c r="I579" i="1"/>
  <c r="S578" i="1"/>
  <c r="Q578" i="1"/>
  <c r="P578" i="1"/>
  <c r="K578" i="1"/>
  <c r="I578" i="1"/>
  <c r="Q577" i="1"/>
  <c r="P577" i="1"/>
  <c r="K577" i="1"/>
  <c r="I577" i="1"/>
  <c r="S576" i="1"/>
  <c r="Q576" i="1"/>
  <c r="P576" i="1"/>
  <c r="K576" i="1"/>
  <c r="I576" i="1"/>
  <c r="S575" i="1"/>
  <c r="Q575" i="1"/>
  <c r="P575" i="1"/>
  <c r="K575" i="1"/>
  <c r="I575" i="1"/>
  <c r="S574" i="1"/>
  <c r="Q574" i="1"/>
  <c r="P574" i="1"/>
  <c r="O574" i="1"/>
  <c r="R574" i="1" s="1"/>
  <c r="K574" i="1"/>
  <c r="I574" i="1"/>
  <c r="S573" i="1"/>
  <c r="Q573" i="1"/>
  <c r="P573" i="1"/>
  <c r="O573" i="1"/>
  <c r="R573" i="1" s="1"/>
  <c r="K573" i="1"/>
  <c r="I573" i="1"/>
  <c r="S572" i="1"/>
  <c r="Q572" i="1"/>
  <c r="P572" i="1"/>
  <c r="O572" i="1"/>
  <c r="R572" i="1" s="1"/>
  <c r="K572" i="1"/>
  <c r="I572" i="1"/>
  <c r="Q571" i="1"/>
  <c r="P571" i="1"/>
  <c r="O571" i="1"/>
  <c r="R571" i="1" s="1"/>
  <c r="K571" i="1"/>
  <c r="I571" i="1"/>
  <c r="S571" i="1" s="1"/>
  <c r="S570" i="1"/>
  <c r="Q570" i="1"/>
  <c r="P570" i="1"/>
  <c r="O570" i="1"/>
  <c r="R570" i="1" s="1"/>
  <c r="K570" i="1"/>
  <c r="I570" i="1"/>
  <c r="Q569" i="1"/>
  <c r="P569" i="1"/>
  <c r="K569" i="1"/>
  <c r="I569" i="1"/>
  <c r="S568" i="1"/>
  <c r="Q568" i="1"/>
  <c r="P568" i="1"/>
  <c r="O568" i="1"/>
  <c r="R568" i="1" s="1"/>
  <c r="K568" i="1"/>
  <c r="I568" i="1"/>
  <c r="Q567" i="1"/>
  <c r="P567" i="1"/>
  <c r="O567" i="1"/>
  <c r="R567" i="1" s="1"/>
  <c r="K567" i="1"/>
  <c r="I567" i="1"/>
  <c r="S567" i="1" s="1"/>
  <c r="S566" i="1"/>
  <c r="Q566" i="1"/>
  <c r="P566" i="1"/>
  <c r="O566" i="1"/>
  <c r="R566" i="1" s="1"/>
  <c r="K566" i="1"/>
  <c r="I566" i="1"/>
  <c r="Q565" i="1"/>
  <c r="P565" i="1"/>
  <c r="K565" i="1"/>
  <c r="I565" i="1"/>
  <c r="S565" i="1" s="1"/>
  <c r="S564" i="1"/>
  <c r="Q564" i="1"/>
  <c r="P564" i="1"/>
  <c r="O564" i="1"/>
  <c r="R564" i="1" s="1"/>
  <c r="K564" i="1"/>
  <c r="I564" i="1"/>
  <c r="Q563" i="1"/>
  <c r="P563" i="1"/>
  <c r="K563" i="1"/>
  <c r="I563" i="1"/>
  <c r="S562" i="1"/>
  <c r="Q562" i="1"/>
  <c r="P562" i="1"/>
  <c r="K562" i="1"/>
  <c r="I562" i="1"/>
  <c r="Q561" i="1"/>
  <c r="P561" i="1"/>
  <c r="K561" i="1"/>
  <c r="I561" i="1"/>
  <c r="S560" i="1"/>
  <c r="Q560" i="1"/>
  <c r="P560" i="1"/>
  <c r="K560" i="1"/>
  <c r="I560" i="1"/>
  <c r="S559" i="1"/>
  <c r="Q559" i="1"/>
  <c r="P559" i="1"/>
  <c r="K559" i="1"/>
  <c r="I559" i="1"/>
  <c r="S558" i="1"/>
  <c r="Q558" i="1"/>
  <c r="P558" i="1"/>
  <c r="K558" i="1"/>
  <c r="I558" i="1"/>
  <c r="S557" i="1"/>
  <c r="Q557" i="1"/>
  <c r="P557" i="1"/>
  <c r="O557" i="1"/>
  <c r="R557" i="1" s="1"/>
  <c r="K557" i="1"/>
  <c r="I557" i="1"/>
  <c r="S556" i="1"/>
  <c r="Q556" i="1"/>
  <c r="P556" i="1"/>
  <c r="K556" i="1"/>
  <c r="I556" i="1"/>
  <c r="Q555" i="1"/>
  <c r="P555" i="1"/>
  <c r="O555" i="1"/>
  <c r="R555" i="1" s="1"/>
  <c r="K555" i="1"/>
  <c r="I555" i="1"/>
  <c r="S555" i="1" s="1"/>
  <c r="S554" i="1"/>
  <c r="Q554" i="1"/>
  <c r="P554" i="1"/>
  <c r="O554" i="1"/>
  <c r="R554" i="1" s="1"/>
  <c r="K554" i="1"/>
  <c r="I554" i="1"/>
  <c r="Q553" i="1"/>
  <c r="P553" i="1"/>
  <c r="K553" i="1"/>
  <c r="I553" i="1"/>
  <c r="S552" i="1"/>
  <c r="Q552" i="1"/>
  <c r="P552" i="1"/>
  <c r="O552" i="1"/>
  <c r="R552" i="1" s="1"/>
  <c r="K552" i="1"/>
  <c r="I552" i="1"/>
  <c r="Q551" i="1"/>
  <c r="P551" i="1"/>
  <c r="K551" i="1"/>
  <c r="I551" i="1"/>
  <c r="S551" i="1" s="1"/>
  <c r="S550" i="1"/>
  <c r="Q550" i="1"/>
  <c r="P550" i="1"/>
  <c r="O550" i="1"/>
  <c r="R550" i="1" s="1"/>
  <c r="K550" i="1"/>
  <c r="I550" i="1"/>
  <c r="Q549" i="1"/>
  <c r="P549" i="1"/>
  <c r="K549" i="1"/>
  <c r="I549" i="1"/>
  <c r="S549" i="1" s="1"/>
  <c r="S548" i="1"/>
  <c r="Q548" i="1"/>
  <c r="P548" i="1"/>
  <c r="O548" i="1"/>
  <c r="R548" i="1" s="1"/>
  <c r="K548" i="1"/>
  <c r="I548" i="1"/>
  <c r="Q547" i="1"/>
  <c r="P547" i="1"/>
  <c r="K547" i="1"/>
  <c r="I547" i="1"/>
  <c r="S547" i="1" s="1"/>
  <c r="S546" i="1"/>
  <c r="Q546" i="1"/>
  <c r="P546" i="1"/>
  <c r="K546" i="1"/>
  <c r="I546" i="1"/>
  <c r="Q545" i="1"/>
  <c r="P545" i="1"/>
  <c r="K545" i="1"/>
  <c r="I545" i="1"/>
  <c r="S544" i="1"/>
  <c r="Q544" i="1"/>
  <c r="P544" i="1"/>
  <c r="K544" i="1"/>
  <c r="I544" i="1"/>
  <c r="S543" i="1"/>
  <c r="Q543" i="1"/>
  <c r="P543" i="1"/>
  <c r="K543" i="1"/>
  <c r="I543" i="1"/>
  <c r="S542" i="1"/>
  <c r="Q542" i="1"/>
  <c r="P542" i="1"/>
  <c r="O542" i="1"/>
  <c r="R542" i="1" s="1"/>
  <c r="K542" i="1"/>
  <c r="I542" i="1"/>
  <c r="S541" i="1"/>
  <c r="Q541" i="1"/>
  <c r="P541" i="1"/>
  <c r="O541" i="1"/>
  <c r="R541" i="1" s="1"/>
  <c r="K541" i="1"/>
  <c r="I541" i="1"/>
  <c r="S540" i="1"/>
  <c r="Q540" i="1"/>
  <c r="P540" i="1"/>
  <c r="K540" i="1"/>
  <c r="I540" i="1"/>
  <c r="S539" i="1"/>
  <c r="Q539" i="1"/>
  <c r="P539" i="1"/>
  <c r="K539" i="1"/>
  <c r="I539" i="1"/>
  <c r="O539" i="1" s="1"/>
  <c r="R539" i="1" s="1"/>
  <c r="S538" i="1"/>
  <c r="Q538" i="1"/>
  <c r="P538" i="1"/>
  <c r="O538" i="1"/>
  <c r="R538" i="1" s="1"/>
  <c r="K538" i="1"/>
  <c r="I538" i="1"/>
  <c r="Q537" i="1"/>
  <c r="P537" i="1"/>
  <c r="O537" i="1"/>
  <c r="R537" i="1" s="1"/>
  <c r="K537" i="1"/>
  <c r="I537" i="1"/>
  <c r="S537" i="1" s="1"/>
  <c r="S536" i="1"/>
  <c r="Q536" i="1"/>
  <c r="P536" i="1"/>
  <c r="O536" i="1"/>
  <c r="R536" i="1" s="1"/>
  <c r="K536" i="1"/>
  <c r="I536" i="1"/>
  <c r="Q535" i="1"/>
  <c r="P535" i="1"/>
  <c r="K535" i="1"/>
  <c r="I535" i="1"/>
  <c r="S535" i="1" s="1"/>
  <c r="S534" i="1"/>
  <c r="Q534" i="1"/>
  <c r="P534" i="1"/>
  <c r="O534" i="1"/>
  <c r="R534" i="1" s="1"/>
  <c r="K534" i="1"/>
  <c r="I534" i="1"/>
  <c r="Q533" i="1"/>
  <c r="P533" i="1"/>
  <c r="K533" i="1"/>
  <c r="I533" i="1"/>
  <c r="S532" i="1"/>
  <c r="Q532" i="1"/>
  <c r="P532" i="1"/>
  <c r="O532" i="1"/>
  <c r="R532" i="1" s="1"/>
  <c r="K532" i="1"/>
  <c r="I532" i="1"/>
  <c r="Q531" i="1"/>
  <c r="P531" i="1"/>
  <c r="K531" i="1"/>
  <c r="I531" i="1"/>
  <c r="S530" i="1"/>
  <c r="Q530" i="1"/>
  <c r="P530" i="1"/>
  <c r="K530" i="1"/>
  <c r="I530" i="1"/>
  <c r="S529" i="1"/>
  <c r="Q529" i="1"/>
  <c r="P529" i="1"/>
  <c r="K529" i="1"/>
  <c r="I529" i="1"/>
  <c r="S528" i="1"/>
  <c r="Q528" i="1"/>
  <c r="P528" i="1"/>
  <c r="K528" i="1"/>
  <c r="I528" i="1"/>
  <c r="S527" i="1"/>
  <c r="Q527" i="1"/>
  <c r="P527" i="1"/>
  <c r="K527" i="1"/>
  <c r="I527" i="1"/>
  <c r="S526" i="1"/>
  <c r="Q526" i="1"/>
  <c r="P526" i="1"/>
  <c r="K526" i="1"/>
  <c r="I526" i="1"/>
  <c r="S525" i="1"/>
  <c r="Q525" i="1"/>
  <c r="P525" i="1"/>
  <c r="O525" i="1"/>
  <c r="R525" i="1" s="1"/>
  <c r="K525" i="1"/>
  <c r="I525" i="1"/>
  <c r="S524" i="1"/>
  <c r="Q524" i="1"/>
  <c r="P524" i="1"/>
  <c r="O524" i="1"/>
  <c r="R524" i="1" s="1"/>
  <c r="K524" i="1"/>
  <c r="I524" i="1"/>
  <c r="Q523" i="1"/>
  <c r="P523" i="1"/>
  <c r="K523" i="1"/>
  <c r="I523" i="1"/>
  <c r="S523" i="1" s="1"/>
  <c r="S522" i="1"/>
  <c r="Q522" i="1"/>
  <c r="P522" i="1"/>
  <c r="O522" i="1"/>
  <c r="R522" i="1" s="1"/>
  <c r="K522" i="1"/>
  <c r="I522" i="1"/>
  <c r="Q521" i="1"/>
  <c r="P521" i="1"/>
  <c r="O521" i="1"/>
  <c r="R521" i="1" s="1"/>
  <c r="K521" i="1"/>
  <c r="I521" i="1"/>
  <c r="S521" i="1" s="1"/>
  <c r="S520" i="1"/>
  <c r="Q520" i="1"/>
  <c r="P520" i="1"/>
  <c r="O520" i="1"/>
  <c r="R520" i="1" s="1"/>
  <c r="K520" i="1"/>
  <c r="I520" i="1"/>
  <c r="Q519" i="1"/>
  <c r="P519" i="1"/>
  <c r="K519" i="1"/>
  <c r="I519" i="1"/>
  <c r="S519" i="1" s="1"/>
  <c r="S518" i="1"/>
  <c r="Q518" i="1"/>
  <c r="P518" i="1"/>
  <c r="O518" i="1"/>
  <c r="R518" i="1" s="1"/>
  <c r="K518" i="1"/>
  <c r="I518" i="1"/>
  <c r="Q517" i="1"/>
  <c r="P517" i="1"/>
  <c r="K517" i="1"/>
  <c r="I517" i="1"/>
  <c r="S517" i="1" s="1"/>
  <c r="S516" i="1"/>
  <c r="Q516" i="1"/>
  <c r="P516" i="1"/>
  <c r="O516" i="1"/>
  <c r="R516" i="1" s="1"/>
  <c r="K516" i="1"/>
  <c r="I516" i="1"/>
  <c r="Q515" i="1"/>
  <c r="P515" i="1"/>
  <c r="O515" i="1"/>
  <c r="R515" i="1" s="1"/>
  <c r="K515" i="1"/>
  <c r="I515" i="1"/>
  <c r="S515" i="1" s="1"/>
  <c r="S514" i="1"/>
  <c r="Q514" i="1"/>
  <c r="P514" i="1"/>
  <c r="K514" i="1"/>
  <c r="I514" i="1"/>
  <c r="Q513" i="1"/>
  <c r="P513" i="1"/>
  <c r="K513" i="1"/>
  <c r="I513" i="1"/>
  <c r="S512" i="1"/>
  <c r="Q512" i="1"/>
  <c r="P512" i="1"/>
  <c r="O512" i="1"/>
  <c r="R512" i="1" s="1"/>
  <c r="K512" i="1"/>
  <c r="I512" i="1"/>
  <c r="S511" i="1"/>
  <c r="Q511" i="1"/>
  <c r="P511" i="1"/>
  <c r="K511" i="1"/>
  <c r="I511" i="1"/>
  <c r="S510" i="1"/>
  <c r="Q510" i="1"/>
  <c r="P510" i="1"/>
  <c r="K510" i="1"/>
  <c r="I510" i="1"/>
  <c r="S509" i="1"/>
  <c r="Q509" i="1"/>
  <c r="P509" i="1"/>
  <c r="O509" i="1"/>
  <c r="R509" i="1" s="1"/>
  <c r="K509" i="1"/>
  <c r="I509" i="1"/>
  <c r="S508" i="1"/>
  <c r="Q508" i="1"/>
  <c r="P508" i="1"/>
  <c r="K508" i="1"/>
  <c r="I508" i="1"/>
  <c r="S507" i="1"/>
  <c r="Q507" i="1"/>
  <c r="P507" i="1"/>
  <c r="K507" i="1"/>
  <c r="I507" i="1"/>
  <c r="S506" i="1"/>
  <c r="Q506" i="1"/>
  <c r="P506" i="1"/>
  <c r="O506" i="1"/>
  <c r="R506" i="1" s="1"/>
  <c r="K506" i="1"/>
  <c r="I506" i="1"/>
  <c r="Q505" i="1"/>
  <c r="P505" i="1"/>
  <c r="K505" i="1"/>
  <c r="I505" i="1"/>
  <c r="S504" i="1"/>
  <c r="Q504" i="1"/>
  <c r="P504" i="1"/>
  <c r="O504" i="1"/>
  <c r="R504" i="1" s="1"/>
  <c r="K504" i="1"/>
  <c r="I504" i="1"/>
  <c r="Q503" i="1"/>
  <c r="P503" i="1"/>
  <c r="O503" i="1"/>
  <c r="R503" i="1" s="1"/>
  <c r="K503" i="1"/>
  <c r="I503" i="1"/>
  <c r="S503" i="1" s="1"/>
  <c r="S502" i="1"/>
  <c r="Q502" i="1"/>
  <c r="P502" i="1"/>
  <c r="O502" i="1"/>
  <c r="R502" i="1" s="1"/>
  <c r="K502" i="1"/>
  <c r="I502" i="1"/>
  <c r="Q501" i="1"/>
  <c r="P501" i="1"/>
  <c r="K501" i="1"/>
  <c r="I501" i="1"/>
  <c r="S500" i="1"/>
  <c r="Q500" i="1"/>
  <c r="P500" i="1"/>
  <c r="O500" i="1"/>
  <c r="R500" i="1" s="1"/>
  <c r="K500" i="1"/>
  <c r="I500" i="1"/>
  <c r="S499" i="1"/>
  <c r="Q499" i="1"/>
  <c r="P499" i="1"/>
  <c r="K499" i="1"/>
  <c r="I499" i="1"/>
  <c r="S498" i="1"/>
  <c r="Q498" i="1"/>
  <c r="P498" i="1"/>
  <c r="K498" i="1"/>
  <c r="I498" i="1"/>
  <c r="Q497" i="1"/>
  <c r="P497" i="1"/>
  <c r="K497" i="1"/>
  <c r="I497" i="1"/>
  <c r="S496" i="1"/>
  <c r="Q496" i="1"/>
  <c r="P496" i="1"/>
  <c r="K496" i="1"/>
  <c r="I496" i="1"/>
  <c r="S495" i="1"/>
  <c r="Q495" i="1"/>
  <c r="P495" i="1"/>
  <c r="K495" i="1"/>
  <c r="I495" i="1"/>
  <c r="S494" i="1"/>
  <c r="Q494" i="1"/>
  <c r="P494" i="1"/>
  <c r="K494" i="1"/>
  <c r="I494" i="1"/>
  <c r="S493" i="1"/>
  <c r="Q493" i="1"/>
  <c r="P493" i="1"/>
  <c r="O493" i="1"/>
  <c r="R493" i="1" s="1"/>
  <c r="K493" i="1"/>
  <c r="I493" i="1"/>
  <c r="S492" i="1"/>
  <c r="Q492" i="1"/>
  <c r="P492" i="1"/>
  <c r="O492" i="1"/>
  <c r="R492" i="1" s="1"/>
  <c r="K492" i="1"/>
  <c r="I492" i="1"/>
  <c r="Q491" i="1"/>
  <c r="P491" i="1"/>
  <c r="K491" i="1"/>
  <c r="I491" i="1"/>
  <c r="S490" i="1"/>
  <c r="Q490" i="1"/>
  <c r="P490" i="1"/>
  <c r="O490" i="1"/>
  <c r="R490" i="1" s="1"/>
  <c r="K490" i="1"/>
  <c r="I490" i="1"/>
  <c r="Q489" i="1"/>
  <c r="P489" i="1"/>
  <c r="K489" i="1"/>
  <c r="I489" i="1"/>
  <c r="S489" i="1" s="1"/>
  <c r="S488" i="1"/>
  <c r="Q488" i="1"/>
  <c r="P488" i="1"/>
  <c r="O488" i="1"/>
  <c r="R488" i="1" s="1"/>
  <c r="K488" i="1"/>
  <c r="I488" i="1"/>
  <c r="Q487" i="1"/>
  <c r="P487" i="1"/>
  <c r="K487" i="1"/>
  <c r="I487" i="1"/>
  <c r="S487" i="1" s="1"/>
  <c r="S486" i="1"/>
  <c r="Q486" i="1"/>
  <c r="P486" i="1"/>
  <c r="O486" i="1"/>
  <c r="R486" i="1" s="1"/>
  <c r="K486" i="1"/>
  <c r="I486" i="1"/>
  <c r="Q485" i="1"/>
  <c r="P485" i="1"/>
  <c r="K485" i="1"/>
  <c r="I485" i="1"/>
  <c r="S485" i="1" s="1"/>
  <c r="S484" i="1"/>
  <c r="Q484" i="1"/>
  <c r="P484" i="1"/>
  <c r="O484" i="1"/>
  <c r="R484" i="1" s="1"/>
  <c r="K484" i="1"/>
  <c r="I484" i="1"/>
  <c r="Q483" i="1"/>
  <c r="P483" i="1"/>
  <c r="K483" i="1"/>
  <c r="I483" i="1"/>
  <c r="S483" i="1" s="1"/>
  <c r="S482" i="1"/>
  <c r="Q482" i="1"/>
  <c r="P482" i="1"/>
  <c r="K482" i="1"/>
  <c r="I482" i="1"/>
  <c r="S481" i="1"/>
  <c r="Q481" i="1"/>
  <c r="P481" i="1"/>
  <c r="K481" i="1"/>
  <c r="I481" i="1"/>
  <c r="S480" i="1"/>
  <c r="Q480" i="1"/>
  <c r="P480" i="1"/>
  <c r="K480" i="1"/>
  <c r="I480" i="1"/>
  <c r="S479" i="1"/>
  <c r="Q479" i="1"/>
  <c r="P479" i="1"/>
  <c r="K479" i="1"/>
  <c r="I479" i="1"/>
  <c r="S478" i="1"/>
  <c r="Q478" i="1"/>
  <c r="P478" i="1"/>
  <c r="K478" i="1"/>
  <c r="I478" i="1"/>
  <c r="S477" i="1"/>
  <c r="Q477" i="1"/>
  <c r="P477" i="1"/>
  <c r="O477" i="1"/>
  <c r="R477" i="1" s="1"/>
  <c r="K477" i="1"/>
  <c r="I477" i="1"/>
  <c r="S476" i="1"/>
  <c r="Q476" i="1"/>
  <c r="P476" i="1"/>
  <c r="K476" i="1"/>
  <c r="I476" i="1"/>
  <c r="S475" i="1"/>
  <c r="Q475" i="1"/>
  <c r="P475" i="1"/>
  <c r="K475" i="1"/>
  <c r="I475" i="1"/>
  <c r="O475" i="1" s="1"/>
  <c r="R475" i="1" s="1"/>
  <c r="S474" i="1"/>
  <c r="Q474" i="1"/>
  <c r="P474" i="1"/>
  <c r="O474" i="1"/>
  <c r="R474" i="1" s="1"/>
  <c r="K474" i="1"/>
  <c r="I474" i="1"/>
  <c r="Q473" i="1"/>
  <c r="P473" i="1"/>
  <c r="K473" i="1"/>
  <c r="I473" i="1"/>
  <c r="S472" i="1"/>
  <c r="Q472" i="1"/>
  <c r="P472" i="1"/>
  <c r="O472" i="1"/>
  <c r="R472" i="1" s="1"/>
  <c r="K472" i="1"/>
  <c r="I472" i="1"/>
  <c r="Q471" i="1"/>
  <c r="P471" i="1"/>
  <c r="K471" i="1"/>
  <c r="I471" i="1"/>
  <c r="S470" i="1"/>
  <c r="Q470" i="1"/>
  <c r="P470" i="1"/>
  <c r="O470" i="1"/>
  <c r="R470" i="1" s="1"/>
  <c r="K470" i="1"/>
  <c r="I470" i="1"/>
  <c r="Q469" i="1"/>
  <c r="P469" i="1"/>
  <c r="O469" i="1"/>
  <c r="R469" i="1" s="1"/>
  <c r="K469" i="1"/>
  <c r="I469" i="1"/>
  <c r="S469" i="1" s="1"/>
  <c r="S468" i="1"/>
  <c r="Q468" i="1"/>
  <c r="P468" i="1"/>
  <c r="O468" i="1"/>
  <c r="R468" i="1" s="1"/>
  <c r="K468" i="1"/>
  <c r="I468" i="1"/>
  <c r="S467" i="1"/>
  <c r="Q467" i="1"/>
  <c r="P467" i="1"/>
  <c r="K467" i="1"/>
  <c r="I467" i="1"/>
  <c r="S466" i="1"/>
  <c r="Q466" i="1"/>
  <c r="P466" i="1"/>
  <c r="K466" i="1"/>
  <c r="I466" i="1"/>
  <c r="Q465" i="1"/>
  <c r="P465" i="1"/>
  <c r="K465" i="1"/>
  <c r="I465" i="1"/>
  <c r="S464" i="1"/>
  <c r="Q464" i="1"/>
  <c r="P464" i="1"/>
  <c r="K464" i="1"/>
  <c r="I464" i="1"/>
  <c r="S463" i="1"/>
  <c r="Q463" i="1"/>
  <c r="P463" i="1"/>
  <c r="K463" i="1"/>
  <c r="I463" i="1"/>
  <c r="O463" i="1" s="1"/>
  <c r="R463" i="1" s="1"/>
  <c r="S462" i="1"/>
  <c r="Q462" i="1"/>
  <c r="P462" i="1"/>
  <c r="O462" i="1"/>
  <c r="R462" i="1" s="1"/>
  <c r="K462" i="1"/>
  <c r="I462" i="1"/>
  <c r="S461" i="1"/>
  <c r="Q461" i="1"/>
  <c r="P461" i="1"/>
  <c r="O461" i="1"/>
  <c r="R461" i="1" s="1"/>
  <c r="K461" i="1"/>
  <c r="I461" i="1"/>
  <c r="S460" i="1"/>
  <c r="Q460" i="1"/>
  <c r="P460" i="1"/>
  <c r="O460" i="1"/>
  <c r="R460" i="1" s="1"/>
  <c r="K460" i="1"/>
  <c r="I460" i="1"/>
  <c r="S459" i="1"/>
  <c r="Q459" i="1"/>
  <c r="P459" i="1"/>
  <c r="K459" i="1"/>
  <c r="I459" i="1"/>
  <c r="S458" i="1"/>
  <c r="Q458" i="1"/>
  <c r="P458" i="1"/>
  <c r="O458" i="1"/>
  <c r="R458" i="1" s="1"/>
  <c r="K458" i="1"/>
  <c r="I458" i="1"/>
  <c r="Q457" i="1"/>
  <c r="P457" i="1"/>
  <c r="K457" i="1"/>
  <c r="I457" i="1"/>
  <c r="S457" i="1" s="1"/>
  <c r="S456" i="1"/>
  <c r="Q456" i="1"/>
  <c r="P456" i="1"/>
  <c r="O456" i="1"/>
  <c r="R456" i="1" s="1"/>
  <c r="K456" i="1"/>
  <c r="I456" i="1"/>
  <c r="Q455" i="1"/>
  <c r="P455" i="1"/>
  <c r="K455" i="1"/>
  <c r="I455" i="1"/>
  <c r="S454" i="1"/>
  <c r="Q454" i="1"/>
  <c r="P454" i="1"/>
  <c r="O454" i="1"/>
  <c r="R454" i="1" s="1"/>
  <c r="K454" i="1"/>
  <c r="I454" i="1"/>
  <c r="Q453" i="1"/>
  <c r="P453" i="1"/>
  <c r="O453" i="1"/>
  <c r="R453" i="1" s="1"/>
  <c r="K453" i="1"/>
  <c r="I453" i="1"/>
  <c r="S453" i="1" s="1"/>
  <c r="S452" i="1"/>
  <c r="Q452" i="1"/>
  <c r="P452" i="1"/>
  <c r="O452" i="1"/>
  <c r="R452" i="1" s="1"/>
  <c r="K452" i="1"/>
  <c r="I452" i="1"/>
  <c r="S451" i="1"/>
  <c r="Q451" i="1"/>
  <c r="P451" i="1"/>
  <c r="K451" i="1"/>
  <c r="I451" i="1"/>
  <c r="O451" i="1" s="1"/>
  <c r="R451" i="1" s="1"/>
  <c r="S450" i="1"/>
  <c r="Q450" i="1"/>
  <c r="P450" i="1"/>
  <c r="K450" i="1"/>
  <c r="I450" i="1"/>
  <c r="Q449" i="1"/>
  <c r="P449" i="1"/>
  <c r="K449" i="1"/>
  <c r="I449" i="1"/>
  <c r="S448" i="1"/>
  <c r="Q448" i="1"/>
  <c r="P448" i="1"/>
  <c r="O448" i="1"/>
  <c r="R448" i="1" s="1"/>
  <c r="K448" i="1"/>
  <c r="I448" i="1"/>
  <c r="S447" i="1"/>
  <c r="Q447" i="1"/>
  <c r="P447" i="1"/>
  <c r="K447" i="1"/>
  <c r="I447" i="1"/>
  <c r="S446" i="1"/>
  <c r="Q446" i="1"/>
  <c r="P446" i="1"/>
  <c r="K446" i="1"/>
  <c r="I446" i="1"/>
  <c r="S445" i="1"/>
  <c r="Q445" i="1"/>
  <c r="P445" i="1"/>
  <c r="O445" i="1"/>
  <c r="R445" i="1" s="1"/>
  <c r="K445" i="1"/>
  <c r="I445" i="1"/>
  <c r="S444" i="1"/>
  <c r="Q444" i="1"/>
  <c r="P444" i="1"/>
  <c r="K444" i="1"/>
  <c r="I444" i="1"/>
  <c r="Q443" i="1"/>
  <c r="P443" i="1"/>
  <c r="K443" i="1"/>
  <c r="I443" i="1"/>
  <c r="S443" i="1" s="1"/>
  <c r="S442" i="1"/>
  <c r="Q442" i="1"/>
  <c r="P442" i="1"/>
  <c r="O442" i="1"/>
  <c r="R442" i="1" s="1"/>
  <c r="K442" i="1"/>
  <c r="I442" i="1"/>
  <c r="Q441" i="1"/>
  <c r="P441" i="1"/>
  <c r="K441" i="1"/>
  <c r="I441" i="1"/>
  <c r="S440" i="1"/>
  <c r="Q440" i="1"/>
  <c r="P440" i="1"/>
  <c r="O440" i="1"/>
  <c r="R440" i="1" s="1"/>
  <c r="K440" i="1"/>
  <c r="I440" i="1"/>
  <c r="Q439" i="1"/>
  <c r="P439" i="1"/>
  <c r="O439" i="1"/>
  <c r="R439" i="1" s="1"/>
  <c r="K439" i="1"/>
  <c r="I439" i="1"/>
  <c r="S439" i="1" s="1"/>
  <c r="S438" i="1"/>
  <c r="Q438" i="1"/>
  <c r="P438" i="1"/>
  <c r="O438" i="1"/>
  <c r="R438" i="1" s="1"/>
  <c r="K438" i="1"/>
  <c r="I438" i="1"/>
  <c r="Q437" i="1"/>
  <c r="P437" i="1"/>
  <c r="K437" i="1"/>
  <c r="I437" i="1"/>
  <c r="S437" i="1" s="1"/>
  <c r="S436" i="1"/>
  <c r="Q436" i="1"/>
  <c r="P436" i="1"/>
  <c r="O436" i="1"/>
  <c r="R436" i="1" s="1"/>
  <c r="K436" i="1"/>
  <c r="I436" i="1"/>
  <c r="Q435" i="1"/>
  <c r="P435" i="1"/>
  <c r="K435" i="1"/>
  <c r="I435" i="1"/>
  <c r="S434" i="1"/>
  <c r="Q434" i="1"/>
  <c r="P434" i="1"/>
  <c r="K434" i="1"/>
  <c r="I434" i="1"/>
  <c r="Q433" i="1"/>
  <c r="P433" i="1"/>
  <c r="K433" i="1"/>
  <c r="I433" i="1"/>
  <c r="S432" i="1"/>
  <c r="Q432" i="1"/>
  <c r="P432" i="1"/>
  <c r="O432" i="1"/>
  <c r="R432" i="1" s="1"/>
  <c r="K432" i="1"/>
  <c r="I432" i="1"/>
  <c r="S431" i="1"/>
  <c r="Q431" i="1"/>
  <c r="P431" i="1"/>
  <c r="K431" i="1"/>
  <c r="I431" i="1"/>
  <c r="S430" i="1"/>
  <c r="Q430" i="1"/>
  <c r="P430" i="1"/>
  <c r="O430" i="1"/>
  <c r="R430" i="1" s="1"/>
  <c r="K430" i="1"/>
  <c r="I430" i="1"/>
  <c r="S429" i="1"/>
  <c r="R429" i="1"/>
  <c r="Q429" i="1"/>
  <c r="P429" i="1"/>
  <c r="O429" i="1"/>
  <c r="K429" i="1"/>
  <c r="I429" i="1"/>
  <c r="S428" i="1"/>
  <c r="Q428" i="1"/>
  <c r="P428" i="1"/>
  <c r="O428" i="1"/>
  <c r="R428" i="1" s="1"/>
  <c r="K428" i="1"/>
  <c r="I428" i="1"/>
  <c r="Q427" i="1"/>
  <c r="P427" i="1"/>
  <c r="K427" i="1"/>
  <c r="I427" i="1"/>
  <c r="S427" i="1" s="1"/>
  <c r="S426" i="1"/>
  <c r="Q426" i="1"/>
  <c r="P426" i="1"/>
  <c r="O426" i="1"/>
  <c r="R426" i="1" s="1"/>
  <c r="K426" i="1"/>
  <c r="I426" i="1"/>
  <c r="Q425" i="1"/>
  <c r="P425" i="1"/>
  <c r="K425" i="1"/>
  <c r="I425" i="1"/>
  <c r="S425" i="1" s="1"/>
  <c r="S424" i="1"/>
  <c r="Q424" i="1"/>
  <c r="P424" i="1"/>
  <c r="O424" i="1"/>
  <c r="R424" i="1" s="1"/>
  <c r="K424" i="1"/>
  <c r="I424" i="1"/>
  <c r="Q423" i="1"/>
  <c r="P423" i="1"/>
  <c r="K423" i="1"/>
  <c r="I423" i="1"/>
  <c r="S423" i="1" s="1"/>
  <c r="S422" i="1"/>
  <c r="Q422" i="1"/>
  <c r="P422" i="1"/>
  <c r="O422" i="1"/>
  <c r="R422" i="1" s="1"/>
  <c r="K422" i="1"/>
  <c r="I422" i="1"/>
  <c r="Q421" i="1"/>
  <c r="P421" i="1"/>
  <c r="K421" i="1"/>
  <c r="I421" i="1"/>
  <c r="S421" i="1" s="1"/>
  <c r="S420" i="1"/>
  <c r="Q420" i="1"/>
  <c r="P420" i="1"/>
  <c r="O420" i="1"/>
  <c r="R420" i="1" s="1"/>
  <c r="K420" i="1"/>
  <c r="I420" i="1"/>
  <c r="S419" i="1"/>
  <c r="Q419" i="1"/>
  <c r="P419" i="1"/>
  <c r="K419" i="1"/>
  <c r="I419" i="1"/>
  <c r="S418" i="1"/>
  <c r="Q418" i="1"/>
  <c r="P418" i="1"/>
  <c r="K418" i="1"/>
  <c r="I418" i="1"/>
  <c r="Q417" i="1"/>
  <c r="P417" i="1"/>
  <c r="K417" i="1"/>
  <c r="I417" i="1"/>
  <c r="S416" i="1"/>
  <c r="Q416" i="1"/>
  <c r="P416" i="1"/>
  <c r="K416" i="1"/>
  <c r="I416" i="1"/>
  <c r="S415" i="1"/>
  <c r="Q415" i="1"/>
  <c r="P415" i="1"/>
  <c r="K415" i="1"/>
  <c r="I415" i="1"/>
  <c r="S414" i="1"/>
  <c r="Q414" i="1"/>
  <c r="P414" i="1"/>
  <c r="K414" i="1"/>
  <c r="I414" i="1"/>
  <c r="S413" i="1"/>
  <c r="Q413" i="1"/>
  <c r="P413" i="1"/>
  <c r="O413" i="1"/>
  <c r="R413" i="1" s="1"/>
  <c r="K413" i="1"/>
  <c r="I413" i="1"/>
  <c r="S412" i="1"/>
  <c r="Q412" i="1"/>
  <c r="P412" i="1"/>
  <c r="O412" i="1"/>
  <c r="R412" i="1" s="1"/>
  <c r="K412" i="1"/>
  <c r="I412" i="1"/>
  <c r="S411" i="1"/>
  <c r="Q411" i="1"/>
  <c r="P411" i="1"/>
  <c r="K411" i="1"/>
  <c r="I411" i="1"/>
  <c r="S410" i="1"/>
  <c r="Q410" i="1"/>
  <c r="P410" i="1"/>
  <c r="O410" i="1"/>
  <c r="R410" i="1" s="1"/>
  <c r="K410" i="1"/>
  <c r="I410" i="1"/>
  <c r="Q409" i="1"/>
  <c r="P409" i="1"/>
  <c r="O409" i="1"/>
  <c r="R409" i="1" s="1"/>
  <c r="K409" i="1"/>
  <c r="I409" i="1"/>
  <c r="S409" i="1" s="1"/>
  <c r="S408" i="1"/>
  <c r="Q408" i="1"/>
  <c r="P408" i="1"/>
  <c r="O408" i="1"/>
  <c r="R408" i="1" s="1"/>
  <c r="K408" i="1"/>
  <c r="I408" i="1"/>
  <c r="Q407" i="1"/>
  <c r="P407" i="1"/>
  <c r="K407" i="1"/>
  <c r="I407" i="1"/>
  <c r="S406" i="1"/>
  <c r="Q406" i="1"/>
  <c r="P406" i="1"/>
  <c r="O406" i="1"/>
  <c r="R406" i="1" s="1"/>
  <c r="K406" i="1"/>
  <c r="I406" i="1"/>
  <c r="Q405" i="1"/>
  <c r="P405" i="1"/>
  <c r="K405" i="1"/>
  <c r="I405" i="1"/>
  <c r="S404" i="1"/>
  <c r="Q404" i="1"/>
  <c r="P404" i="1"/>
  <c r="O404" i="1"/>
  <c r="R404" i="1" s="1"/>
  <c r="K404" i="1"/>
  <c r="I404" i="1"/>
  <c r="S403" i="1"/>
  <c r="Q403" i="1"/>
  <c r="P403" i="1"/>
  <c r="K403" i="1"/>
  <c r="I403" i="1"/>
  <c r="S402" i="1"/>
  <c r="Q402" i="1"/>
  <c r="P402" i="1"/>
  <c r="K402" i="1"/>
  <c r="I402" i="1"/>
  <c r="S401" i="1"/>
  <c r="Q401" i="1"/>
  <c r="P401" i="1"/>
  <c r="K401" i="1"/>
  <c r="I401" i="1"/>
  <c r="S400" i="1"/>
  <c r="Q400" i="1"/>
  <c r="P400" i="1"/>
  <c r="K400" i="1"/>
  <c r="I400" i="1"/>
  <c r="S399" i="1"/>
  <c r="Q399" i="1"/>
  <c r="P399" i="1"/>
  <c r="K399" i="1"/>
  <c r="I399" i="1"/>
  <c r="S398" i="1"/>
  <c r="Q398" i="1"/>
  <c r="P398" i="1"/>
  <c r="O398" i="1"/>
  <c r="R398" i="1" s="1"/>
  <c r="K398" i="1"/>
  <c r="I398" i="1"/>
  <c r="S397" i="1"/>
  <c r="Q397" i="1"/>
  <c r="P397" i="1"/>
  <c r="O397" i="1"/>
  <c r="R397" i="1" s="1"/>
  <c r="K397" i="1"/>
  <c r="I397" i="1"/>
  <c r="S396" i="1"/>
  <c r="Q396" i="1"/>
  <c r="P396" i="1"/>
  <c r="K396" i="1"/>
  <c r="I396" i="1"/>
  <c r="Q395" i="1"/>
  <c r="P395" i="1"/>
  <c r="K395" i="1"/>
  <c r="I395" i="1"/>
  <c r="S395" i="1" s="1"/>
  <c r="S394" i="1"/>
  <c r="Q394" i="1"/>
  <c r="P394" i="1"/>
  <c r="O394" i="1"/>
  <c r="R394" i="1" s="1"/>
  <c r="K394" i="1"/>
  <c r="I394" i="1"/>
  <c r="Q393" i="1"/>
  <c r="P393" i="1"/>
  <c r="K393" i="1"/>
  <c r="I393" i="1"/>
  <c r="S393" i="1" s="1"/>
  <c r="S392" i="1"/>
  <c r="Q392" i="1"/>
  <c r="P392" i="1"/>
  <c r="O392" i="1"/>
  <c r="R392" i="1" s="1"/>
  <c r="K392" i="1"/>
  <c r="I392" i="1"/>
  <c r="Q391" i="1"/>
  <c r="P391" i="1"/>
  <c r="K391" i="1"/>
  <c r="I391" i="1"/>
  <c r="S391" i="1" s="1"/>
  <c r="S390" i="1"/>
  <c r="Q390" i="1"/>
  <c r="P390" i="1"/>
  <c r="O390" i="1"/>
  <c r="R390" i="1" s="1"/>
  <c r="K390" i="1"/>
  <c r="I390" i="1"/>
  <c r="Q389" i="1"/>
  <c r="P389" i="1"/>
  <c r="K389" i="1"/>
  <c r="I389" i="1"/>
  <c r="S389" i="1" s="1"/>
  <c r="S388" i="1"/>
  <c r="Q388" i="1"/>
  <c r="P388" i="1"/>
  <c r="O388" i="1"/>
  <c r="R388" i="1" s="1"/>
  <c r="K388" i="1"/>
  <c r="I388" i="1"/>
  <c r="S387" i="1"/>
  <c r="Q387" i="1"/>
  <c r="P387" i="1"/>
  <c r="K387" i="1"/>
  <c r="I387" i="1"/>
  <c r="S386" i="1"/>
  <c r="Q386" i="1"/>
  <c r="P386" i="1"/>
  <c r="K386" i="1"/>
  <c r="I386" i="1"/>
  <c r="Q385" i="1"/>
  <c r="P385" i="1"/>
  <c r="K385" i="1"/>
  <c r="I385" i="1"/>
  <c r="S384" i="1"/>
  <c r="Q384" i="1"/>
  <c r="P384" i="1"/>
  <c r="K384" i="1"/>
  <c r="I384" i="1"/>
  <c r="S383" i="1"/>
  <c r="Q383" i="1"/>
  <c r="P383" i="1"/>
  <c r="K383" i="1"/>
  <c r="I383" i="1"/>
  <c r="O383" i="1" s="1"/>
  <c r="R383" i="1" s="1"/>
  <c r="S382" i="1"/>
  <c r="Q382" i="1"/>
  <c r="P382" i="1"/>
  <c r="O382" i="1"/>
  <c r="R382" i="1" s="1"/>
  <c r="K382" i="1"/>
  <c r="I382" i="1"/>
  <c r="S381" i="1"/>
  <c r="Q381" i="1"/>
  <c r="P381" i="1"/>
  <c r="O381" i="1"/>
  <c r="R381" i="1" s="1"/>
  <c r="K381" i="1"/>
  <c r="I381" i="1"/>
  <c r="S380" i="1"/>
  <c r="Q380" i="1"/>
  <c r="P380" i="1"/>
  <c r="O380" i="1"/>
  <c r="R380" i="1" s="1"/>
  <c r="K380" i="1"/>
  <c r="I380" i="1"/>
  <c r="S379" i="1"/>
  <c r="Q379" i="1"/>
  <c r="P379" i="1"/>
  <c r="K379" i="1"/>
  <c r="I379" i="1"/>
  <c r="S378" i="1"/>
  <c r="Q378" i="1"/>
  <c r="P378" i="1"/>
  <c r="O378" i="1"/>
  <c r="R378" i="1" s="1"/>
  <c r="K378" i="1"/>
  <c r="I378" i="1"/>
  <c r="Q377" i="1"/>
  <c r="P377" i="1"/>
  <c r="K377" i="1"/>
  <c r="I377" i="1"/>
  <c r="S377" i="1" s="1"/>
  <c r="S376" i="1"/>
  <c r="Q376" i="1"/>
  <c r="P376" i="1"/>
  <c r="O376" i="1"/>
  <c r="R376" i="1" s="1"/>
  <c r="K376" i="1"/>
  <c r="I376" i="1"/>
  <c r="Q375" i="1"/>
  <c r="P375" i="1"/>
  <c r="K375" i="1"/>
  <c r="I375" i="1"/>
  <c r="S375" i="1" s="1"/>
  <c r="S374" i="1"/>
  <c r="Q374" i="1"/>
  <c r="P374" i="1"/>
  <c r="O374" i="1"/>
  <c r="R374" i="1" s="1"/>
  <c r="K374" i="1"/>
  <c r="I374" i="1"/>
  <c r="Q373" i="1"/>
  <c r="P373" i="1"/>
  <c r="K373" i="1"/>
  <c r="I373" i="1"/>
  <c r="S372" i="1"/>
  <c r="Q372" i="1"/>
  <c r="P372" i="1"/>
  <c r="O372" i="1"/>
  <c r="R372" i="1" s="1"/>
  <c r="K372" i="1"/>
  <c r="I372" i="1"/>
  <c r="S371" i="1"/>
  <c r="Q371" i="1"/>
  <c r="P371" i="1"/>
  <c r="K371" i="1"/>
  <c r="I371" i="1"/>
  <c r="S370" i="1"/>
  <c r="Q370" i="1"/>
  <c r="P370" i="1"/>
  <c r="K370" i="1"/>
  <c r="I370" i="1"/>
  <c r="Q369" i="1"/>
  <c r="P369" i="1"/>
  <c r="K369" i="1"/>
  <c r="I369" i="1"/>
  <c r="S368" i="1"/>
  <c r="Q368" i="1"/>
  <c r="P368" i="1"/>
  <c r="O368" i="1"/>
  <c r="R368" i="1" s="1"/>
  <c r="K368" i="1"/>
  <c r="I368" i="1"/>
  <c r="S367" i="1"/>
  <c r="Q367" i="1"/>
  <c r="P367" i="1"/>
  <c r="K367" i="1"/>
  <c r="I367" i="1"/>
  <c r="S366" i="1"/>
  <c r="Q366" i="1"/>
  <c r="P366" i="1"/>
  <c r="K366" i="1"/>
  <c r="I366" i="1"/>
  <c r="S365" i="1"/>
  <c r="Q365" i="1"/>
  <c r="P365" i="1"/>
  <c r="O365" i="1"/>
  <c r="R365" i="1" s="1"/>
  <c r="K365" i="1"/>
  <c r="I365" i="1"/>
  <c r="S364" i="1"/>
  <c r="Q364" i="1"/>
  <c r="P364" i="1"/>
  <c r="K364" i="1"/>
  <c r="I364" i="1"/>
  <c r="S363" i="1"/>
  <c r="Q363" i="1"/>
  <c r="P363" i="1"/>
  <c r="K363" i="1"/>
  <c r="I363" i="1"/>
  <c r="S362" i="1"/>
  <c r="Q362" i="1"/>
  <c r="P362" i="1"/>
  <c r="O362" i="1"/>
  <c r="R362" i="1" s="1"/>
  <c r="K362" i="1"/>
  <c r="I362" i="1"/>
  <c r="Q361" i="1"/>
  <c r="P361" i="1"/>
  <c r="K361" i="1"/>
  <c r="I361" i="1"/>
  <c r="S361" i="1" s="1"/>
  <c r="S360" i="1"/>
  <c r="Q360" i="1"/>
  <c r="P360" i="1"/>
  <c r="O360" i="1"/>
  <c r="R360" i="1" s="1"/>
  <c r="K360" i="1"/>
  <c r="I360" i="1"/>
  <c r="Q359" i="1"/>
  <c r="P359" i="1"/>
  <c r="K359" i="1"/>
  <c r="I359" i="1"/>
  <c r="S359" i="1" s="1"/>
  <c r="S358" i="1"/>
  <c r="Q358" i="1"/>
  <c r="P358" i="1"/>
  <c r="O358" i="1"/>
  <c r="R358" i="1" s="1"/>
  <c r="K358" i="1"/>
  <c r="I358" i="1"/>
  <c r="Q357" i="1"/>
  <c r="P357" i="1"/>
  <c r="K357" i="1"/>
  <c r="I357" i="1"/>
  <c r="S357" i="1" s="1"/>
  <c r="S356" i="1"/>
  <c r="Q356" i="1"/>
  <c r="P356" i="1"/>
  <c r="O356" i="1"/>
  <c r="R356" i="1" s="1"/>
  <c r="K356" i="1"/>
  <c r="I356" i="1"/>
  <c r="Q355" i="1"/>
  <c r="P355" i="1"/>
  <c r="K355" i="1"/>
  <c r="I355" i="1"/>
  <c r="S355" i="1" s="1"/>
  <c r="S354" i="1"/>
  <c r="Q354" i="1"/>
  <c r="P354" i="1"/>
  <c r="K354" i="1"/>
  <c r="I354" i="1"/>
  <c r="S353" i="1"/>
  <c r="Q353" i="1"/>
  <c r="P353" i="1"/>
  <c r="K353" i="1"/>
  <c r="I353" i="1"/>
  <c r="S352" i="1"/>
  <c r="Q352" i="1"/>
  <c r="P352" i="1"/>
  <c r="K352" i="1"/>
  <c r="I352" i="1"/>
  <c r="S351" i="1"/>
  <c r="Q351" i="1"/>
  <c r="P351" i="1"/>
  <c r="K351" i="1"/>
  <c r="I351" i="1"/>
  <c r="S350" i="1"/>
  <c r="Q350" i="1"/>
  <c r="P350" i="1"/>
  <c r="O350" i="1"/>
  <c r="R350" i="1" s="1"/>
  <c r="K350" i="1"/>
  <c r="I350" i="1"/>
  <c r="S349" i="1"/>
  <c r="Q349" i="1"/>
  <c r="P349" i="1"/>
  <c r="O349" i="1"/>
  <c r="R349" i="1" s="1"/>
  <c r="K349" i="1"/>
  <c r="I349" i="1"/>
  <c r="S348" i="1"/>
  <c r="Q348" i="1"/>
  <c r="P348" i="1"/>
  <c r="O348" i="1"/>
  <c r="R348" i="1" s="1"/>
  <c r="K348" i="1"/>
  <c r="I348" i="1"/>
  <c r="S347" i="1"/>
  <c r="Q347" i="1"/>
  <c r="P347" i="1"/>
  <c r="K347" i="1"/>
  <c r="I347" i="1"/>
  <c r="O347" i="1" s="1"/>
  <c r="R347" i="1" s="1"/>
  <c r="S346" i="1"/>
  <c r="Q346" i="1"/>
  <c r="P346" i="1"/>
  <c r="O346" i="1"/>
  <c r="R346" i="1" s="1"/>
  <c r="K346" i="1"/>
  <c r="I346" i="1"/>
  <c r="Q345" i="1"/>
  <c r="P345" i="1"/>
  <c r="K345" i="1"/>
  <c r="I345" i="1"/>
  <c r="S344" i="1"/>
  <c r="Q344" i="1"/>
  <c r="P344" i="1"/>
  <c r="O344" i="1"/>
  <c r="R344" i="1" s="1"/>
  <c r="K344" i="1"/>
  <c r="I344" i="1"/>
  <c r="Q343" i="1"/>
  <c r="P343" i="1"/>
  <c r="K343" i="1"/>
  <c r="I343" i="1"/>
  <c r="S342" i="1"/>
  <c r="Q342" i="1"/>
  <c r="P342" i="1"/>
  <c r="O342" i="1"/>
  <c r="R342" i="1" s="1"/>
  <c r="K342" i="1"/>
  <c r="I342" i="1"/>
  <c r="Q341" i="1"/>
  <c r="P341" i="1"/>
  <c r="O341" i="1"/>
  <c r="R341" i="1" s="1"/>
  <c r="K341" i="1"/>
  <c r="I341" i="1"/>
  <c r="S341" i="1" s="1"/>
  <c r="S340" i="1"/>
  <c r="Q340" i="1"/>
  <c r="P340" i="1"/>
  <c r="O340" i="1"/>
  <c r="R340" i="1" s="1"/>
  <c r="K340" i="1"/>
  <c r="I340" i="1"/>
  <c r="S339" i="1"/>
  <c r="Q339" i="1"/>
  <c r="P339" i="1"/>
  <c r="K339" i="1"/>
  <c r="I339" i="1"/>
  <c r="S338" i="1"/>
  <c r="Q338" i="1"/>
  <c r="P338" i="1"/>
  <c r="K338" i="1"/>
  <c r="I338" i="1"/>
  <c r="Q337" i="1"/>
  <c r="P337" i="1"/>
  <c r="K337" i="1"/>
  <c r="I337" i="1"/>
  <c r="S336" i="1"/>
  <c r="Q336" i="1"/>
  <c r="P336" i="1"/>
  <c r="K336" i="1"/>
  <c r="I336" i="1"/>
  <c r="S335" i="1"/>
  <c r="Q335" i="1"/>
  <c r="P335" i="1"/>
  <c r="K335" i="1"/>
  <c r="I335" i="1"/>
  <c r="S334" i="1"/>
  <c r="Q334" i="1"/>
  <c r="P334" i="1"/>
  <c r="K334" i="1"/>
  <c r="I334" i="1"/>
  <c r="S333" i="1"/>
  <c r="Q333" i="1"/>
  <c r="P333" i="1"/>
  <c r="O333" i="1"/>
  <c r="R333" i="1" s="1"/>
  <c r="K333" i="1"/>
  <c r="I333" i="1"/>
  <c r="S332" i="1"/>
  <c r="Q332" i="1"/>
  <c r="P332" i="1"/>
  <c r="O332" i="1"/>
  <c r="R332" i="1" s="1"/>
  <c r="K332" i="1"/>
  <c r="I332" i="1"/>
  <c r="S331" i="1"/>
  <c r="Q331" i="1"/>
  <c r="P331" i="1"/>
  <c r="O331" i="1"/>
  <c r="R331" i="1" s="1"/>
  <c r="K331" i="1"/>
  <c r="I331" i="1"/>
  <c r="S330" i="1"/>
  <c r="Q330" i="1"/>
  <c r="P330" i="1"/>
  <c r="O330" i="1"/>
  <c r="R330" i="1" s="1"/>
  <c r="K330" i="1"/>
  <c r="I330" i="1"/>
  <c r="Q329" i="1"/>
  <c r="P329" i="1"/>
  <c r="K329" i="1"/>
  <c r="I329" i="1"/>
  <c r="S329" i="1" s="1"/>
  <c r="S328" i="1"/>
  <c r="Q328" i="1"/>
  <c r="P328" i="1"/>
  <c r="O328" i="1"/>
  <c r="R328" i="1" s="1"/>
  <c r="K328" i="1"/>
  <c r="I328" i="1"/>
  <c r="Q327" i="1"/>
  <c r="P327" i="1"/>
  <c r="K327" i="1"/>
  <c r="I327" i="1"/>
  <c r="S327" i="1" s="1"/>
  <c r="S326" i="1"/>
  <c r="Q326" i="1"/>
  <c r="P326" i="1"/>
  <c r="O326" i="1"/>
  <c r="R326" i="1" s="1"/>
  <c r="K326" i="1"/>
  <c r="I326" i="1"/>
  <c r="Q325" i="1"/>
  <c r="P325" i="1"/>
  <c r="O325" i="1"/>
  <c r="R325" i="1" s="1"/>
  <c r="K325" i="1"/>
  <c r="I325" i="1"/>
  <c r="S325" i="1" s="1"/>
  <c r="S324" i="1"/>
  <c r="Q324" i="1"/>
  <c r="P324" i="1"/>
  <c r="O324" i="1"/>
  <c r="R324" i="1" s="1"/>
  <c r="K324" i="1"/>
  <c r="I324" i="1"/>
  <c r="S323" i="1"/>
  <c r="Q323" i="1"/>
  <c r="P323" i="1"/>
  <c r="K323" i="1"/>
  <c r="I323" i="1"/>
  <c r="S322" i="1"/>
  <c r="Q322" i="1"/>
  <c r="P322" i="1"/>
  <c r="K322" i="1"/>
  <c r="I322" i="1"/>
  <c r="S321" i="1"/>
  <c r="Q321" i="1"/>
  <c r="P321" i="1"/>
  <c r="K321" i="1"/>
  <c r="I321" i="1"/>
  <c r="S320" i="1"/>
  <c r="Q320" i="1"/>
  <c r="P320" i="1"/>
  <c r="K320" i="1"/>
  <c r="I320" i="1"/>
  <c r="S319" i="1"/>
  <c r="Q319" i="1"/>
  <c r="P319" i="1"/>
  <c r="K319" i="1"/>
  <c r="I319" i="1"/>
  <c r="O319" i="1" s="1"/>
  <c r="R319" i="1" s="1"/>
  <c r="S318" i="1"/>
  <c r="Q318" i="1"/>
  <c r="P318" i="1"/>
  <c r="O318" i="1"/>
  <c r="R318" i="1" s="1"/>
  <c r="K318" i="1"/>
  <c r="I318" i="1"/>
  <c r="S317" i="1"/>
  <c r="Q317" i="1"/>
  <c r="P317" i="1"/>
  <c r="O317" i="1"/>
  <c r="R317" i="1" s="1"/>
  <c r="K317" i="1"/>
  <c r="I317" i="1"/>
  <c r="S316" i="1"/>
  <c r="Q316" i="1"/>
  <c r="P316" i="1"/>
  <c r="O316" i="1"/>
  <c r="R316" i="1" s="1"/>
  <c r="K316" i="1"/>
  <c r="I316" i="1"/>
  <c r="Q315" i="1"/>
  <c r="P315" i="1"/>
  <c r="K315" i="1"/>
  <c r="I315" i="1"/>
  <c r="S315" i="1" s="1"/>
  <c r="Q314" i="1"/>
  <c r="P314" i="1"/>
  <c r="K314" i="1"/>
  <c r="I314" i="1"/>
  <c r="O314" i="1" s="1"/>
  <c r="R314" i="1" s="1"/>
  <c r="Q313" i="1"/>
  <c r="P313" i="1"/>
  <c r="K313" i="1"/>
  <c r="I313" i="1"/>
  <c r="S313" i="1" s="1"/>
  <c r="S312" i="1"/>
  <c r="Q312" i="1"/>
  <c r="P312" i="1"/>
  <c r="K312" i="1"/>
  <c r="I312" i="1"/>
  <c r="O312" i="1" s="1"/>
  <c r="R312" i="1" s="1"/>
  <c r="Q311" i="1"/>
  <c r="P311" i="1"/>
  <c r="K311" i="1"/>
  <c r="I311" i="1"/>
  <c r="S311" i="1" s="1"/>
  <c r="S310" i="1"/>
  <c r="Q310" i="1"/>
  <c r="P310" i="1"/>
  <c r="O310" i="1"/>
  <c r="R310" i="1" s="1"/>
  <c r="K310" i="1"/>
  <c r="I310" i="1"/>
  <c r="Q309" i="1"/>
  <c r="P309" i="1"/>
  <c r="O309" i="1"/>
  <c r="R309" i="1" s="1"/>
  <c r="K309" i="1"/>
  <c r="I309" i="1"/>
  <c r="S309" i="1" s="1"/>
  <c r="S308" i="1"/>
  <c r="R308" i="1"/>
  <c r="Q308" i="1"/>
  <c r="P308" i="1"/>
  <c r="O308" i="1"/>
  <c r="K308" i="1"/>
  <c r="I308" i="1"/>
  <c r="Q307" i="1"/>
  <c r="P307" i="1"/>
  <c r="K307" i="1"/>
  <c r="I307" i="1"/>
  <c r="Q306" i="1"/>
  <c r="P306" i="1"/>
  <c r="K306" i="1"/>
  <c r="I306" i="1"/>
  <c r="S306" i="1" s="1"/>
  <c r="Q305" i="1"/>
  <c r="P305" i="1"/>
  <c r="K305" i="1"/>
  <c r="I305" i="1"/>
  <c r="S304" i="1"/>
  <c r="Q304" i="1"/>
  <c r="P304" i="1"/>
  <c r="K304" i="1"/>
  <c r="I304" i="1"/>
  <c r="S303" i="1"/>
  <c r="Q303" i="1"/>
  <c r="P303" i="1"/>
  <c r="K303" i="1"/>
  <c r="I303" i="1"/>
  <c r="Q302" i="1"/>
  <c r="P302" i="1"/>
  <c r="K302" i="1"/>
  <c r="I302" i="1"/>
  <c r="S301" i="1"/>
  <c r="Q301" i="1"/>
  <c r="P301" i="1"/>
  <c r="K301" i="1"/>
  <c r="I301" i="1"/>
  <c r="O301" i="1" s="1"/>
  <c r="R301" i="1" s="1"/>
  <c r="Q300" i="1"/>
  <c r="P300" i="1"/>
  <c r="K300" i="1"/>
  <c r="I300" i="1"/>
  <c r="S300" i="1" s="1"/>
  <c r="Q299" i="1"/>
  <c r="P299" i="1"/>
  <c r="K299" i="1"/>
  <c r="I299" i="1"/>
  <c r="S299" i="1" s="1"/>
  <c r="Q298" i="1"/>
  <c r="P298" i="1"/>
  <c r="K298" i="1"/>
  <c r="I298" i="1"/>
  <c r="S298" i="1" s="1"/>
  <c r="S297" i="1"/>
  <c r="Q297" i="1"/>
  <c r="P297" i="1"/>
  <c r="K297" i="1"/>
  <c r="I297" i="1"/>
  <c r="S296" i="1"/>
  <c r="Q296" i="1"/>
  <c r="P296" i="1"/>
  <c r="O296" i="1"/>
  <c r="R296" i="1" s="1"/>
  <c r="K296" i="1"/>
  <c r="I296" i="1"/>
  <c r="Q295" i="1"/>
  <c r="P295" i="1"/>
  <c r="O295" i="1"/>
  <c r="R295" i="1" s="1"/>
  <c r="K295" i="1"/>
  <c r="I295" i="1"/>
  <c r="Q294" i="1"/>
  <c r="P294" i="1"/>
  <c r="K294" i="1"/>
  <c r="I294" i="1"/>
  <c r="S294" i="1" s="1"/>
  <c r="S293" i="1"/>
  <c r="Q293" i="1"/>
  <c r="P293" i="1"/>
  <c r="O293" i="1"/>
  <c r="R293" i="1" s="1"/>
  <c r="K293" i="1"/>
  <c r="I293" i="1"/>
  <c r="Q292" i="1"/>
  <c r="P292" i="1"/>
  <c r="K292" i="1"/>
  <c r="I292" i="1"/>
  <c r="S292" i="1" s="1"/>
  <c r="S291" i="1"/>
  <c r="Q291" i="1"/>
  <c r="P291" i="1"/>
  <c r="K291" i="1"/>
  <c r="I291" i="1"/>
  <c r="Q290" i="1"/>
  <c r="P290" i="1"/>
  <c r="K290" i="1"/>
  <c r="I290" i="1"/>
  <c r="Q289" i="1"/>
  <c r="P289" i="1"/>
  <c r="K289" i="1"/>
  <c r="I289" i="1"/>
  <c r="Q288" i="1"/>
  <c r="P288" i="1"/>
  <c r="K288" i="1"/>
  <c r="I288" i="1"/>
  <c r="Q287" i="1"/>
  <c r="P287" i="1"/>
  <c r="K287" i="1"/>
  <c r="I287" i="1"/>
  <c r="S287" i="1" s="1"/>
  <c r="S286" i="1"/>
  <c r="Q286" i="1"/>
  <c r="P286" i="1"/>
  <c r="K286" i="1"/>
  <c r="I286" i="1"/>
  <c r="Q285" i="1"/>
  <c r="P285" i="1"/>
  <c r="O285" i="1"/>
  <c r="R285" i="1" s="1"/>
  <c r="K285" i="1"/>
  <c r="I285" i="1"/>
  <c r="S285" i="1" s="1"/>
  <c r="S284" i="1"/>
  <c r="Q284" i="1"/>
  <c r="P284" i="1"/>
  <c r="K284" i="1"/>
  <c r="I284" i="1"/>
  <c r="Q283" i="1"/>
  <c r="P283" i="1"/>
  <c r="K283" i="1"/>
  <c r="I283" i="1"/>
  <c r="S283" i="1" s="1"/>
  <c r="S282" i="1"/>
  <c r="Q282" i="1"/>
  <c r="P282" i="1"/>
  <c r="K282" i="1"/>
  <c r="I282" i="1"/>
  <c r="O282" i="1" s="1"/>
  <c r="R282" i="1" s="1"/>
  <c r="Q281" i="1"/>
  <c r="P281" i="1"/>
  <c r="K281" i="1"/>
  <c r="I281" i="1"/>
  <c r="Q280" i="1"/>
  <c r="P280" i="1"/>
  <c r="K280" i="1"/>
  <c r="I280" i="1"/>
  <c r="Q279" i="1"/>
  <c r="P279" i="1"/>
  <c r="O279" i="1"/>
  <c r="R279" i="1" s="1"/>
  <c r="K279" i="1"/>
  <c r="I279" i="1"/>
  <c r="S279" i="1" s="1"/>
  <c r="S278" i="1"/>
  <c r="Q278" i="1"/>
  <c r="P278" i="1"/>
  <c r="O278" i="1"/>
  <c r="R278" i="1" s="1"/>
  <c r="K278" i="1"/>
  <c r="I278" i="1"/>
  <c r="S277" i="1"/>
  <c r="Q277" i="1"/>
  <c r="P277" i="1"/>
  <c r="K277" i="1"/>
  <c r="I277" i="1"/>
  <c r="O277" i="1" s="1"/>
  <c r="R277" i="1" s="1"/>
  <c r="S276" i="1"/>
  <c r="Q276" i="1"/>
  <c r="P276" i="1"/>
  <c r="O276" i="1"/>
  <c r="R276" i="1" s="1"/>
  <c r="K276" i="1"/>
  <c r="I276" i="1"/>
  <c r="Q275" i="1"/>
  <c r="P275" i="1"/>
  <c r="O275" i="1"/>
  <c r="R275" i="1" s="1"/>
  <c r="K275" i="1"/>
  <c r="I275" i="1"/>
  <c r="S275" i="1" s="1"/>
  <c r="S274" i="1"/>
  <c r="Q274" i="1"/>
  <c r="P274" i="1"/>
  <c r="K274" i="1"/>
  <c r="I274" i="1"/>
  <c r="Q273" i="1"/>
  <c r="P273" i="1"/>
  <c r="K273" i="1"/>
  <c r="I273" i="1"/>
  <c r="Q272" i="1"/>
  <c r="P272" i="1"/>
  <c r="K272" i="1"/>
  <c r="I272" i="1"/>
  <c r="S272" i="1" s="1"/>
  <c r="Q271" i="1"/>
  <c r="P271" i="1"/>
  <c r="K271" i="1"/>
  <c r="I271" i="1"/>
  <c r="Q270" i="1"/>
  <c r="P270" i="1"/>
  <c r="K270" i="1"/>
  <c r="I270" i="1"/>
  <c r="S270" i="1" s="1"/>
  <c r="S269" i="1"/>
  <c r="Q269" i="1"/>
  <c r="P269" i="1"/>
  <c r="K269" i="1"/>
  <c r="I269" i="1"/>
  <c r="O269" i="1" s="1"/>
  <c r="R269" i="1" s="1"/>
  <c r="Q268" i="1"/>
  <c r="P268" i="1"/>
  <c r="O268" i="1"/>
  <c r="R268" i="1" s="1"/>
  <c r="K268" i="1"/>
  <c r="I268" i="1"/>
  <c r="S268" i="1" s="1"/>
  <c r="S267" i="1"/>
  <c r="Q267" i="1"/>
  <c r="P267" i="1"/>
  <c r="K267" i="1"/>
  <c r="I267" i="1"/>
  <c r="Q266" i="1"/>
  <c r="P266" i="1"/>
  <c r="K266" i="1"/>
  <c r="I266" i="1"/>
  <c r="S266" i="1" s="1"/>
  <c r="S265" i="1"/>
  <c r="Q265" i="1"/>
  <c r="P265" i="1"/>
  <c r="K265" i="1"/>
  <c r="I265" i="1"/>
  <c r="O265" i="1" s="1"/>
  <c r="R265" i="1" s="1"/>
  <c r="S264" i="1"/>
  <c r="Q264" i="1"/>
  <c r="P264" i="1"/>
  <c r="K264" i="1"/>
  <c r="I264" i="1"/>
  <c r="O264" i="1" s="1"/>
  <c r="R264" i="1" s="1"/>
  <c r="S263" i="1"/>
  <c r="Q263" i="1"/>
  <c r="P263" i="1"/>
  <c r="K263" i="1"/>
  <c r="I263" i="1"/>
  <c r="O263" i="1" s="1"/>
  <c r="R263" i="1" s="1"/>
  <c r="Q262" i="1"/>
  <c r="P262" i="1"/>
  <c r="O262" i="1"/>
  <c r="R262" i="1" s="1"/>
  <c r="K262" i="1"/>
  <c r="I262" i="1"/>
  <c r="S262" i="1" s="1"/>
  <c r="S261" i="1"/>
  <c r="Q261" i="1"/>
  <c r="P261" i="1"/>
  <c r="O261" i="1"/>
  <c r="R261" i="1" s="1"/>
  <c r="K261" i="1"/>
  <c r="I261" i="1"/>
  <c r="Q260" i="1"/>
  <c r="P260" i="1"/>
  <c r="O260" i="1"/>
  <c r="R260" i="1" s="1"/>
  <c r="K260" i="1"/>
  <c r="I260" i="1"/>
  <c r="S260" i="1" s="1"/>
  <c r="S259" i="1"/>
  <c r="Q259" i="1"/>
  <c r="P259" i="1"/>
  <c r="K259" i="1"/>
  <c r="I259" i="1"/>
  <c r="Q258" i="1"/>
  <c r="P258" i="1"/>
  <c r="K258" i="1"/>
  <c r="I258" i="1"/>
  <c r="S257" i="1"/>
  <c r="Q257" i="1"/>
  <c r="P257" i="1"/>
  <c r="K257" i="1"/>
  <c r="I257" i="1"/>
  <c r="Q256" i="1"/>
  <c r="P256" i="1"/>
  <c r="K256" i="1"/>
  <c r="I256" i="1"/>
  <c r="S255" i="1"/>
  <c r="Q255" i="1"/>
  <c r="P255" i="1"/>
  <c r="O255" i="1"/>
  <c r="R255" i="1" s="1"/>
  <c r="K255" i="1"/>
  <c r="I255" i="1"/>
  <c r="S254" i="1"/>
  <c r="Q254" i="1"/>
  <c r="P254" i="1"/>
  <c r="K254" i="1"/>
  <c r="I254" i="1"/>
  <c r="Q253" i="1"/>
  <c r="P253" i="1"/>
  <c r="O253" i="1"/>
  <c r="R253" i="1" s="1"/>
  <c r="K253" i="1"/>
  <c r="I253" i="1"/>
  <c r="S253" i="1" s="1"/>
  <c r="Q252" i="1"/>
  <c r="P252" i="1"/>
  <c r="K252" i="1"/>
  <c r="I252" i="1"/>
  <c r="O252" i="1" s="1"/>
  <c r="R252" i="1" s="1"/>
  <c r="Q251" i="1"/>
  <c r="P251" i="1"/>
  <c r="K251" i="1"/>
  <c r="I251" i="1"/>
  <c r="S250" i="1"/>
  <c r="Q250" i="1"/>
  <c r="P250" i="1"/>
  <c r="K250" i="1"/>
  <c r="I250" i="1"/>
  <c r="O250" i="1" s="1"/>
  <c r="R250" i="1" s="1"/>
  <c r="Q249" i="1"/>
  <c r="P249" i="1"/>
  <c r="K249" i="1"/>
  <c r="I249" i="1"/>
  <c r="Q248" i="1"/>
  <c r="P248" i="1"/>
  <c r="K248" i="1"/>
  <c r="I248" i="1"/>
  <c r="Q247" i="1"/>
  <c r="P247" i="1"/>
  <c r="K247" i="1"/>
  <c r="I247" i="1"/>
  <c r="S246" i="1"/>
  <c r="Q246" i="1"/>
  <c r="P246" i="1"/>
  <c r="O246" i="1"/>
  <c r="R246" i="1" s="1"/>
  <c r="K246" i="1"/>
  <c r="I246" i="1"/>
  <c r="S245" i="1"/>
  <c r="Q245" i="1"/>
  <c r="P245" i="1"/>
  <c r="K245" i="1"/>
  <c r="I245" i="1"/>
  <c r="O245" i="1" s="1"/>
  <c r="R245" i="1" s="1"/>
  <c r="S244" i="1"/>
  <c r="Q244" i="1"/>
  <c r="P244" i="1"/>
  <c r="O244" i="1"/>
  <c r="R244" i="1" s="1"/>
  <c r="K244" i="1"/>
  <c r="I244" i="1"/>
  <c r="Q243" i="1"/>
  <c r="P243" i="1"/>
  <c r="K243" i="1"/>
  <c r="I243" i="1"/>
  <c r="S243" i="1" s="1"/>
  <c r="Q242" i="1"/>
  <c r="P242" i="1"/>
  <c r="K242" i="1"/>
  <c r="I242" i="1"/>
  <c r="S242" i="1" s="1"/>
  <c r="Q241" i="1"/>
  <c r="P241" i="1"/>
  <c r="K241" i="1"/>
  <c r="I241" i="1"/>
  <c r="S240" i="1"/>
  <c r="Q240" i="1"/>
  <c r="P240" i="1"/>
  <c r="K240" i="1"/>
  <c r="I240" i="1"/>
  <c r="S239" i="1"/>
  <c r="Q239" i="1"/>
  <c r="P239" i="1"/>
  <c r="K239" i="1"/>
  <c r="I239" i="1"/>
  <c r="O239" i="1" s="1"/>
  <c r="R239" i="1" s="1"/>
  <c r="S238" i="1"/>
  <c r="Q238" i="1"/>
  <c r="P238" i="1"/>
  <c r="K238" i="1"/>
  <c r="I238" i="1"/>
  <c r="Q237" i="1"/>
  <c r="P237" i="1"/>
  <c r="K237" i="1"/>
  <c r="I237" i="1"/>
  <c r="S236" i="1"/>
  <c r="Q236" i="1"/>
  <c r="P236" i="1"/>
  <c r="K236" i="1"/>
  <c r="I236" i="1"/>
  <c r="O236" i="1" s="1"/>
  <c r="R236" i="1" s="1"/>
  <c r="Q235" i="1"/>
  <c r="P235" i="1"/>
  <c r="K235" i="1"/>
  <c r="I235" i="1"/>
  <c r="Q234" i="1"/>
  <c r="P234" i="1"/>
  <c r="O234" i="1"/>
  <c r="R234" i="1" s="1"/>
  <c r="K234" i="1"/>
  <c r="I234" i="1"/>
  <c r="S234" i="1" s="1"/>
  <c r="S233" i="1"/>
  <c r="Q233" i="1"/>
  <c r="P233" i="1"/>
  <c r="K233" i="1"/>
  <c r="I233" i="1"/>
  <c r="O233" i="1" s="1"/>
  <c r="R233" i="1" s="1"/>
  <c r="Q232" i="1"/>
  <c r="P232" i="1"/>
  <c r="K232" i="1"/>
  <c r="I232" i="1"/>
  <c r="S231" i="1"/>
  <c r="Q231" i="1"/>
  <c r="P231" i="1"/>
  <c r="O231" i="1"/>
  <c r="R231" i="1" s="1"/>
  <c r="K231" i="1"/>
  <c r="I231" i="1"/>
  <c r="Q230" i="1"/>
  <c r="P230" i="1"/>
  <c r="O230" i="1"/>
  <c r="R230" i="1" s="1"/>
  <c r="K230" i="1"/>
  <c r="I230" i="1"/>
  <c r="S230" i="1" s="1"/>
  <c r="S229" i="1"/>
  <c r="Q229" i="1"/>
  <c r="P229" i="1"/>
  <c r="O229" i="1"/>
  <c r="R229" i="1" s="1"/>
  <c r="K229" i="1"/>
  <c r="I229" i="1"/>
  <c r="Q228" i="1"/>
  <c r="P228" i="1"/>
  <c r="K228" i="1"/>
  <c r="I228" i="1"/>
  <c r="O228" i="1" s="1"/>
  <c r="R228" i="1" s="1"/>
  <c r="Q227" i="1"/>
  <c r="P227" i="1"/>
  <c r="K227" i="1"/>
  <c r="I227" i="1"/>
  <c r="Q226" i="1"/>
  <c r="P226" i="1"/>
  <c r="K226" i="1"/>
  <c r="I226" i="1"/>
  <c r="S226" i="1" s="1"/>
  <c r="Q225" i="1"/>
  <c r="P225" i="1"/>
  <c r="K225" i="1"/>
  <c r="I225" i="1"/>
  <c r="S225" i="1" s="1"/>
  <c r="S224" i="1"/>
  <c r="Q224" i="1"/>
  <c r="P224" i="1"/>
  <c r="K224" i="1"/>
  <c r="I224" i="1"/>
  <c r="Q223" i="1"/>
  <c r="P223" i="1"/>
  <c r="K223" i="1"/>
  <c r="I223" i="1"/>
  <c r="Q222" i="1"/>
  <c r="P222" i="1"/>
  <c r="K222" i="1"/>
  <c r="I222" i="1"/>
  <c r="O222" i="1" s="1"/>
  <c r="R222" i="1" s="1"/>
  <c r="S221" i="1"/>
  <c r="Q221" i="1"/>
  <c r="P221" i="1"/>
  <c r="O221" i="1"/>
  <c r="R221" i="1" s="1"/>
  <c r="K221" i="1"/>
  <c r="I221" i="1"/>
  <c r="Q220" i="1"/>
  <c r="P220" i="1"/>
  <c r="K220" i="1"/>
  <c r="I220" i="1"/>
  <c r="S220" i="1" s="1"/>
  <c r="Q219" i="1"/>
  <c r="P219" i="1"/>
  <c r="K219" i="1"/>
  <c r="I219" i="1"/>
  <c r="S218" i="1"/>
  <c r="R218" i="1"/>
  <c r="Q218" i="1"/>
  <c r="P218" i="1"/>
  <c r="K218" i="1"/>
  <c r="I218" i="1"/>
  <c r="O218" i="1" s="1"/>
  <c r="S217" i="1"/>
  <c r="Q217" i="1"/>
  <c r="P217" i="1"/>
  <c r="K217" i="1"/>
  <c r="I217" i="1"/>
  <c r="O217" i="1" s="1"/>
  <c r="R217" i="1" s="1"/>
  <c r="Q216" i="1"/>
  <c r="P216" i="1"/>
  <c r="K216" i="1"/>
  <c r="I216" i="1"/>
  <c r="S216" i="1" s="1"/>
  <c r="Q215" i="1"/>
  <c r="P215" i="1"/>
  <c r="O215" i="1"/>
  <c r="R215" i="1" s="1"/>
  <c r="K215" i="1"/>
  <c r="I215" i="1"/>
  <c r="S215" i="1" s="1"/>
  <c r="S214" i="1"/>
  <c r="Q214" i="1"/>
  <c r="P214" i="1"/>
  <c r="O214" i="1"/>
  <c r="R214" i="1" s="1"/>
  <c r="K214" i="1"/>
  <c r="I214" i="1"/>
  <c r="S213" i="1"/>
  <c r="Q213" i="1"/>
  <c r="P213" i="1"/>
  <c r="K213" i="1"/>
  <c r="I213" i="1"/>
  <c r="O213" i="1" s="1"/>
  <c r="R213" i="1" s="1"/>
  <c r="Q212" i="1"/>
  <c r="P212" i="1"/>
  <c r="O212" i="1"/>
  <c r="R212" i="1" s="1"/>
  <c r="K212" i="1"/>
  <c r="I212" i="1"/>
  <c r="S212" i="1" s="1"/>
  <c r="Q211" i="1"/>
  <c r="P211" i="1"/>
  <c r="K211" i="1"/>
  <c r="I211" i="1"/>
  <c r="S211" i="1" s="1"/>
  <c r="Q210" i="1"/>
  <c r="P210" i="1"/>
  <c r="K210" i="1"/>
  <c r="I210" i="1"/>
  <c r="Q209" i="1"/>
  <c r="P209" i="1"/>
  <c r="K209" i="1"/>
  <c r="I209" i="1"/>
  <c r="S208" i="1"/>
  <c r="Q208" i="1"/>
  <c r="P208" i="1"/>
  <c r="K208" i="1"/>
  <c r="I208" i="1"/>
  <c r="Q207" i="1"/>
  <c r="P207" i="1"/>
  <c r="K207" i="1"/>
  <c r="I207" i="1"/>
  <c r="S207" i="1" s="1"/>
  <c r="S206" i="1"/>
  <c r="Q206" i="1"/>
  <c r="P206" i="1"/>
  <c r="O206" i="1"/>
  <c r="R206" i="1" s="1"/>
  <c r="K206" i="1"/>
  <c r="I206" i="1"/>
  <c r="Q205" i="1"/>
  <c r="P205" i="1"/>
  <c r="K205" i="1"/>
  <c r="I205" i="1"/>
  <c r="Q204" i="1"/>
  <c r="P204" i="1"/>
  <c r="K204" i="1"/>
  <c r="I204" i="1"/>
  <c r="S204" i="1" s="1"/>
  <c r="S203" i="1"/>
  <c r="Q203" i="1"/>
  <c r="P203" i="1"/>
  <c r="K203" i="1"/>
  <c r="I203" i="1"/>
  <c r="Q202" i="1"/>
  <c r="P202" i="1"/>
  <c r="O202" i="1"/>
  <c r="R202" i="1" s="1"/>
  <c r="K202" i="1"/>
  <c r="I202" i="1"/>
  <c r="S202" i="1" s="1"/>
  <c r="S201" i="1"/>
  <c r="Q201" i="1"/>
  <c r="P201" i="1"/>
  <c r="K201" i="1"/>
  <c r="I201" i="1"/>
  <c r="S200" i="1"/>
  <c r="Q200" i="1"/>
  <c r="P200" i="1"/>
  <c r="O200" i="1"/>
  <c r="R200" i="1" s="1"/>
  <c r="K200" i="1"/>
  <c r="I200" i="1"/>
  <c r="S199" i="1"/>
  <c r="Q199" i="1"/>
  <c r="P199" i="1"/>
  <c r="K199" i="1"/>
  <c r="I199" i="1"/>
  <c r="O199" i="1" s="1"/>
  <c r="R199" i="1" s="1"/>
  <c r="Q198" i="1"/>
  <c r="P198" i="1"/>
  <c r="K198" i="1"/>
  <c r="I198" i="1"/>
  <c r="S197" i="1"/>
  <c r="Q197" i="1"/>
  <c r="P197" i="1"/>
  <c r="O197" i="1"/>
  <c r="R197" i="1" s="1"/>
  <c r="K197" i="1"/>
  <c r="I197" i="1"/>
  <c r="Q196" i="1"/>
  <c r="P196" i="1"/>
  <c r="O196" i="1"/>
  <c r="R196" i="1" s="1"/>
  <c r="K196" i="1"/>
  <c r="I196" i="1"/>
  <c r="S196" i="1" s="1"/>
  <c r="S195" i="1"/>
  <c r="Q195" i="1"/>
  <c r="P195" i="1"/>
  <c r="K195" i="1"/>
  <c r="I195" i="1"/>
  <c r="Q194" i="1"/>
  <c r="P194" i="1"/>
  <c r="K194" i="1"/>
  <c r="I194" i="1"/>
  <c r="Q193" i="1"/>
  <c r="P193" i="1"/>
  <c r="K193" i="1"/>
  <c r="I193" i="1"/>
  <c r="S193" i="1" s="1"/>
  <c r="S192" i="1"/>
  <c r="Q192" i="1"/>
  <c r="P192" i="1"/>
  <c r="K192" i="1"/>
  <c r="I192" i="1"/>
  <c r="Q191" i="1"/>
  <c r="P191" i="1"/>
  <c r="K191" i="1"/>
  <c r="I191" i="1"/>
  <c r="S191" i="1" s="1"/>
  <c r="S190" i="1"/>
  <c r="Q190" i="1"/>
  <c r="P190" i="1"/>
  <c r="K190" i="1"/>
  <c r="I190" i="1"/>
  <c r="Q189" i="1"/>
  <c r="P189" i="1"/>
  <c r="K189" i="1"/>
  <c r="I189" i="1"/>
  <c r="Q188" i="1"/>
  <c r="P188" i="1"/>
  <c r="K188" i="1"/>
  <c r="I188" i="1"/>
  <c r="Q187" i="1"/>
  <c r="P187" i="1"/>
  <c r="K187" i="1"/>
  <c r="I187" i="1"/>
  <c r="S187" i="1" s="1"/>
  <c r="S186" i="1"/>
  <c r="Q186" i="1"/>
  <c r="P186" i="1"/>
  <c r="K186" i="1"/>
  <c r="I186" i="1"/>
  <c r="O186" i="1" s="1"/>
  <c r="R186" i="1" s="1"/>
  <c r="Q185" i="1"/>
  <c r="P185" i="1"/>
  <c r="K185" i="1"/>
  <c r="I185" i="1"/>
  <c r="Q184" i="1"/>
  <c r="P184" i="1"/>
  <c r="K184" i="1"/>
  <c r="I184" i="1"/>
  <c r="S184" i="1" s="1"/>
  <c r="Q183" i="1"/>
  <c r="P183" i="1"/>
  <c r="K183" i="1"/>
  <c r="I183" i="1"/>
  <c r="S183" i="1" s="1"/>
  <c r="S182" i="1"/>
  <c r="Q182" i="1"/>
  <c r="P182" i="1"/>
  <c r="O182" i="1"/>
  <c r="R182" i="1" s="1"/>
  <c r="K182" i="1"/>
  <c r="I182" i="1"/>
  <c r="S181" i="1"/>
  <c r="Q181" i="1"/>
  <c r="P181" i="1"/>
  <c r="O181" i="1"/>
  <c r="R181" i="1" s="1"/>
  <c r="K181" i="1"/>
  <c r="I181" i="1"/>
  <c r="Q180" i="1"/>
  <c r="P180" i="1"/>
  <c r="K180" i="1"/>
  <c r="I180" i="1"/>
  <c r="Q179" i="1"/>
  <c r="P179" i="1"/>
  <c r="K179" i="1"/>
  <c r="I179" i="1"/>
  <c r="S179" i="1" s="1"/>
  <c r="Q178" i="1"/>
  <c r="P178" i="1"/>
  <c r="K178" i="1"/>
  <c r="I178" i="1"/>
  <c r="S178" i="1" s="1"/>
  <c r="Q177" i="1"/>
  <c r="P177" i="1"/>
  <c r="K177" i="1"/>
  <c r="I177" i="1"/>
  <c r="S177" i="1" s="1"/>
  <c r="Q176" i="1"/>
  <c r="P176" i="1"/>
  <c r="K176" i="1"/>
  <c r="I176" i="1"/>
  <c r="Q175" i="1"/>
  <c r="P175" i="1"/>
  <c r="K175" i="1"/>
  <c r="I175" i="1"/>
  <c r="S174" i="1"/>
  <c r="Q174" i="1"/>
  <c r="P174" i="1"/>
  <c r="K174" i="1"/>
  <c r="I174" i="1"/>
  <c r="Q173" i="1"/>
  <c r="P173" i="1"/>
  <c r="K173" i="1"/>
  <c r="I173" i="1"/>
  <c r="S172" i="1"/>
  <c r="Q172" i="1"/>
  <c r="P172" i="1"/>
  <c r="K172" i="1"/>
  <c r="I172" i="1"/>
  <c r="Q171" i="1"/>
  <c r="P171" i="1"/>
  <c r="O171" i="1"/>
  <c r="R171" i="1" s="1"/>
  <c r="K171" i="1"/>
  <c r="I171" i="1"/>
  <c r="S171" i="1" s="1"/>
  <c r="Q170" i="1"/>
  <c r="P170" i="1"/>
  <c r="K170" i="1"/>
  <c r="I170" i="1"/>
  <c r="S170" i="1" s="1"/>
  <c r="S169" i="1"/>
  <c r="Q169" i="1"/>
  <c r="P169" i="1"/>
  <c r="K169" i="1"/>
  <c r="I169" i="1"/>
  <c r="Q168" i="1"/>
  <c r="P168" i="1"/>
  <c r="K168" i="1"/>
  <c r="I168" i="1"/>
  <c r="S168" i="1" s="1"/>
  <c r="Q167" i="1"/>
  <c r="P167" i="1"/>
  <c r="K167" i="1"/>
  <c r="I167" i="1"/>
  <c r="O167" i="1" s="1"/>
  <c r="R167" i="1" s="1"/>
  <c r="Q166" i="1"/>
  <c r="P166" i="1"/>
  <c r="O166" i="1"/>
  <c r="R166" i="1" s="1"/>
  <c r="K166" i="1"/>
  <c r="I166" i="1"/>
  <c r="S166" i="1" s="1"/>
  <c r="S165" i="1"/>
  <c r="Q165" i="1"/>
  <c r="P165" i="1"/>
  <c r="O165" i="1"/>
  <c r="R165" i="1" s="1"/>
  <c r="K165" i="1"/>
  <c r="I165" i="1"/>
  <c r="Q164" i="1"/>
  <c r="P164" i="1"/>
  <c r="K164" i="1"/>
  <c r="I164" i="1"/>
  <c r="S163" i="1"/>
  <c r="Q163" i="1"/>
  <c r="P163" i="1"/>
  <c r="K163" i="1"/>
  <c r="I163" i="1"/>
  <c r="Q162" i="1"/>
  <c r="P162" i="1"/>
  <c r="K162" i="1"/>
  <c r="I162" i="1"/>
  <c r="S162" i="1" s="1"/>
  <c r="S161" i="1"/>
  <c r="Q161" i="1"/>
  <c r="P161" i="1"/>
  <c r="K161" i="1"/>
  <c r="I161" i="1"/>
  <c r="Q160" i="1"/>
  <c r="P160" i="1"/>
  <c r="K160" i="1"/>
  <c r="I160" i="1"/>
  <c r="Q159" i="1"/>
  <c r="P159" i="1"/>
  <c r="K159" i="1"/>
  <c r="I159" i="1"/>
  <c r="S159" i="1" s="1"/>
  <c r="S158" i="1"/>
  <c r="Q158" i="1"/>
  <c r="P158" i="1"/>
  <c r="K158" i="1"/>
  <c r="I158" i="1"/>
  <c r="Q157" i="1"/>
  <c r="P157" i="1"/>
  <c r="K157" i="1"/>
  <c r="I157" i="1"/>
  <c r="S157" i="1" s="1"/>
  <c r="S156" i="1"/>
  <c r="Q156" i="1"/>
  <c r="P156" i="1"/>
  <c r="K156" i="1"/>
  <c r="I156" i="1"/>
  <c r="Q155" i="1"/>
  <c r="P155" i="1"/>
  <c r="O155" i="1"/>
  <c r="R155" i="1" s="1"/>
  <c r="K155" i="1"/>
  <c r="I155" i="1"/>
  <c r="S155" i="1" s="1"/>
  <c r="S154" i="1"/>
  <c r="Q154" i="1"/>
  <c r="P154" i="1"/>
  <c r="K154" i="1"/>
  <c r="I154" i="1"/>
  <c r="O154" i="1" s="1"/>
  <c r="R154" i="1" s="1"/>
  <c r="Q153" i="1"/>
  <c r="P153" i="1"/>
  <c r="K153" i="1"/>
  <c r="I153" i="1"/>
  <c r="S153" i="1" s="1"/>
  <c r="Q152" i="1"/>
  <c r="P152" i="1"/>
  <c r="K152" i="1"/>
  <c r="I152" i="1"/>
  <c r="S152" i="1" s="1"/>
  <c r="Q151" i="1"/>
  <c r="P151" i="1"/>
  <c r="K151" i="1"/>
  <c r="I151" i="1"/>
  <c r="S150" i="1"/>
  <c r="Q150" i="1"/>
  <c r="P150" i="1"/>
  <c r="O150" i="1"/>
  <c r="R150" i="1" s="1"/>
  <c r="K150" i="1"/>
  <c r="I150" i="1"/>
  <c r="S149" i="1"/>
  <c r="Q149" i="1"/>
  <c r="P149" i="1"/>
  <c r="K149" i="1"/>
  <c r="I149" i="1"/>
  <c r="O149" i="1" s="1"/>
  <c r="R149" i="1" s="1"/>
  <c r="S148" i="1"/>
  <c r="Q148" i="1"/>
  <c r="P148" i="1"/>
  <c r="K148" i="1"/>
  <c r="I148" i="1"/>
  <c r="O148" i="1" s="1"/>
  <c r="R148" i="1" s="1"/>
  <c r="Q147" i="1"/>
  <c r="P147" i="1"/>
  <c r="K147" i="1"/>
  <c r="I147" i="1"/>
  <c r="S147" i="1" s="1"/>
  <c r="Q146" i="1"/>
  <c r="P146" i="1"/>
  <c r="K146" i="1"/>
  <c r="I146" i="1"/>
  <c r="S145" i="1"/>
  <c r="Q145" i="1"/>
  <c r="P145" i="1"/>
  <c r="K145" i="1"/>
  <c r="I145" i="1"/>
  <c r="Q144" i="1"/>
  <c r="P144" i="1"/>
  <c r="K144" i="1"/>
  <c r="I144" i="1"/>
  <c r="S144" i="1" s="1"/>
  <c r="S143" i="1"/>
  <c r="Q143" i="1"/>
  <c r="P143" i="1"/>
  <c r="O143" i="1"/>
  <c r="R143" i="1" s="1"/>
  <c r="K143" i="1"/>
  <c r="I143" i="1"/>
  <c r="Q142" i="1"/>
  <c r="P142" i="1"/>
  <c r="K142" i="1"/>
  <c r="I142" i="1"/>
  <c r="O142" i="1" s="1"/>
  <c r="R142" i="1" s="1"/>
  <c r="Q141" i="1"/>
  <c r="P141" i="1"/>
  <c r="K141" i="1"/>
  <c r="I141" i="1"/>
  <c r="S140" i="1"/>
  <c r="Q140" i="1"/>
  <c r="P140" i="1"/>
  <c r="K140" i="1"/>
  <c r="I140" i="1"/>
  <c r="O140" i="1" s="1"/>
  <c r="R140" i="1" s="1"/>
  <c r="Q139" i="1"/>
  <c r="P139" i="1"/>
  <c r="K139" i="1"/>
  <c r="I139" i="1"/>
  <c r="S139" i="1" s="1"/>
  <c r="S138" i="1"/>
  <c r="Q138" i="1"/>
  <c r="P138" i="1"/>
  <c r="O138" i="1"/>
  <c r="R138" i="1" s="1"/>
  <c r="K138" i="1"/>
  <c r="I138" i="1"/>
  <c r="S137" i="1"/>
  <c r="Q137" i="1"/>
  <c r="P137" i="1"/>
  <c r="K137" i="1"/>
  <c r="I137" i="1"/>
  <c r="O137" i="1" s="1"/>
  <c r="R137" i="1" s="1"/>
  <c r="Q136" i="1"/>
  <c r="P136" i="1"/>
  <c r="K136" i="1"/>
  <c r="I136" i="1"/>
  <c r="S135" i="1"/>
  <c r="Q135" i="1"/>
  <c r="P135" i="1"/>
  <c r="O135" i="1"/>
  <c r="R135" i="1" s="1"/>
  <c r="K135" i="1"/>
  <c r="I135" i="1"/>
  <c r="Q134" i="1"/>
  <c r="P134" i="1"/>
  <c r="K134" i="1"/>
  <c r="I134" i="1"/>
  <c r="S134" i="1" s="1"/>
  <c r="S133" i="1"/>
  <c r="Q133" i="1"/>
  <c r="P133" i="1"/>
  <c r="O133" i="1"/>
  <c r="R133" i="1" s="1"/>
  <c r="K133" i="1"/>
  <c r="I133" i="1"/>
  <c r="Q132" i="1"/>
  <c r="P132" i="1"/>
  <c r="K132" i="1"/>
  <c r="I132" i="1"/>
  <c r="S132" i="1" s="1"/>
  <c r="S131" i="1"/>
  <c r="Q131" i="1"/>
  <c r="P131" i="1"/>
  <c r="K131" i="1"/>
  <c r="I131" i="1"/>
  <c r="Q130" i="1"/>
  <c r="P130" i="1"/>
  <c r="K130" i="1"/>
  <c r="I130" i="1"/>
  <c r="S129" i="1"/>
  <c r="Q129" i="1"/>
  <c r="P129" i="1"/>
  <c r="O129" i="1"/>
  <c r="R129" i="1" s="1"/>
  <c r="K129" i="1"/>
  <c r="I129" i="1"/>
  <c r="Q128" i="1"/>
  <c r="P128" i="1"/>
  <c r="K128" i="1"/>
  <c r="I128" i="1"/>
  <c r="S128" i="1" s="1"/>
  <c r="S127" i="1"/>
  <c r="Q127" i="1"/>
  <c r="P127" i="1"/>
  <c r="K127" i="1"/>
  <c r="I127" i="1"/>
  <c r="Q126" i="1"/>
  <c r="P126" i="1"/>
  <c r="K126" i="1"/>
  <c r="I126" i="1"/>
  <c r="O126" i="1" s="1"/>
  <c r="R126" i="1" s="1"/>
  <c r="Q125" i="1"/>
  <c r="P125" i="1"/>
  <c r="O125" i="1"/>
  <c r="R125" i="1" s="1"/>
  <c r="K125" i="1"/>
  <c r="I125" i="1"/>
  <c r="S125" i="1" s="1"/>
  <c r="Q124" i="1"/>
  <c r="P124" i="1"/>
  <c r="K124" i="1"/>
  <c r="I124" i="1"/>
  <c r="Q123" i="1"/>
  <c r="P123" i="1"/>
  <c r="K123" i="1"/>
  <c r="I123" i="1"/>
  <c r="S123" i="1" s="1"/>
  <c r="S122" i="1"/>
  <c r="Q122" i="1"/>
  <c r="P122" i="1"/>
  <c r="K122" i="1"/>
  <c r="I122" i="1"/>
  <c r="O122" i="1" s="1"/>
  <c r="R122" i="1" s="1"/>
  <c r="Q121" i="1"/>
  <c r="P121" i="1"/>
  <c r="K121" i="1"/>
  <c r="I121" i="1"/>
  <c r="S121" i="1" s="1"/>
  <c r="S120" i="1"/>
  <c r="Q120" i="1"/>
  <c r="P120" i="1"/>
  <c r="O120" i="1"/>
  <c r="R120" i="1" s="1"/>
  <c r="K120" i="1"/>
  <c r="I120" i="1"/>
  <c r="Q119" i="1"/>
  <c r="P119" i="1"/>
  <c r="O119" i="1"/>
  <c r="R119" i="1" s="1"/>
  <c r="K119" i="1"/>
  <c r="I119" i="1"/>
  <c r="S119" i="1" s="1"/>
  <c r="S118" i="1"/>
  <c r="Q118" i="1"/>
  <c r="P118" i="1"/>
  <c r="O118" i="1"/>
  <c r="R118" i="1" s="1"/>
  <c r="K118" i="1"/>
  <c r="I118" i="1"/>
  <c r="Q117" i="1"/>
  <c r="P117" i="1"/>
  <c r="K117" i="1"/>
  <c r="I117" i="1"/>
  <c r="Q116" i="1"/>
  <c r="P116" i="1"/>
  <c r="K116" i="1"/>
  <c r="I116" i="1"/>
  <c r="S116" i="1" s="1"/>
  <c r="Q115" i="1"/>
  <c r="P115" i="1"/>
  <c r="O115" i="1"/>
  <c r="R115" i="1" s="1"/>
  <c r="K115" i="1"/>
  <c r="I115" i="1"/>
  <c r="S115" i="1" s="1"/>
  <c r="Q114" i="1"/>
  <c r="P114" i="1"/>
  <c r="K114" i="1"/>
  <c r="I114" i="1"/>
  <c r="S114" i="1" s="1"/>
  <c r="Q113" i="1"/>
  <c r="P113" i="1"/>
  <c r="K113" i="1"/>
  <c r="I113" i="1"/>
  <c r="S112" i="1"/>
  <c r="Q112" i="1"/>
  <c r="P112" i="1"/>
  <c r="O112" i="1"/>
  <c r="R112" i="1" s="1"/>
  <c r="K112" i="1"/>
  <c r="I112" i="1"/>
  <c r="S111" i="1"/>
  <c r="Q111" i="1"/>
  <c r="P111" i="1"/>
  <c r="K111" i="1"/>
  <c r="I111" i="1"/>
  <c r="Q110" i="1"/>
  <c r="P110" i="1"/>
  <c r="O110" i="1"/>
  <c r="R110" i="1" s="1"/>
  <c r="K110" i="1"/>
  <c r="I110" i="1"/>
  <c r="S110" i="1" s="1"/>
  <c r="S109" i="1"/>
  <c r="Q109" i="1"/>
  <c r="P109" i="1"/>
  <c r="K109" i="1"/>
  <c r="I109" i="1"/>
  <c r="O109" i="1" s="1"/>
  <c r="R109" i="1" s="1"/>
  <c r="Q108" i="1"/>
  <c r="P108" i="1"/>
  <c r="K108" i="1"/>
  <c r="I108" i="1"/>
  <c r="S108" i="1" s="1"/>
  <c r="S107" i="1"/>
  <c r="Q107" i="1"/>
  <c r="P107" i="1"/>
  <c r="K107" i="1"/>
  <c r="I107" i="1"/>
  <c r="Q106" i="1"/>
  <c r="P106" i="1"/>
  <c r="O106" i="1"/>
  <c r="R106" i="1" s="1"/>
  <c r="K106" i="1"/>
  <c r="I106" i="1"/>
  <c r="S106" i="1" s="1"/>
  <c r="Q105" i="1"/>
  <c r="P105" i="1"/>
  <c r="K105" i="1"/>
  <c r="I105" i="1"/>
  <c r="S104" i="1"/>
  <c r="Q104" i="1"/>
  <c r="P104" i="1"/>
  <c r="O104" i="1"/>
  <c r="R104" i="1" s="1"/>
  <c r="K104" i="1"/>
  <c r="I104" i="1"/>
  <c r="Q103" i="1"/>
  <c r="P103" i="1"/>
  <c r="K103" i="1"/>
  <c r="I103" i="1"/>
  <c r="O103" i="1" s="1"/>
  <c r="R103" i="1" s="1"/>
  <c r="S102" i="1"/>
  <c r="R102" i="1"/>
  <c r="Q102" i="1"/>
  <c r="P102" i="1"/>
  <c r="K102" i="1"/>
  <c r="I102" i="1"/>
  <c r="O102" i="1" s="1"/>
  <c r="Q101" i="1"/>
  <c r="P101" i="1"/>
  <c r="K101" i="1"/>
  <c r="I101" i="1"/>
  <c r="Q100" i="1"/>
  <c r="P100" i="1"/>
  <c r="K100" i="1"/>
  <c r="I100" i="1"/>
  <c r="S99" i="1"/>
  <c r="Q99" i="1"/>
  <c r="P99" i="1"/>
  <c r="K99" i="1"/>
  <c r="I99" i="1"/>
  <c r="S98" i="1"/>
  <c r="Q98" i="1"/>
  <c r="P98" i="1"/>
  <c r="K98" i="1"/>
  <c r="I98" i="1"/>
  <c r="S97" i="1"/>
  <c r="Q97" i="1"/>
  <c r="P97" i="1"/>
  <c r="K97" i="1"/>
  <c r="I97" i="1"/>
  <c r="S96" i="1"/>
  <c r="Q96" i="1"/>
  <c r="P96" i="1"/>
  <c r="O96" i="1"/>
  <c r="R96" i="1" s="1"/>
  <c r="K96" i="1"/>
  <c r="I96" i="1"/>
  <c r="Q95" i="1"/>
  <c r="P95" i="1"/>
  <c r="K95" i="1"/>
  <c r="I95" i="1"/>
  <c r="S94" i="1"/>
  <c r="Q94" i="1"/>
  <c r="P94" i="1"/>
  <c r="O94" i="1"/>
  <c r="R94" i="1" s="1"/>
  <c r="K94" i="1"/>
  <c r="I94" i="1"/>
  <c r="Q93" i="1"/>
  <c r="P93" i="1"/>
  <c r="K93" i="1"/>
  <c r="I93" i="1"/>
  <c r="S92" i="1"/>
  <c r="Q92" i="1"/>
  <c r="P92" i="1"/>
  <c r="K92" i="1"/>
  <c r="I92" i="1"/>
  <c r="Q91" i="1"/>
  <c r="P91" i="1"/>
  <c r="K91" i="1"/>
  <c r="I91" i="1"/>
  <c r="Q90" i="1"/>
  <c r="P90" i="1"/>
  <c r="K90" i="1"/>
  <c r="I90" i="1"/>
  <c r="S90" i="1" s="1"/>
  <c r="Q89" i="1"/>
  <c r="P89" i="1"/>
  <c r="O89" i="1"/>
  <c r="R89" i="1" s="1"/>
  <c r="K89" i="1"/>
  <c r="I89" i="1"/>
  <c r="Q88" i="1"/>
  <c r="P88" i="1"/>
  <c r="K88" i="1"/>
  <c r="I88" i="1"/>
  <c r="O88" i="1" s="1"/>
  <c r="R88" i="1" s="1"/>
  <c r="S87" i="1"/>
  <c r="Q87" i="1"/>
  <c r="P87" i="1"/>
  <c r="K87" i="1"/>
  <c r="I87" i="1"/>
  <c r="O87" i="1" s="1"/>
  <c r="R87" i="1" s="1"/>
  <c r="Q86" i="1"/>
  <c r="P86" i="1"/>
  <c r="O86" i="1"/>
  <c r="R86" i="1" s="1"/>
  <c r="K86" i="1"/>
  <c r="I86" i="1"/>
  <c r="S86" i="1" s="1"/>
  <c r="Q85" i="1"/>
  <c r="P85" i="1"/>
  <c r="K85" i="1"/>
  <c r="I85" i="1"/>
  <c r="S84" i="1"/>
  <c r="Q84" i="1"/>
  <c r="P84" i="1"/>
  <c r="K84" i="1"/>
  <c r="I84" i="1"/>
  <c r="O84" i="1" s="1"/>
  <c r="R84" i="1" s="1"/>
  <c r="S83" i="1"/>
  <c r="Q83" i="1"/>
  <c r="P83" i="1"/>
  <c r="K83" i="1"/>
  <c r="I83" i="1"/>
  <c r="S82" i="1"/>
  <c r="Q82" i="1"/>
  <c r="P82" i="1"/>
  <c r="K82" i="1"/>
  <c r="I82" i="1"/>
  <c r="S81" i="1"/>
  <c r="Q81" i="1"/>
  <c r="P81" i="1"/>
  <c r="K81" i="1"/>
  <c r="I81" i="1"/>
  <c r="Q80" i="1"/>
  <c r="P80" i="1"/>
  <c r="K80" i="1"/>
  <c r="I80" i="1"/>
  <c r="S80" i="1" s="1"/>
  <c r="S79" i="1"/>
  <c r="Q79" i="1"/>
  <c r="P79" i="1"/>
  <c r="K79" i="1"/>
  <c r="I79" i="1"/>
  <c r="Q78" i="1"/>
  <c r="P78" i="1"/>
  <c r="K78" i="1"/>
  <c r="I78" i="1"/>
  <c r="S77" i="1"/>
  <c r="Q77" i="1"/>
  <c r="P77" i="1"/>
  <c r="O77" i="1"/>
  <c r="R77" i="1" s="1"/>
  <c r="K77" i="1"/>
  <c r="I77" i="1"/>
  <c r="Q76" i="1"/>
  <c r="P76" i="1"/>
  <c r="K76" i="1"/>
  <c r="I76" i="1"/>
  <c r="S76" i="1" s="1"/>
  <c r="S75" i="1"/>
  <c r="Q75" i="1"/>
  <c r="P75" i="1"/>
  <c r="K75" i="1"/>
  <c r="I75" i="1"/>
  <c r="Q74" i="1"/>
  <c r="P74" i="1"/>
  <c r="O74" i="1"/>
  <c r="R74" i="1" s="1"/>
  <c r="K74" i="1"/>
  <c r="I74" i="1"/>
  <c r="S74" i="1" s="1"/>
  <c r="Q73" i="1"/>
  <c r="P73" i="1"/>
  <c r="K73" i="1"/>
  <c r="I73" i="1"/>
  <c r="S72" i="1"/>
  <c r="Q72" i="1"/>
  <c r="P72" i="1"/>
  <c r="K72" i="1"/>
  <c r="I72" i="1"/>
  <c r="O72" i="1" s="1"/>
  <c r="R72" i="1" s="1"/>
  <c r="Q71" i="1"/>
  <c r="P71" i="1"/>
  <c r="K71" i="1"/>
  <c r="I71" i="1"/>
  <c r="O71" i="1" s="1"/>
  <c r="R71" i="1" s="1"/>
  <c r="S70" i="1"/>
  <c r="R70" i="1"/>
  <c r="Q70" i="1"/>
  <c r="P70" i="1"/>
  <c r="K70" i="1"/>
  <c r="I70" i="1"/>
  <c r="O70" i="1" s="1"/>
  <c r="Q69" i="1"/>
  <c r="P69" i="1"/>
  <c r="K69" i="1"/>
  <c r="I69" i="1"/>
  <c r="O69" i="1" s="1"/>
  <c r="R69" i="1" s="1"/>
  <c r="Q68" i="1"/>
  <c r="P68" i="1"/>
  <c r="K68" i="1"/>
  <c r="I68" i="1"/>
  <c r="S67" i="1"/>
  <c r="Q67" i="1"/>
  <c r="P67" i="1"/>
  <c r="K67" i="1"/>
  <c r="I67" i="1"/>
  <c r="S66" i="1"/>
  <c r="Q66" i="1"/>
  <c r="P66" i="1"/>
  <c r="K66" i="1"/>
  <c r="I66" i="1"/>
  <c r="S65" i="1"/>
  <c r="Q65" i="1"/>
  <c r="P65" i="1"/>
  <c r="K65" i="1"/>
  <c r="I65" i="1"/>
  <c r="S64" i="1"/>
  <c r="Q64" i="1"/>
  <c r="P64" i="1"/>
  <c r="K64" i="1"/>
  <c r="I64" i="1"/>
  <c r="Q63" i="1"/>
  <c r="P63" i="1"/>
  <c r="K63" i="1"/>
  <c r="I63" i="1"/>
  <c r="S62" i="1"/>
  <c r="Q62" i="1"/>
  <c r="P62" i="1"/>
  <c r="K62" i="1"/>
  <c r="I62" i="1"/>
  <c r="Q61" i="1"/>
  <c r="P61" i="1"/>
  <c r="K61" i="1"/>
  <c r="I61" i="1"/>
  <c r="S60" i="1"/>
  <c r="Q60" i="1"/>
  <c r="P60" i="1"/>
  <c r="O60" i="1"/>
  <c r="R60" i="1" s="1"/>
  <c r="K60" i="1"/>
  <c r="I60" i="1"/>
  <c r="Q59" i="1"/>
  <c r="P59" i="1"/>
  <c r="K59" i="1"/>
  <c r="I59" i="1"/>
  <c r="S58" i="1"/>
  <c r="Q58" i="1"/>
  <c r="P58" i="1"/>
  <c r="O58" i="1"/>
  <c r="R58" i="1" s="1"/>
  <c r="K58" i="1"/>
  <c r="I58" i="1"/>
  <c r="Q57" i="1"/>
  <c r="P57" i="1"/>
  <c r="K57" i="1"/>
  <c r="I57" i="1"/>
  <c r="Q56" i="1"/>
  <c r="P56" i="1"/>
  <c r="K56" i="1"/>
  <c r="I56" i="1"/>
  <c r="S56" i="1" s="1"/>
  <c r="S55" i="1"/>
  <c r="Q55" i="1"/>
  <c r="P55" i="1"/>
  <c r="K55" i="1"/>
  <c r="I55" i="1"/>
  <c r="O55" i="1" s="1"/>
  <c r="R55" i="1" s="1"/>
  <c r="Q54" i="1"/>
  <c r="P54" i="1"/>
  <c r="K54" i="1"/>
  <c r="I54" i="1"/>
  <c r="S54" i="1" s="1"/>
  <c r="S53" i="1"/>
  <c r="R53" i="1"/>
  <c r="Q53" i="1"/>
  <c r="P53" i="1"/>
  <c r="K53" i="1"/>
  <c r="I53" i="1"/>
  <c r="O53" i="1" s="1"/>
  <c r="Q52" i="1"/>
  <c r="P52" i="1"/>
  <c r="K52" i="1"/>
  <c r="I52" i="1"/>
  <c r="S52" i="1" s="1"/>
  <c r="Q51" i="1"/>
  <c r="P51" i="1"/>
  <c r="K51" i="1"/>
  <c r="I51" i="1"/>
  <c r="Q50" i="1"/>
  <c r="P50" i="1"/>
  <c r="K50" i="1"/>
  <c r="I50" i="1"/>
  <c r="S50" i="1" s="1"/>
  <c r="Q49" i="1"/>
  <c r="P49" i="1"/>
  <c r="K49" i="1"/>
  <c r="I49" i="1"/>
  <c r="S48" i="1"/>
  <c r="Q48" i="1"/>
  <c r="P48" i="1"/>
  <c r="K48" i="1"/>
  <c r="I48" i="1"/>
  <c r="Q47" i="1"/>
  <c r="P47" i="1"/>
  <c r="K47" i="1"/>
  <c r="I47" i="1"/>
  <c r="S46" i="1"/>
  <c r="Q46" i="1"/>
  <c r="P46" i="1"/>
  <c r="K46" i="1"/>
  <c r="I46" i="1"/>
  <c r="O46" i="1" s="1"/>
  <c r="R46" i="1" s="1"/>
  <c r="Q45" i="1"/>
  <c r="P45" i="1"/>
  <c r="K45" i="1"/>
  <c r="I45" i="1"/>
  <c r="O45" i="1" s="1"/>
  <c r="R45" i="1" s="1"/>
  <c r="S44" i="1"/>
  <c r="Q44" i="1"/>
  <c r="P44" i="1"/>
  <c r="K44" i="1"/>
  <c r="I44" i="1"/>
  <c r="Q43" i="1"/>
  <c r="P43" i="1"/>
  <c r="K43" i="1"/>
  <c r="I43" i="1"/>
  <c r="O43" i="1" s="1"/>
  <c r="R43" i="1" s="1"/>
  <c r="S42" i="1"/>
  <c r="Q42" i="1"/>
  <c r="P42" i="1"/>
  <c r="K42" i="1"/>
  <c r="I42" i="1"/>
  <c r="O42" i="1" s="1"/>
  <c r="R42" i="1" s="1"/>
  <c r="Q41" i="1"/>
  <c r="P41" i="1"/>
  <c r="K41" i="1"/>
  <c r="I41" i="1"/>
  <c r="S40" i="1"/>
  <c r="Q40" i="1"/>
  <c r="P40" i="1"/>
  <c r="O40" i="1"/>
  <c r="R40" i="1" s="1"/>
  <c r="K40" i="1"/>
  <c r="I40" i="1"/>
  <c r="Q39" i="1"/>
  <c r="P39" i="1"/>
  <c r="K39" i="1"/>
  <c r="I39" i="1"/>
  <c r="O39" i="1" s="1"/>
  <c r="R39" i="1" s="1"/>
  <c r="S38" i="1"/>
  <c r="Q38" i="1"/>
  <c r="P38" i="1"/>
  <c r="O38" i="1"/>
  <c r="R38" i="1" s="1"/>
  <c r="K38" i="1"/>
  <c r="I38" i="1"/>
  <c r="Q37" i="1"/>
  <c r="P37" i="1"/>
  <c r="O37" i="1"/>
  <c r="R37" i="1" s="1"/>
  <c r="K37" i="1"/>
  <c r="I37" i="1"/>
  <c r="Q36" i="1"/>
  <c r="P36" i="1"/>
  <c r="O36" i="1"/>
  <c r="R36" i="1" s="1"/>
  <c r="K36" i="1"/>
  <c r="I36" i="1"/>
  <c r="S36" i="1" s="1"/>
  <c r="Q35" i="1"/>
  <c r="P35" i="1"/>
  <c r="K35" i="1"/>
  <c r="I35" i="1"/>
  <c r="Q34" i="1"/>
  <c r="P34" i="1"/>
  <c r="K34" i="1"/>
  <c r="I34" i="1"/>
  <c r="S34" i="1" s="1"/>
  <c r="S33" i="1"/>
  <c r="Q33" i="1"/>
  <c r="P33" i="1"/>
  <c r="K33" i="1"/>
  <c r="I33" i="1"/>
  <c r="Q32" i="1"/>
  <c r="P32" i="1"/>
  <c r="K32" i="1"/>
  <c r="I32" i="1"/>
  <c r="S31" i="1"/>
  <c r="Q31" i="1"/>
  <c r="P31" i="1"/>
  <c r="K31" i="1"/>
  <c r="I31" i="1"/>
  <c r="Q30" i="1"/>
  <c r="P30" i="1"/>
  <c r="K30" i="1"/>
  <c r="I30" i="1"/>
  <c r="S29" i="1"/>
  <c r="Q29" i="1"/>
  <c r="P29" i="1"/>
  <c r="O29" i="1"/>
  <c r="R29" i="1" s="1"/>
  <c r="K29" i="1"/>
  <c r="I29" i="1"/>
  <c r="Q28" i="1"/>
  <c r="P28" i="1"/>
  <c r="K28" i="1"/>
  <c r="I28" i="1"/>
  <c r="S28" i="1" s="1"/>
  <c r="S27" i="1"/>
  <c r="Q27" i="1"/>
  <c r="P27" i="1"/>
  <c r="K27" i="1"/>
  <c r="I27" i="1"/>
  <c r="O27" i="1" s="1"/>
  <c r="R27" i="1" s="1"/>
  <c r="Q26" i="1"/>
  <c r="P26" i="1"/>
  <c r="K26" i="1"/>
  <c r="I26" i="1"/>
  <c r="O26" i="1" s="1"/>
  <c r="R26" i="1" s="1"/>
  <c r="S25" i="1"/>
  <c r="Q25" i="1"/>
  <c r="P25" i="1"/>
  <c r="K25" i="1"/>
  <c r="I25" i="1"/>
  <c r="Q24" i="1"/>
  <c r="P24" i="1"/>
  <c r="K24" i="1"/>
  <c r="I24" i="1"/>
  <c r="S24" i="1" s="1"/>
  <c r="S23" i="1"/>
  <c r="Q23" i="1"/>
  <c r="P23" i="1"/>
  <c r="O23" i="1"/>
  <c r="R23" i="1" s="1"/>
  <c r="K23" i="1"/>
  <c r="I23" i="1"/>
  <c r="Q22" i="1"/>
  <c r="P22" i="1"/>
  <c r="K22" i="1"/>
  <c r="I22" i="1"/>
  <c r="S22" i="1" s="1"/>
  <c r="Q21" i="1"/>
  <c r="P21" i="1"/>
  <c r="K21" i="1"/>
  <c r="I21" i="1"/>
  <c r="Q20" i="1"/>
  <c r="P20" i="1"/>
  <c r="O20" i="1"/>
  <c r="R20" i="1" s="1"/>
  <c r="K20" i="1"/>
  <c r="I20" i="1"/>
  <c r="S20" i="1" s="1"/>
  <c r="Q19" i="1"/>
  <c r="P19" i="1"/>
  <c r="K19" i="1"/>
  <c r="I19" i="1"/>
  <c r="S18" i="1"/>
  <c r="Q18" i="1"/>
  <c r="P18" i="1"/>
  <c r="K18" i="1"/>
  <c r="I18" i="1"/>
  <c r="Q17" i="1"/>
  <c r="P17" i="1"/>
  <c r="K17" i="1"/>
  <c r="I17" i="1"/>
  <c r="S16" i="1"/>
  <c r="Q16" i="1"/>
  <c r="P16" i="1"/>
  <c r="K16" i="1"/>
  <c r="I16" i="1"/>
  <c r="Q15" i="1"/>
  <c r="P15" i="1"/>
  <c r="K15" i="1"/>
  <c r="I15" i="1"/>
  <c r="S14" i="1"/>
  <c r="Q14" i="1"/>
  <c r="P14" i="1"/>
  <c r="K14" i="1"/>
  <c r="I14" i="1"/>
  <c r="O14" i="1" s="1"/>
  <c r="R14" i="1" s="1"/>
  <c r="Q13" i="1"/>
  <c r="P13" i="1"/>
  <c r="K13" i="1"/>
  <c r="I13" i="1"/>
  <c r="O13" i="1" s="1"/>
  <c r="R13" i="1" s="1"/>
  <c r="S12" i="1"/>
  <c r="Q12" i="1"/>
  <c r="P12" i="1"/>
  <c r="K12" i="1"/>
  <c r="I12" i="1"/>
  <c r="Q11" i="1"/>
  <c r="P11" i="1"/>
  <c r="K11" i="1"/>
  <c r="I11" i="1"/>
  <c r="S10" i="1"/>
  <c r="Q10" i="1"/>
  <c r="P10" i="1"/>
  <c r="K10" i="1"/>
  <c r="I10" i="1"/>
  <c r="O10" i="1" s="1"/>
  <c r="R10" i="1" s="1"/>
  <c r="Q9" i="1"/>
  <c r="P9" i="1"/>
  <c r="K9" i="1"/>
  <c r="I9" i="1"/>
  <c r="O9" i="1" s="1"/>
  <c r="R9" i="1" s="1"/>
  <c r="S8" i="1"/>
  <c r="Q8" i="1"/>
  <c r="P8" i="1"/>
  <c r="O8" i="1"/>
  <c r="R8" i="1" s="1"/>
  <c r="K8" i="1"/>
  <c r="I8" i="1"/>
  <c r="Q7" i="1"/>
  <c r="P7" i="1"/>
  <c r="K7" i="1"/>
  <c r="I7" i="1"/>
  <c r="O7" i="1" s="1"/>
  <c r="R7" i="1" s="1"/>
  <c r="S6" i="1"/>
  <c r="Q6" i="1"/>
  <c r="P6" i="1"/>
  <c r="O6" i="1"/>
  <c r="R6" i="1" s="1"/>
  <c r="K6" i="1"/>
  <c r="I6" i="1"/>
  <c r="Q5" i="1"/>
  <c r="P5" i="1"/>
  <c r="O5" i="1"/>
  <c r="R5" i="1" s="1"/>
  <c r="K5" i="1"/>
  <c r="I5" i="1"/>
  <c r="Q4" i="1"/>
  <c r="P4" i="1"/>
  <c r="K4" i="1"/>
  <c r="I4" i="1"/>
  <c r="S4" i="1" s="1"/>
  <c r="Q3" i="1"/>
  <c r="P3" i="1"/>
  <c r="O3" i="1"/>
  <c r="R3" i="1" s="1"/>
  <c r="K3" i="1"/>
  <c r="I3" i="1"/>
  <c r="Q2" i="1"/>
  <c r="P2" i="1"/>
  <c r="O2" i="1"/>
  <c r="R2" i="1" s="1"/>
  <c r="N2" i="1"/>
  <c r="K2" i="1"/>
  <c r="I2" i="1"/>
  <c r="S2" i="1" s="1"/>
  <c r="O127" i="1" l="1"/>
  <c r="R127" i="1" s="1"/>
  <c r="O403" i="1"/>
  <c r="R403" i="1" s="1"/>
  <c r="O415" i="1"/>
  <c r="R415" i="1" s="1"/>
  <c r="O353" i="1"/>
  <c r="R353" i="1" s="1"/>
  <c r="O240" i="1"/>
  <c r="R240" i="1" s="1"/>
  <c r="O1154" i="1"/>
  <c r="R1154" i="1" s="1"/>
  <c r="O175" i="1"/>
  <c r="R175" i="1" s="1"/>
  <c r="O977" i="1"/>
  <c r="R977" i="1" s="1"/>
  <c r="O1632" i="1"/>
  <c r="R1632" i="1" s="1"/>
  <c r="O433" i="1"/>
  <c r="R433" i="1" s="1"/>
  <c r="O67" i="1"/>
  <c r="R67" i="1" s="1"/>
  <c r="O575" i="1"/>
  <c r="R575" i="1" s="1"/>
  <c r="O1041" i="1"/>
  <c r="R1041" i="1" s="1"/>
  <c r="O723" i="1"/>
  <c r="R723" i="1" s="1"/>
  <c r="O1425" i="1"/>
  <c r="R1425" i="1" s="1"/>
  <c r="O81" i="1"/>
  <c r="R81" i="1" s="1"/>
  <c r="O210" i="1"/>
  <c r="R210" i="1" s="1"/>
  <c r="O321" i="1"/>
  <c r="R321" i="1" s="1"/>
  <c r="O351" i="1"/>
  <c r="R351" i="1" s="1"/>
  <c r="O385" i="1"/>
  <c r="R385" i="1" s="1"/>
  <c r="O625" i="1"/>
  <c r="R625" i="1" s="1"/>
  <c r="O931" i="1"/>
  <c r="R931" i="1" s="1"/>
  <c r="O1442" i="1"/>
  <c r="R1442" i="1" s="1"/>
  <c r="O83" i="1"/>
  <c r="R83" i="1" s="1"/>
  <c r="O513" i="1"/>
  <c r="R513" i="1" s="1"/>
  <c r="O33" i="1"/>
  <c r="R33" i="1" s="1"/>
  <c r="O16" i="1"/>
  <c r="R16" i="1" s="1"/>
  <c r="O145" i="1"/>
  <c r="R145" i="1" s="1"/>
  <c r="O176" i="1"/>
  <c r="R176" i="1" s="1"/>
  <c r="O527" i="1"/>
  <c r="R527" i="1" s="1"/>
  <c r="O545" i="1"/>
  <c r="R545" i="1" s="1"/>
  <c r="O335" i="1"/>
  <c r="R335" i="1" s="1"/>
  <c r="O64" i="1"/>
  <c r="R64" i="1" s="1"/>
  <c r="O607" i="1"/>
  <c r="R607" i="1" s="1"/>
  <c r="O1234" i="1"/>
  <c r="R1234" i="1" s="1"/>
  <c r="O1393" i="1"/>
  <c r="R1393" i="1" s="1"/>
  <c r="O66" i="1"/>
  <c r="R66" i="1" s="1"/>
  <c r="O158" i="1"/>
  <c r="R158" i="1" s="1"/>
  <c r="O192" i="1"/>
  <c r="R192" i="1" s="1"/>
  <c r="O235" i="1"/>
  <c r="R235" i="1" s="1"/>
  <c r="O497" i="1"/>
  <c r="R497" i="1" s="1"/>
  <c r="O639" i="1"/>
  <c r="R639" i="1" s="1"/>
  <c r="O719" i="1"/>
  <c r="R719" i="1" s="1"/>
  <c r="O910" i="1"/>
  <c r="R910" i="1" s="1"/>
  <c r="O1264" i="1"/>
  <c r="R1264" i="1" s="1"/>
  <c r="O1344" i="1"/>
  <c r="R1344" i="1" s="1"/>
  <c r="O1580" i="1"/>
  <c r="R1580" i="1" s="1"/>
  <c r="O113" i="1"/>
  <c r="R113" i="1" s="1"/>
  <c r="O169" i="1"/>
  <c r="R169" i="1" s="1"/>
  <c r="O190" i="1"/>
  <c r="R190" i="1" s="1"/>
  <c r="O203" i="1"/>
  <c r="R203" i="1" s="1"/>
  <c r="O286" i="1"/>
  <c r="R286" i="1" s="1"/>
  <c r="O339" i="1"/>
  <c r="R339" i="1" s="1"/>
  <c r="O363" i="1"/>
  <c r="R363" i="1" s="1"/>
  <c r="O401" i="1"/>
  <c r="R401" i="1" s="1"/>
  <c r="O667" i="1"/>
  <c r="R667" i="1" s="1"/>
  <c r="O971" i="1"/>
  <c r="R971" i="1" s="1"/>
  <c r="O1073" i="1"/>
  <c r="R1073" i="1" s="1"/>
  <c r="O1107" i="1"/>
  <c r="R1107" i="1" s="1"/>
  <c r="O1123" i="1"/>
  <c r="R1123" i="1" s="1"/>
  <c r="O1256" i="1"/>
  <c r="R1256" i="1" s="1"/>
  <c r="O1304" i="1"/>
  <c r="R1304" i="1" s="1"/>
  <c r="O1458" i="1"/>
  <c r="R1458" i="1" s="1"/>
  <c r="O31" i="1"/>
  <c r="R31" i="1" s="1"/>
  <c r="O257" i="1"/>
  <c r="R257" i="1" s="1"/>
  <c r="O369" i="1"/>
  <c r="R369" i="1" s="1"/>
  <c r="O481" i="1"/>
  <c r="R481" i="1" s="1"/>
  <c r="O673" i="1"/>
  <c r="R673" i="1" s="1"/>
  <c r="O689" i="1"/>
  <c r="R689" i="1" s="1"/>
  <c r="O11" i="1"/>
  <c r="R11" i="1" s="1"/>
  <c r="O41" i="1"/>
  <c r="R41" i="1" s="1"/>
  <c r="O160" i="1"/>
  <c r="R160" i="1" s="1"/>
  <c r="O254" i="1"/>
  <c r="R254" i="1" s="1"/>
  <c r="O764" i="1"/>
  <c r="R764" i="1" s="1"/>
  <c r="O961" i="1"/>
  <c r="R961" i="1" s="1"/>
  <c r="O985" i="1"/>
  <c r="R985" i="1" s="1"/>
  <c r="O1145" i="1"/>
  <c r="R1145" i="1" s="1"/>
  <c r="O1353" i="1"/>
  <c r="R1353" i="1" s="1"/>
  <c r="O1378" i="1"/>
  <c r="R1378" i="1" s="1"/>
  <c r="O1640" i="1"/>
  <c r="R1640" i="1" s="1"/>
  <c r="O98" i="1"/>
  <c r="R98" i="1" s="1"/>
  <c r="O111" i="1"/>
  <c r="R111" i="1" s="1"/>
  <c r="O131" i="1"/>
  <c r="R131" i="1" s="1"/>
  <c r="O399" i="1"/>
  <c r="R399" i="1" s="1"/>
  <c r="O411" i="1"/>
  <c r="R411" i="1" s="1"/>
  <c r="O561" i="1"/>
  <c r="R561" i="1" s="1"/>
  <c r="O641" i="1"/>
  <c r="R641" i="1" s="1"/>
  <c r="O1003" i="1"/>
  <c r="R1003" i="1" s="1"/>
  <c r="O1009" i="1"/>
  <c r="R1009" i="1" s="1"/>
  <c r="O1081" i="1"/>
  <c r="R1081" i="1" s="1"/>
  <c r="O1455" i="1"/>
  <c r="R1455" i="1" s="1"/>
  <c r="O48" i="1"/>
  <c r="R48" i="1" s="1"/>
  <c r="O65" i="1"/>
  <c r="R65" i="1" s="1"/>
  <c r="O124" i="1"/>
  <c r="R124" i="1" s="1"/>
  <c r="O274" i="1"/>
  <c r="R274" i="1" s="1"/>
  <c r="O579" i="1"/>
  <c r="R579" i="1" s="1"/>
  <c r="O623" i="1"/>
  <c r="R623" i="1" s="1"/>
  <c r="O721" i="1"/>
  <c r="R721" i="1" s="1"/>
  <c r="O1025" i="1"/>
  <c r="R1025" i="1" s="1"/>
  <c r="O1184" i="1"/>
  <c r="R1184" i="1" s="1"/>
  <c r="O195" i="1"/>
  <c r="R195" i="1" s="1"/>
  <c r="O201" i="1"/>
  <c r="R201" i="1" s="1"/>
  <c r="O297" i="1"/>
  <c r="R297" i="1" s="1"/>
  <c r="O511" i="1"/>
  <c r="R511" i="1" s="1"/>
  <c r="O1121" i="1"/>
  <c r="R1121" i="1" s="1"/>
  <c r="O208" i="1"/>
  <c r="R208" i="1" s="1"/>
  <c r="O304" i="1"/>
  <c r="R304" i="1" s="1"/>
  <c r="O323" i="1"/>
  <c r="R323" i="1" s="1"/>
  <c r="O367" i="1"/>
  <c r="R367" i="1" s="1"/>
  <c r="O447" i="1"/>
  <c r="R447" i="1" s="1"/>
  <c r="O529" i="1"/>
  <c r="R529" i="1" s="1"/>
  <c r="O591" i="1"/>
  <c r="R591" i="1" s="1"/>
  <c r="O671" i="1"/>
  <c r="R671" i="1" s="1"/>
  <c r="O687" i="1"/>
  <c r="R687" i="1" s="1"/>
  <c r="O1105" i="1"/>
  <c r="R1105" i="1" s="1"/>
  <c r="O1552" i="1"/>
  <c r="R1552" i="1" s="1"/>
  <c r="O174" i="1"/>
  <c r="R174" i="1" s="1"/>
  <c r="O281" i="1"/>
  <c r="R281" i="1" s="1"/>
  <c r="O609" i="1"/>
  <c r="R609" i="1" s="1"/>
  <c r="O1057" i="1"/>
  <c r="R1057" i="1" s="1"/>
  <c r="O1131" i="1"/>
  <c r="R1131" i="1" s="1"/>
  <c r="O1600" i="1"/>
  <c r="R1600" i="1" s="1"/>
  <c r="S30" i="1"/>
  <c r="O30" i="1"/>
  <c r="R30" i="1" s="1"/>
  <c r="O425" i="1"/>
  <c r="R425" i="1" s="1"/>
  <c r="S684" i="1"/>
  <c r="O684" i="1"/>
  <c r="R684" i="1" s="1"/>
  <c r="O21" i="1"/>
  <c r="R21" i="1" s="1"/>
  <c r="S21" i="1"/>
  <c r="O123" i="1"/>
  <c r="R123" i="1" s="1"/>
  <c r="O136" i="1"/>
  <c r="R136" i="1" s="1"/>
  <c r="S136" i="1"/>
  <c r="O177" i="1"/>
  <c r="R177" i="1" s="1"/>
  <c r="O193" i="1"/>
  <c r="R193" i="1" s="1"/>
  <c r="O209" i="1"/>
  <c r="R209" i="1" s="1"/>
  <c r="S209" i="1"/>
  <c r="O272" i="1"/>
  <c r="R272" i="1" s="1"/>
  <c r="O457" i="1"/>
  <c r="R457" i="1" s="1"/>
  <c r="S505" i="1"/>
  <c r="O505" i="1"/>
  <c r="R505" i="1" s="1"/>
  <c r="S681" i="1"/>
  <c r="O681" i="1"/>
  <c r="R681" i="1" s="1"/>
  <c r="S146" i="1"/>
  <c r="O146" i="1"/>
  <c r="R146" i="1" s="1"/>
  <c r="S1114" i="1"/>
  <c r="O1114" i="1"/>
  <c r="R1114" i="1" s="1"/>
  <c r="O80" i="1"/>
  <c r="R80" i="1" s="1"/>
  <c r="O105" i="1"/>
  <c r="R105" i="1" s="1"/>
  <c r="S105" i="1"/>
  <c r="O377" i="1"/>
  <c r="R377" i="1" s="1"/>
  <c r="O491" i="1"/>
  <c r="R491" i="1" s="1"/>
  <c r="S491" i="1"/>
  <c r="O531" i="1"/>
  <c r="R531" i="1" s="1"/>
  <c r="S531" i="1"/>
  <c r="O577" i="1"/>
  <c r="R577" i="1" s="1"/>
  <c r="S577" i="1"/>
  <c r="O643" i="1"/>
  <c r="R643" i="1" s="1"/>
  <c r="S643" i="1"/>
  <c r="O68" i="1"/>
  <c r="R68" i="1" s="1"/>
  <c r="S68" i="1"/>
  <c r="O417" i="1"/>
  <c r="R417" i="1" s="1"/>
  <c r="S417" i="1"/>
  <c r="S675" i="1"/>
  <c r="O675" i="1"/>
  <c r="R675" i="1" s="1"/>
  <c r="S765" i="1"/>
  <c r="O765" i="1"/>
  <c r="R765" i="1" s="1"/>
  <c r="O838" i="1"/>
  <c r="R838" i="1" s="1"/>
  <c r="S1449" i="1"/>
  <c r="O1449" i="1"/>
  <c r="R1449" i="1" s="1"/>
  <c r="O34" i="1"/>
  <c r="R34" i="1" s="1"/>
  <c r="O49" i="1"/>
  <c r="R49" i="1" s="1"/>
  <c r="S49" i="1"/>
  <c r="O159" i="1"/>
  <c r="R159" i="1" s="1"/>
  <c r="S232" i="1"/>
  <c r="O232" i="1"/>
  <c r="R232" i="1" s="1"/>
  <c r="O449" i="1"/>
  <c r="R449" i="1" s="1"/>
  <c r="S449" i="1"/>
  <c r="S455" i="1"/>
  <c r="O455" i="1"/>
  <c r="R455" i="1" s="1"/>
  <c r="O90" i="1"/>
  <c r="R90" i="1" s="1"/>
  <c r="O248" i="1"/>
  <c r="R248" i="1" s="1"/>
  <c r="S248" i="1"/>
  <c r="S289" i="1"/>
  <c r="O289" i="1"/>
  <c r="R289" i="1" s="1"/>
  <c r="O337" i="1"/>
  <c r="R337" i="1" s="1"/>
  <c r="S337" i="1"/>
  <c r="S563" i="1"/>
  <c r="O563" i="1"/>
  <c r="R563" i="1" s="1"/>
  <c r="O19" i="1"/>
  <c r="R19" i="1" s="1"/>
  <c r="S19" i="1"/>
  <c r="O56" i="1"/>
  <c r="R56" i="1" s="1"/>
  <c r="S629" i="1"/>
  <c r="O629" i="1"/>
  <c r="R629" i="1" s="1"/>
  <c r="O635" i="1"/>
  <c r="R635" i="1" s="1"/>
  <c r="O188" i="1"/>
  <c r="R188" i="1" s="1"/>
  <c r="S188" i="1"/>
  <c r="S302" i="1"/>
  <c r="O302" i="1"/>
  <c r="R302" i="1" s="1"/>
  <c r="O759" i="1"/>
  <c r="R759" i="1" s="1"/>
  <c r="O185" i="1"/>
  <c r="R185" i="1" s="1"/>
  <c r="S185" i="1"/>
  <c r="S407" i="1"/>
  <c r="O407" i="1"/>
  <c r="R407" i="1" s="1"/>
  <c r="S441" i="1"/>
  <c r="O441" i="1"/>
  <c r="R441" i="1" s="1"/>
  <c r="O595" i="1"/>
  <c r="R595" i="1" s="1"/>
  <c r="S699" i="1"/>
  <c r="O699" i="1"/>
  <c r="R699" i="1" s="1"/>
  <c r="S922" i="1"/>
  <c r="O922" i="1"/>
  <c r="R922" i="1" s="1"/>
  <c r="O1237" i="1"/>
  <c r="R1237" i="1" s="1"/>
  <c r="O1246" i="1"/>
  <c r="R1246" i="1" s="1"/>
  <c r="S1246" i="1"/>
  <c r="O32" i="1"/>
  <c r="R32" i="1" s="1"/>
  <c r="S32" i="1"/>
  <c r="O63" i="1"/>
  <c r="R63" i="1" s="1"/>
  <c r="S63" i="1"/>
  <c r="O141" i="1"/>
  <c r="R141" i="1" s="1"/>
  <c r="S141" i="1"/>
  <c r="S198" i="1"/>
  <c r="O198" i="1"/>
  <c r="R198" i="1" s="1"/>
  <c r="O227" i="1"/>
  <c r="R227" i="1" s="1"/>
  <c r="S227" i="1"/>
  <c r="O283" i="1"/>
  <c r="R283" i="1" s="1"/>
  <c r="O299" i="1"/>
  <c r="R299" i="1" s="1"/>
  <c r="S435" i="1"/>
  <c r="O435" i="1"/>
  <c r="R435" i="1" s="1"/>
  <c r="O1040" i="1"/>
  <c r="R1040" i="1" s="1"/>
  <c r="O61" i="1"/>
  <c r="R61" i="1" s="1"/>
  <c r="S61" i="1"/>
  <c r="O95" i="1"/>
  <c r="R95" i="1" s="1"/>
  <c r="S95" i="1"/>
  <c r="S164" i="1"/>
  <c r="O164" i="1"/>
  <c r="R164" i="1" s="1"/>
  <c r="O47" i="1"/>
  <c r="R47" i="1" s="1"/>
  <c r="S47" i="1"/>
  <c r="O100" i="1"/>
  <c r="R100" i="1" s="1"/>
  <c r="S100" i="1"/>
  <c r="O211" i="1"/>
  <c r="R211" i="1" s="1"/>
  <c r="O280" i="1"/>
  <c r="R280" i="1" s="1"/>
  <c r="S280" i="1"/>
  <c r="O327" i="1"/>
  <c r="R327" i="1" s="1"/>
  <c r="S553" i="1"/>
  <c r="O553" i="1"/>
  <c r="R553" i="1" s="1"/>
  <c r="O691" i="1"/>
  <c r="R691" i="1" s="1"/>
  <c r="S691" i="1"/>
  <c r="S1002" i="1"/>
  <c r="O1002" i="1"/>
  <c r="R1002" i="1" s="1"/>
  <c r="O51" i="1"/>
  <c r="R51" i="1" s="1"/>
  <c r="S51" i="1"/>
  <c r="S256" i="1"/>
  <c r="O256" i="1"/>
  <c r="R256" i="1" s="1"/>
  <c r="O619" i="1"/>
  <c r="R619" i="1" s="1"/>
  <c r="S619" i="1"/>
  <c r="S180" i="1"/>
  <c r="O180" i="1"/>
  <c r="R180" i="1" s="1"/>
  <c r="S986" i="1"/>
  <c r="O986" i="1"/>
  <c r="R986" i="1" s="1"/>
  <c r="S996" i="1"/>
  <c r="O996" i="1"/>
  <c r="R996" i="1" s="1"/>
  <c r="O15" i="1"/>
  <c r="R15" i="1" s="1"/>
  <c r="S15" i="1"/>
  <c r="O219" i="1"/>
  <c r="R219" i="1" s="1"/>
  <c r="S219" i="1"/>
  <c r="S251" i="1"/>
  <c r="O251" i="1"/>
  <c r="R251" i="1" s="1"/>
  <c r="O1282" i="1"/>
  <c r="R1282" i="1" s="1"/>
  <c r="S1282" i="1"/>
  <c r="S1292" i="1"/>
  <c r="O1292" i="1"/>
  <c r="R1292" i="1" s="1"/>
  <c r="O216" i="1"/>
  <c r="R216" i="1" s="1"/>
  <c r="O4" i="1"/>
  <c r="R4" i="1" s="1"/>
  <c r="O78" i="1"/>
  <c r="R78" i="1" s="1"/>
  <c r="S78" i="1"/>
  <c r="S305" i="1"/>
  <c r="O305" i="1"/>
  <c r="R305" i="1" s="1"/>
  <c r="S601" i="1"/>
  <c r="O601" i="1"/>
  <c r="R601" i="1" s="1"/>
  <c r="O1043" i="1"/>
  <c r="R1043" i="1" s="1"/>
  <c r="S1043" i="1"/>
  <c r="S1258" i="1"/>
  <c r="O1258" i="1"/>
  <c r="R1258" i="1" s="1"/>
  <c r="S1326" i="1"/>
  <c r="O1326" i="1"/>
  <c r="R1326" i="1" s="1"/>
  <c r="S1333" i="1"/>
  <c r="O1333" i="1"/>
  <c r="R1333" i="1" s="1"/>
  <c r="O73" i="1"/>
  <c r="R73" i="1" s="1"/>
  <c r="S73" i="1"/>
  <c r="S151" i="1"/>
  <c r="O151" i="1"/>
  <c r="R151" i="1" s="1"/>
  <c r="O17" i="1"/>
  <c r="R17" i="1" s="1"/>
  <c r="S17" i="1"/>
  <c r="O85" i="1"/>
  <c r="R85" i="1" s="1"/>
  <c r="S85" i="1"/>
  <c r="O237" i="1"/>
  <c r="R237" i="1" s="1"/>
  <c r="S237" i="1"/>
  <c r="S473" i="1"/>
  <c r="O473" i="1"/>
  <c r="R473" i="1" s="1"/>
  <c r="S585" i="1"/>
  <c r="O585" i="1"/>
  <c r="R585" i="1" s="1"/>
  <c r="O659" i="1"/>
  <c r="R659" i="1" s="1"/>
  <c r="S659" i="1"/>
  <c r="O93" i="1"/>
  <c r="R93" i="1" s="1"/>
  <c r="S93" i="1"/>
  <c r="O116" i="1"/>
  <c r="R116" i="1" s="1"/>
  <c r="O535" i="1"/>
  <c r="R535" i="1" s="1"/>
  <c r="O583" i="1"/>
  <c r="R583" i="1" s="1"/>
  <c r="O633" i="1"/>
  <c r="R633" i="1" s="1"/>
  <c r="O725" i="1"/>
  <c r="R725" i="1" s="1"/>
  <c r="S725" i="1"/>
  <c r="O748" i="1"/>
  <c r="R748" i="1" s="1"/>
  <c r="S757" i="1"/>
  <c r="O757" i="1"/>
  <c r="R757" i="1" s="1"/>
  <c r="S804" i="1"/>
  <c r="O804" i="1"/>
  <c r="R804" i="1" s="1"/>
  <c r="O938" i="1"/>
  <c r="R938" i="1" s="1"/>
  <c r="O1232" i="1"/>
  <c r="R1232" i="1" s="1"/>
  <c r="S1652" i="1"/>
  <c r="O1652" i="1"/>
  <c r="R1652" i="1" s="1"/>
  <c r="O24" i="1"/>
  <c r="R24" i="1" s="1"/>
  <c r="O52" i="1"/>
  <c r="R52" i="1" s="1"/>
  <c r="O101" i="1"/>
  <c r="R101" i="1" s="1"/>
  <c r="S101" i="1"/>
  <c r="S113" i="1"/>
  <c r="O173" i="1"/>
  <c r="R173" i="1" s="1"/>
  <c r="S173" i="1"/>
  <c r="O270" i="1"/>
  <c r="R270" i="1" s="1"/>
  <c r="O375" i="1"/>
  <c r="R375" i="1" s="1"/>
  <c r="O551" i="1"/>
  <c r="R551" i="1" s="1"/>
  <c r="S599" i="1"/>
  <c r="O599" i="1"/>
  <c r="R599" i="1" s="1"/>
  <c r="S682" i="1"/>
  <c r="O682" i="1"/>
  <c r="R682" i="1" s="1"/>
  <c r="O740" i="1"/>
  <c r="R740" i="1" s="1"/>
  <c r="S812" i="1"/>
  <c r="O812" i="1"/>
  <c r="R812" i="1" s="1"/>
  <c r="O1061" i="1"/>
  <c r="R1061" i="1" s="1"/>
  <c r="S1061" i="1"/>
  <c r="S1074" i="1"/>
  <c r="O1074" i="1"/>
  <c r="R1074" i="1" s="1"/>
  <c r="S1152" i="1"/>
  <c r="O1152" i="1"/>
  <c r="R1152" i="1" s="1"/>
  <c r="O1196" i="1"/>
  <c r="R1196" i="1" s="1"/>
  <c r="S1226" i="1"/>
  <c r="O1226" i="1"/>
  <c r="R1226" i="1" s="1"/>
  <c r="S1611" i="1"/>
  <c r="O1611" i="1"/>
  <c r="R1611" i="1" s="1"/>
  <c r="S1642" i="1"/>
  <c r="O1642" i="1"/>
  <c r="R1642" i="1" s="1"/>
  <c r="S1656" i="1"/>
  <c r="O1656" i="1"/>
  <c r="R1656" i="1" s="1"/>
  <c r="O22" i="1"/>
  <c r="R22" i="1" s="1"/>
  <c r="O57" i="1"/>
  <c r="R57" i="1" s="1"/>
  <c r="S57" i="1"/>
  <c r="O91" i="1"/>
  <c r="R91" i="1" s="1"/>
  <c r="S91" i="1"/>
  <c r="S126" i="1"/>
  <c r="O134" i="1"/>
  <c r="R134" i="1" s="1"/>
  <c r="O139" i="1"/>
  <c r="R139" i="1" s="1"/>
  <c r="S167" i="1"/>
  <c r="S175" i="1"/>
  <c r="S189" i="1"/>
  <c r="O189" i="1"/>
  <c r="R189" i="1" s="1"/>
  <c r="O207" i="1"/>
  <c r="R207" i="1" s="1"/>
  <c r="O225" i="1"/>
  <c r="R225" i="1" s="1"/>
  <c r="S235" i="1"/>
  <c r="S241" i="1"/>
  <c r="O241" i="1"/>
  <c r="R241" i="1" s="1"/>
  <c r="O292" i="1"/>
  <c r="R292" i="1" s="1"/>
  <c r="O306" i="1"/>
  <c r="R306" i="1" s="1"/>
  <c r="S369" i="1"/>
  <c r="S405" i="1"/>
  <c r="O405" i="1"/>
  <c r="R405" i="1" s="1"/>
  <c r="S433" i="1"/>
  <c r="O487" i="1"/>
  <c r="R487" i="1" s="1"/>
  <c r="S545" i="1"/>
  <c r="O663" i="1"/>
  <c r="R663" i="1" s="1"/>
  <c r="O898" i="1"/>
  <c r="R898" i="1" s="1"/>
  <c r="S1178" i="1"/>
  <c r="O1178" i="1"/>
  <c r="R1178" i="1" s="1"/>
  <c r="O1193" i="1"/>
  <c r="R1193" i="1" s="1"/>
  <c r="S1482" i="1"/>
  <c r="O1482" i="1"/>
  <c r="R1482" i="1" s="1"/>
  <c r="S1521" i="1"/>
  <c r="O1521" i="1"/>
  <c r="R1521" i="1" s="1"/>
  <c r="S569" i="1"/>
  <c r="O569" i="1"/>
  <c r="R569" i="1" s="1"/>
  <c r="S745" i="1"/>
  <c r="O745" i="1"/>
  <c r="R745" i="1" s="1"/>
  <c r="S751" i="1"/>
  <c r="O751" i="1"/>
  <c r="R751" i="1" s="1"/>
  <c r="S836" i="1"/>
  <c r="O836" i="1"/>
  <c r="R836" i="1" s="1"/>
  <c r="S846" i="1"/>
  <c r="O846" i="1"/>
  <c r="R846" i="1" s="1"/>
  <c r="S941" i="1"/>
  <c r="O941" i="1"/>
  <c r="R941" i="1" s="1"/>
  <c r="S1219" i="1"/>
  <c r="O1219" i="1"/>
  <c r="R1219" i="1" s="1"/>
  <c r="S1235" i="1"/>
  <c r="O1235" i="1"/>
  <c r="R1235" i="1" s="1"/>
  <c r="S772" i="1"/>
  <c r="O772" i="1"/>
  <c r="R772" i="1" s="1"/>
  <c r="S868" i="1"/>
  <c r="O868" i="1"/>
  <c r="R868" i="1" s="1"/>
  <c r="O1077" i="1"/>
  <c r="R1077" i="1" s="1"/>
  <c r="S1077" i="1"/>
  <c r="S1177" i="1"/>
  <c r="O1177" i="1"/>
  <c r="R1177" i="1" s="1"/>
  <c r="S1216" i="1"/>
  <c r="O1216" i="1"/>
  <c r="R1216" i="1" s="1"/>
  <c r="S1423" i="1"/>
  <c r="O1423" i="1"/>
  <c r="R1423" i="1" s="1"/>
  <c r="S1631" i="1"/>
  <c r="O1631" i="1"/>
  <c r="R1631" i="1" s="1"/>
  <c r="O54" i="1"/>
  <c r="R54" i="1" s="1"/>
  <c r="O108" i="1"/>
  <c r="R108" i="1" s="1"/>
  <c r="O157" i="1"/>
  <c r="R157" i="1" s="1"/>
  <c r="O294" i="1"/>
  <c r="R294" i="1" s="1"/>
  <c r="O423" i="1"/>
  <c r="R423" i="1" s="1"/>
  <c r="O593" i="1"/>
  <c r="R593" i="1" s="1"/>
  <c r="S593" i="1"/>
  <c r="O814" i="1"/>
  <c r="R814" i="1" s="1"/>
  <c r="O987" i="1"/>
  <c r="R987" i="1" s="1"/>
  <c r="S987" i="1"/>
  <c r="O1584" i="1"/>
  <c r="R1584" i="1" s="1"/>
  <c r="S1584" i="1"/>
  <c r="O1638" i="1"/>
  <c r="R1638" i="1" s="1"/>
  <c r="S1638" i="1"/>
  <c r="O152" i="1"/>
  <c r="R152" i="1" s="1"/>
  <c r="O170" i="1"/>
  <c r="R170" i="1" s="1"/>
  <c r="S194" i="1"/>
  <c r="O194" i="1"/>
  <c r="R194" i="1" s="1"/>
  <c r="S249" i="1"/>
  <c r="O249" i="1"/>
  <c r="R249" i="1" s="1"/>
  <c r="S273" i="1"/>
  <c r="O273" i="1"/>
  <c r="R273" i="1" s="1"/>
  <c r="O311" i="1"/>
  <c r="R311" i="1" s="1"/>
  <c r="O359" i="1"/>
  <c r="R359" i="1" s="1"/>
  <c r="S45" i="1"/>
  <c r="S71" i="1"/>
  <c r="S103" i="1"/>
  <c r="S281" i="1"/>
  <c r="S314" i="1"/>
  <c r="S844" i="1"/>
  <c r="O844" i="1"/>
  <c r="R844" i="1" s="1"/>
  <c r="S1558" i="1"/>
  <c r="O1558" i="1"/>
  <c r="R1558" i="1" s="1"/>
  <c r="S11" i="1"/>
  <c r="S43" i="1"/>
  <c r="S88" i="1"/>
  <c r="O205" i="1"/>
  <c r="R205" i="1" s="1"/>
  <c r="S205" i="1"/>
  <c r="S222" i="1"/>
  <c r="S290" i="1"/>
  <c r="O290" i="1"/>
  <c r="R290" i="1" s="1"/>
  <c r="S497" i="1"/>
  <c r="S533" i="1"/>
  <c r="O533" i="1"/>
  <c r="R533" i="1" s="1"/>
  <c r="S561" i="1"/>
  <c r="S673" i="1"/>
  <c r="S1058" i="1"/>
  <c r="O1058" i="1"/>
  <c r="R1058" i="1" s="1"/>
  <c r="S1492" i="1"/>
  <c r="O1492" i="1"/>
  <c r="R1492" i="1" s="1"/>
  <c r="S9" i="1"/>
  <c r="S26" i="1"/>
  <c r="S41" i="1"/>
  <c r="S117" i="1"/>
  <c r="O117" i="1"/>
  <c r="R117" i="1" s="1"/>
  <c r="O132" i="1"/>
  <c r="R132" i="1" s="1"/>
  <c r="S160" i="1"/>
  <c r="O168" i="1"/>
  <c r="R168" i="1" s="1"/>
  <c r="O184" i="1"/>
  <c r="R184" i="1" s="1"/>
  <c r="S223" i="1"/>
  <c r="O223" i="1"/>
  <c r="R223" i="1" s="1"/>
  <c r="S247" i="1"/>
  <c r="O247" i="1"/>
  <c r="R247" i="1" s="1"/>
  <c r="S271" i="1"/>
  <c r="O271" i="1"/>
  <c r="R271" i="1" s="1"/>
  <c r="O357" i="1"/>
  <c r="R357" i="1" s="1"/>
  <c r="S373" i="1"/>
  <c r="O373" i="1"/>
  <c r="R373" i="1" s="1"/>
  <c r="O437" i="1"/>
  <c r="R437" i="1" s="1"/>
  <c r="O631" i="1"/>
  <c r="R631" i="1" s="1"/>
  <c r="S713" i="1"/>
  <c r="O713" i="1"/>
  <c r="R713" i="1" s="1"/>
  <c r="S738" i="1"/>
  <c r="O738" i="1"/>
  <c r="R738" i="1" s="1"/>
  <c r="S770" i="1"/>
  <c r="O770" i="1"/>
  <c r="R770" i="1" s="1"/>
  <c r="S1052" i="1"/>
  <c r="O1052" i="1"/>
  <c r="R1052" i="1" s="1"/>
  <c r="S1396" i="1"/>
  <c r="O1396" i="1"/>
  <c r="R1396" i="1" s="1"/>
  <c r="S1479" i="1"/>
  <c r="O1479" i="1"/>
  <c r="R1479" i="1" s="1"/>
  <c r="O465" i="1"/>
  <c r="R465" i="1" s="1"/>
  <c r="S465" i="1"/>
  <c r="O59" i="1"/>
  <c r="R59" i="1" s="1"/>
  <c r="S59" i="1"/>
  <c r="O76" i="1"/>
  <c r="R76" i="1" s="1"/>
  <c r="S834" i="1"/>
  <c r="O834" i="1"/>
  <c r="R834" i="1" s="1"/>
  <c r="S1653" i="1"/>
  <c r="O1653" i="1"/>
  <c r="R1653" i="1" s="1"/>
  <c r="S7" i="1"/>
  <c r="S39" i="1"/>
  <c r="S69" i="1"/>
  <c r="S124" i="1"/>
  <c r="S258" i="1"/>
  <c r="O258" i="1"/>
  <c r="R258" i="1" s="1"/>
  <c r="O315" i="1"/>
  <c r="R315" i="1" s="1"/>
  <c r="O389" i="1"/>
  <c r="R389" i="1" s="1"/>
  <c r="S625" i="1"/>
  <c r="S661" i="1"/>
  <c r="O661" i="1"/>
  <c r="R661" i="1" s="1"/>
  <c r="O858" i="1"/>
  <c r="R858" i="1" s="1"/>
  <c r="S858" i="1"/>
  <c r="S872" i="1"/>
  <c r="O872" i="1"/>
  <c r="R872" i="1" s="1"/>
  <c r="S1476" i="1"/>
  <c r="O1476" i="1"/>
  <c r="R1476" i="1" s="1"/>
  <c r="O1536" i="1"/>
  <c r="R1536" i="1" s="1"/>
  <c r="S1536" i="1"/>
  <c r="S343" i="1"/>
  <c r="O343" i="1"/>
  <c r="R343" i="1" s="1"/>
  <c r="O28" i="1"/>
  <c r="R28" i="1" s="1"/>
  <c r="O121" i="1"/>
  <c r="R121" i="1" s="1"/>
  <c r="O191" i="1"/>
  <c r="R191" i="1" s="1"/>
  <c r="O204" i="1"/>
  <c r="R204" i="1" s="1"/>
  <c r="S471" i="1"/>
  <c r="O471" i="1"/>
  <c r="R471" i="1" s="1"/>
  <c r="S13" i="1"/>
  <c r="S5" i="1"/>
  <c r="S37" i="1"/>
  <c r="S142" i="1"/>
  <c r="O153" i="1"/>
  <c r="R153" i="1" s="1"/>
  <c r="O179" i="1"/>
  <c r="R179" i="1" s="1"/>
  <c r="S228" i="1"/>
  <c r="S252" i="1"/>
  <c r="S307" i="1"/>
  <c r="O307" i="1"/>
  <c r="R307" i="1" s="1"/>
  <c r="O395" i="1"/>
  <c r="R395" i="1" s="1"/>
  <c r="O485" i="1"/>
  <c r="R485" i="1" s="1"/>
  <c r="S501" i="1"/>
  <c r="O501" i="1"/>
  <c r="R501" i="1" s="1"/>
  <c r="O565" i="1"/>
  <c r="R565" i="1" s="1"/>
  <c r="S818" i="1"/>
  <c r="O818" i="1"/>
  <c r="R818" i="1" s="1"/>
  <c r="O888" i="1"/>
  <c r="R888" i="1" s="1"/>
  <c r="S888" i="1"/>
  <c r="S1026" i="1"/>
  <c r="O1026" i="1"/>
  <c r="R1026" i="1" s="1"/>
  <c r="O1319" i="1"/>
  <c r="R1319" i="1" s="1"/>
  <c r="S1319" i="1"/>
  <c r="S1499" i="1"/>
  <c r="O1499" i="1"/>
  <c r="R1499" i="1" s="1"/>
  <c r="S3" i="1"/>
  <c r="S35" i="1"/>
  <c r="S130" i="1"/>
  <c r="O130" i="1"/>
  <c r="R130" i="1" s="1"/>
  <c r="S176" i="1"/>
  <c r="S210" i="1"/>
  <c r="O266" i="1"/>
  <c r="R266" i="1" s="1"/>
  <c r="S288" i="1"/>
  <c r="O288" i="1"/>
  <c r="R288" i="1" s="1"/>
  <c r="S345" i="1"/>
  <c r="O345" i="1"/>
  <c r="R345" i="1" s="1"/>
  <c r="O427" i="1"/>
  <c r="R427" i="1" s="1"/>
  <c r="O443" i="1"/>
  <c r="R443" i="1" s="1"/>
  <c r="O517" i="1"/>
  <c r="R517" i="1" s="1"/>
  <c r="O732" i="1"/>
  <c r="R732" i="1" s="1"/>
  <c r="S732" i="1"/>
  <c r="O1091" i="1"/>
  <c r="R1091" i="1" s="1"/>
  <c r="S1091" i="1"/>
  <c r="S1301" i="1"/>
  <c r="O1301" i="1"/>
  <c r="R1301" i="1" s="1"/>
  <c r="S1354" i="1"/>
  <c r="O1354" i="1"/>
  <c r="R1354" i="1" s="1"/>
  <c r="S798" i="1"/>
  <c r="O798" i="1"/>
  <c r="R798" i="1" s="1"/>
  <c r="S896" i="1"/>
  <c r="O896" i="1"/>
  <c r="R896" i="1" s="1"/>
  <c r="S958" i="1"/>
  <c r="O958" i="1"/>
  <c r="R958" i="1" s="1"/>
  <c r="S990" i="1"/>
  <c r="O990" i="1"/>
  <c r="R990" i="1" s="1"/>
  <c r="S1146" i="1"/>
  <c r="O1146" i="1"/>
  <c r="R1146" i="1" s="1"/>
  <c r="S1571" i="1"/>
  <c r="O1571" i="1"/>
  <c r="R1571" i="1" s="1"/>
  <c r="S1592" i="1"/>
  <c r="O1592" i="1"/>
  <c r="R1592" i="1" s="1"/>
  <c r="O1622" i="1"/>
  <c r="R1622" i="1" s="1"/>
  <c r="S1622" i="1"/>
  <c r="S782" i="1"/>
  <c r="O782" i="1"/>
  <c r="R782" i="1" s="1"/>
  <c r="S1082" i="1"/>
  <c r="O1082" i="1"/>
  <c r="R1082" i="1" s="1"/>
  <c r="S1088" i="1"/>
  <c r="O1088" i="1"/>
  <c r="R1088" i="1" s="1"/>
  <c r="O1407" i="1"/>
  <c r="R1407" i="1" s="1"/>
  <c r="S1407" i="1"/>
  <c r="S1519" i="1"/>
  <c r="O1519" i="1"/>
  <c r="R1519" i="1" s="1"/>
  <c r="S733" i="1"/>
  <c r="O733" i="1"/>
  <c r="R733" i="1" s="1"/>
  <c r="S978" i="1"/>
  <c r="O978" i="1"/>
  <c r="R978" i="1" s="1"/>
  <c r="O1095" i="1"/>
  <c r="R1095" i="1" s="1"/>
  <c r="S1095" i="1"/>
  <c r="S1132" i="1"/>
  <c r="O1132" i="1"/>
  <c r="R1132" i="1" s="1"/>
  <c r="S1417" i="1"/>
  <c r="O1417" i="1"/>
  <c r="R1417" i="1" s="1"/>
  <c r="S1446" i="1"/>
  <c r="O1446" i="1"/>
  <c r="R1446" i="1" s="1"/>
  <c r="O183" i="1"/>
  <c r="R183" i="1" s="1"/>
  <c r="O298" i="1"/>
  <c r="R298" i="1" s="1"/>
  <c r="O313" i="1"/>
  <c r="R313" i="1" s="1"/>
  <c r="S385" i="1"/>
  <c r="O391" i="1"/>
  <c r="R391" i="1" s="1"/>
  <c r="S513" i="1"/>
  <c r="O519" i="1"/>
  <c r="R519" i="1" s="1"/>
  <c r="S641" i="1"/>
  <c r="O647" i="1"/>
  <c r="R647" i="1" s="1"/>
  <c r="S816" i="1"/>
  <c r="O816" i="1"/>
  <c r="R816" i="1" s="1"/>
  <c r="O943" i="1"/>
  <c r="R943" i="1" s="1"/>
  <c r="O1516" i="1"/>
  <c r="R1516" i="1" s="1"/>
  <c r="O1533" i="1"/>
  <c r="R1533" i="1" s="1"/>
  <c r="S89" i="1"/>
  <c r="O226" i="1"/>
  <c r="R226" i="1" s="1"/>
  <c r="S295" i="1"/>
  <c r="O361" i="1"/>
  <c r="R361" i="1" s="1"/>
  <c r="O421" i="1"/>
  <c r="R421" i="1" s="1"/>
  <c r="O489" i="1"/>
  <c r="R489" i="1" s="1"/>
  <c r="O549" i="1"/>
  <c r="R549" i="1" s="1"/>
  <c r="O617" i="1"/>
  <c r="R617" i="1" s="1"/>
  <c r="O677" i="1"/>
  <c r="R677" i="1" s="1"/>
  <c r="O767" i="1"/>
  <c r="R767" i="1" s="1"/>
  <c r="O806" i="1"/>
  <c r="R806" i="1" s="1"/>
  <c r="S1092" i="1"/>
  <c r="O1092" i="1"/>
  <c r="R1092" i="1" s="1"/>
  <c r="S1307" i="1"/>
  <c r="O1307" i="1"/>
  <c r="R1307" i="1" s="1"/>
  <c r="S866" i="1"/>
  <c r="O866" i="1"/>
  <c r="R866" i="1" s="1"/>
  <c r="S926" i="1"/>
  <c r="O926" i="1"/>
  <c r="R926" i="1" s="1"/>
  <c r="S1108" i="1"/>
  <c r="O1108" i="1"/>
  <c r="R1108" i="1" s="1"/>
  <c r="S1147" i="1"/>
  <c r="O1147" i="1"/>
  <c r="R1147" i="1" s="1"/>
  <c r="S1363" i="1"/>
  <c r="O1363" i="1"/>
  <c r="R1363" i="1" s="1"/>
  <c r="S1372" i="1"/>
  <c r="O1372" i="1"/>
  <c r="R1372" i="1" s="1"/>
  <c r="S1399" i="1"/>
  <c r="O1399" i="1"/>
  <c r="R1399" i="1" s="1"/>
  <c r="O697" i="1"/>
  <c r="R697" i="1" s="1"/>
  <c r="S830" i="1"/>
  <c r="O830" i="1"/>
  <c r="R830" i="1" s="1"/>
  <c r="S954" i="1"/>
  <c r="O954" i="1"/>
  <c r="R954" i="1" s="1"/>
  <c r="O1035" i="1"/>
  <c r="R1035" i="1" s="1"/>
  <c r="S1035" i="1"/>
  <c r="S1163" i="1"/>
  <c r="O1163" i="1"/>
  <c r="R1163" i="1" s="1"/>
  <c r="S1369" i="1"/>
  <c r="O1369" i="1"/>
  <c r="R1369" i="1" s="1"/>
  <c r="S1414" i="1"/>
  <c r="O1414" i="1"/>
  <c r="R1414" i="1" s="1"/>
  <c r="S1434" i="1"/>
  <c r="O1434" i="1"/>
  <c r="R1434" i="1" s="1"/>
  <c r="S1513" i="1"/>
  <c r="O1513" i="1"/>
  <c r="R1513" i="1" s="1"/>
  <c r="S1563" i="1"/>
  <c r="O1563" i="1"/>
  <c r="R1563" i="1" s="1"/>
  <c r="S1609" i="1"/>
  <c r="O1609" i="1"/>
  <c r="R1609" i="1" s="1"/>
  <c r="O856" i="1"/>
  <c r="R856" i="1" s="1"/>
  <c r="S856" i="1"/>
  <c r="S894" i="1"/>
  <c r="O894" i="1"/>
  <c r="R894" i="1" s="1"/>
  <c r="S918" i="1"/>
  <c r="O918" i="1"/>
  <c r="R918" i="1" s="1"/>
  <c r="O935" i="1"/>
  <c r="R935" i="1" s="1"/>
  <c r="S935" i="1"/>
  <c r="O963" i="1"/>
  <c r="R963" i="1" s="1"/>
  <c r="S963" i="1"/>
  <c r="S970" i="1"/>
  <c r="O970" i="1"/>
  <c r="R970" i="1" s="1"/>
  <c r="S976" i="1"/>
  <c r="O976" i="1"/>
  <c r="R976" i="1" s="1"/>
  <c r="O1001" i="1"/>
  <c r="R1001" i="1" s="1"/>
  <c r="S1001" i="1"/>
  <c r="S1022" i="1"/>
  <c r="O1022" i="1"/>
  <c r="R1022" i="1" s="1"/>
  <c r="O1097" i="1"/>
  <c r="R1097" i="1" s="1"/>
  <c r="S1097" i="1"/>
  <c r="S1157" i="1"/>
  <c r="O1157" i="1"/>
  <c r="R1157" i="1" s="1"/>
  <c r="S1330" i="1"/>
  <c r="O1330" i="1"/>
  <c r="R1330" i="1" s="1"/>
  <c r="O680" i="1"/>
  <c r="R680" i="1" s="1"/>
  <c r="S763" i="1"/>
  <c r="O763" i="1"/>
  <c r="R763" i="1" s="1"/>
  <c r="O774" i="1"/>
  <c r="R774" i="1" s="1"/>
  <c r="S796" i="1"/>
  <c r="O796" i="1"/>
  <c r="R796" i="1" s="1"/>
  <c r="O810" i="1"/>
  <c r="R810" i="1" s="1"/>
  <c r="O960" i="1"/>
  <c r="R960" i="1" s="1"/>
  <c r="O1013" i="1"/>
  <c r="R1013" i="1" s="1"/>
  <c r="S1013" i="1"/>
  <c r="S1038" i="1"/>
  <c r="O1038" i="1"/>
  <c r="R1038" i="1" s="1"/>
  <c r="S1050" i="1"/>
  <c r="O1050" i="1"/>
  <c r="R1050" i="1" s="1"/>
  <c r="S1100" i="1"/>
  <c r="O1100" i="1"/>
  <c r="R1100" i="1" s="1"/>
  <c r="S1130" i="1"/>
  <c r="O1130" i="1"/>
  <c r="R1130" i="1" s="1"/>
  <c r="O1260" i="1"/>
  <c r="R1260" i="1" s="1"/>
  <c r="S1315" i="1"/>
  <c r="O1315" i="1"/>
  <c r="R1315" i="1" s="1"/>
  <c r="S1346" i="1"/>
  <c r="O1346" i="1"/>
  <c r="R1346" i="1" s="1"/>
  <c r="S1428" i="1"/>
  <c r="O1428" i="1"/>
  <c r="R1428" i="1" s="1"/>
  <c r="S1466" i="1"/>
  <c r="O1466" i="1"/>
  <c r="R1466" i="1" s="1"/>
  <c r="O731" i="1"/>
  <c r="R731" i="1" s="1"/>
  <c r="O734" i="1"/>
  <c r="R734" i="1" s="1"/>
  <c r="S734" i="1"/>
  <c r="O750" i="1"/>
  <c r="R750" i="1" s="1"/>
  <c r="O808" i="1"/>
  <c r="R808" i="1" s="1"/>
  <c r="S828" i="1"/>
  <c r="O828" i="1"/>
  <c r="R828" i="1" s="1"/>
  <c r="O842" i="1"/>
  <c r="R842" i="1" s="1"/>
  <c r="S864" i="1"/>
  <c r="O864" i="1"/>
  <c r="R864" i="1" s="1"/>
  <c r="S876" i="1"/>
  <c r="O1004" i="1"/>
  <c r="R1004" i="1" s="1"/>
  <c r="S1118" i="1"/>
  <c r="O1118" i="1"/>
  <c r="R1118" i="1" s="1"/>
  <c r="O1248" i="1"/>
  <c r="R1248" i="1" s="1"/>
  <c r="S1266" i="1"/>
  <c r="O1266" i="1"/>
  <c r="R1266" i="1" s="1"/>
  <c r="O1278" i="1"/>
  <c r="R1278" i="1" s="1"/>
  <c r="S1278" i="1"/>
  <c r="O1507" i="1"/>
  <c r="R1507" i="1" s="1"/>
  <c r="O1560" i="1"/>
  <c r="R1560" i="1" s="1"/>
  <c r="S1560" i="1"/>
  <c r="S1573" i="1"/>
  <c r="O1573" i="1"/>
  <c r="R1573" i="1" s="1"/>
  <c r="O981" i="1"/>
  <c r="R981" i="1" s="1"/>
  <c r="S981" i="1"/>
  <c r="O1083" i="1"/>
  <c r="R1083" i="1" s="1"/>
  <c r="S1083" i="1"/>
  <c r="O1202" i="1"/>
  <c r="R1202" i="1" s="1"/>
  <c r="S1202" i="1"/>
  <c r="S1391" i="1"/>
  <c r="O1391" i="1"/>
  <c r="R1391" i="1" s="1"/>
  <c r="S1471" i="1"/>
  <c r="O1471" i="1"/>
  <c r="R1471" i="1" s="1"/>
  <c r="S1528" i="1"/>
  <c r="O1528" i="1"/>
  <c r="R1528" i="1" s="1"/>
  <c r="S1576" i="1"/>
  <c r="O1576" i="1"/>
  <c r="R1576" i="1" s="1"/>
  <c r="S1596" i="1"/>
  <c r="O1596" i="1"/>
  <c r="R1596" i="1" s="1"/>
  <c r="S1626" i="1"/>
  <c r="O1626" i="1"/>
  <c r="R1626" i="1" s="1"/>
  <c r="S953" i="1"/>
  <c r="O953" i="1"/>
  <c r="R953" i="1" s="1"/>
  <c r="O1033" i="1"/>
  <c r="R1033" i="1" s="1"/>
  <c r="S1033" i="1"/>
  <c r="S1054" i="1"/>
  <c r="O1054" i="1"/>
  <c r="R1054" i="1" s="1"/>
  <c r="O1093" i="1"/>
  <c r="R1093" i="1" s="1"/>
  <c r="S1093" i="1"/>
  <c r="S781" i="1"/>
  <c r="O781" i="1"/>
  <c r="R781" i="1" s="1"/>
  <c r="O965" i="1"/>
  <c r="R965" i="1" s="1"/>
  <c r="S965" i="1"/>
  <c r="S988" i="1"/>
  <c r="O988" i="1"/>
  <c r="R988" i="1" s="1"/>
  <c r="O1063" i="1"/>
  <c r="R1063" i="1" s="1"/>
  <c r="S1063" i="1"/>
  <c r="S1072" i="1"/>
  <c r="O1072" i="1"/>
  <c r="R1072" i="1" s="1"/>
  <c r="S1116" i="1"/>
  <c r="O1116" i="1"/>
  <c r="R1116" i="1" s="1"/>
  <c r="S1170" i="1"/>
  <c r="O1170" i="1"/>
  <c r="R1170" i="1" s="1"/>
  <c r="S1431" i="1"/>
  <c r="O1431" i="1"/>
  <c r="R1431" i="1" s="1"/>
  <c r="S1456" i="1"/>
  <c r="O1456" i="1"/>
  <c r="R1456" i="1" s="1"/>
  <c r="O1590" i="1"/>
  <c r="R1590" i="1" s="1"/>
  <c r="S1590" i="1"/>
  <c r="O737" i="1"/>
  <c r="R737" i="1" s="1"/>
  <c r="O744" i="1"/>
  <c r="R744" i="1" s="1"/>
  <c r="O776" i="1"/>
  <c r="R776" i="1" s="1"/>
  <c r="O794" i="1"/>
  <c r="R794" i="1" s="1"/>
  <c r="O826" i="1"/>
  <c r="R826" i="1" s="1"/>
  <c r="O900" i="1"/>
  <c r="R900" i="1" s="1"/>
  <c r="O912" i="1"/>
  <c r="R912" i="1" s="1"/>
  <c r="S912" i="1"/>
  <c r="O1015" i="1"/>
  <c r="R1015" i="1" s="1"/>
  <c r="S1015" i="1"/>
  <c r="O1045" i="1"/>
  <c r="R1045" i="1" s="1"/>
  <c r="S1045" i="1"/>
  <c r="S1065" i="1"/>
  <c r="S1577" i="1"/>
  <c r="O1577" i="1"/>
  <c r="R1577" i="1" s="1"/>
  <c r="O761" i="1"/>
  <c r="R761" i="1" s="1"/>
  <c r="O771" i="1"/>
  <c r="R771" i="1" s="1"/>
  <c r="O792" i="1"/>
  <c r="R792" i="1" s="1"/>
  <c r="O824" i="1"/>
  <c r="R824" i="1" s="1"/>
  <c r="O874" i="1"/>
  <c r="R874" i="1" s="1"/>
  <c r="O928" i="1"/>
  <c r="R928" i="1" s="1"/>
  <c r="O936" i="1"/>
  <c r="R936" i="1" s="1"/>
  <c r="O939" i="1"/>
  <c r="R939" i="1" s="1"/>
  <c r="O962" i="1"/>
  <c r="R962" i="1" s="1"/>
  <c r="S974" i="1"/>
  <c r="O974" i="1"/>
  <c r="R974" i="1" s="1"/>
  <c r="S1066" i="1"/>
  <c r="O1066" i="1"/>
  <c r="R1066" i="1" s="1"/>
  <c r="O1102" i="1"/>
  <c r="R1102" i="1" s="1"/>
  <c r="S1155" i="1"/>
  <c r="O1155" i="1"/>
  <c r="R1155" i="1" s="1"/>
  <c r="S1180" i="1"/>
  <c r="O1180" i="1"/>
  <c r="R1180" i="1" s="1"/>
  <c r="S1274" i="1"/>
  <c r="O1274" i="1"/>
  <c r="R1274" i="1" s="1"/>
  <c r="S1289" i="1"/>
  <c r="O1289" i="1"/>
  <c r="R1289" i="1" s="1"/>
  <c r="S1426" i="1"/>
  <c r="O1426" i="1"/>
  <c r="R1426" i="1" s="1"/>
  <c r="S1441" i="1"/>
  <c r="O1441" i="1"/>
  <c r="R1441" i="1" s="1"/>
  <c r="S1481" i="1"/>
  <c r="O1481" i="1"/>
  <c r="R1481" i="1" s="1"/>
  <c r="S1512" i="1"/>
  <c r="O1512" i="1"/>
  <c r="R1512" i="1" s="1"/>
  <c r="S1545" i="1"/>
  <c r="O1545" i="1"/>
  <c r="R1545" i="1" s="1"/>
  <c r="O999" i="1"/>
  <c r="R999" i="1" s="1"/>
  <c r="S999" i="1"/>
  <c r="O1027" i="1"/>
  <c r="R1027" i="1" s="1"/>
  <c r="S1027" i="1"/>
  <c r="O1075" i="1"/>
  <c r="R1075" i="1" s="1"/>
  <c r="S1075" i="1"/>
  <c r="S1150" i="1"/>
  <c r="O1150" i="1"/>
  <c r="R1150" i="1" s="1"/>
  <c r="S1191" i="1"/>
  <c r="O1191" i="1"/>
  <c r="R1191" i="1" s="1"/>
  <c r="S1194" i="1"/>
  <c r="O1194" i="1"/>
  <c r="R1194" i="1" s="1"/>
  <c r="S1299" i="1"/>
  <c r="O1299" i="1"/>
  <c r="R1299" i="1" s="1"/>
  <c r="S1349" i="1"/>
  <c r="O1349" i="1"/>
  <c r="R1349" i="1" s="1"/>
  <c r="O1402" i="1"/>
  <c r="R1402" i="1" s="1"/>
  <c r="S1402" i="1"/>
  <c r="S1587" i="1"/>
  <c r="O1587" i="1"/>
  <c r="R1587" i="1" s="1"/>
  <c r="S1070" i="1"/>
  <c r="O1070" i="1"/>
  <c r="R1070" i="1" s="1"/>
  <c r="S1106" i="1"/>
  <c r="O1106" i="1"/>
  <c r="R1106" i="1" s="1"/>
  <c r="S1287" i="1"/>
  <c r="O1287" i="1"/>
  <c r="R1287" i="1" s="1"/>
  <c r="S1294" i="1"/>
  <c r="O1294" i="1"/>
  <c r="R1294" i="1" s="1"/>
  <c r="S1394" i="1"/>
  <c r="O1394" i="1"/>
  <c r="R1394" i="1" s="1"/>
  <c r="S1505" i="1"/>
  <c r="O1505" i="1"/>
  <c r="R1505" i="1" s="1"/>
  <c r="S950" i="1"/>
  <c r="O950" i="1"/>
  <c r="R950" i="1" s="1"/>
  <c r="S1008" i="1"/>
  <c r="O1008" i="1"/>
  <c r="R1008" i="1" s="1"/>
  <c r="S1028" i="1"/>
  <c r="O1028" i="1"/>
  <c r="R1028" i="1" s="1"/>
  <c r="O1067" i="1"/>
  <c r="R1067" i="1" s="1"/>
  <c r="S1067" i="1"/>
  <c r="S1162" i="1"/>
  <c r="O1162" i="1"/>
  <c r="R1162" i="1" s="1"/>
  <c r="S1379" i="1"/>
  <c r="O1379" i="1"/>
  <c r="R1379" i="1" s="1"/>
  <c r="S1424" i="1"/>
  <c r="O1424" i="1"/>
  <c r="R1424" i="1" s="1"/>
  <c r="S1515" i="1"/>
  <c r="O1515" i="1"/>
  <c r="R1515" i="1" s="1"/>
  <c r="O747" i="1"/>
  <c r="R747" i="1" s="1"/>
  <c r="O779" i="1"/>
  <c r="R779" i="1" s="1"/>
  <c r="S956" i="1"/>
  <c r="O956" i="1"/>
  <c r="R956" i="1" s="1"/>
  <c r="O983" i="1"/>
  <c r="R983" i="1" s="1"/>
  <c r="S983" i="1"/>
  <c r="O994" i="1"/>
  <c r="R994" i="1" s="1"/>
  <c r="O997" i="1"/>
  <c r="R997" i="1" s="1"/>
  <c r="S997" i="1"/>
  <c r="O1011" i="1"/>
  <c r="R1011" i="1" s="1"/>
  <c r="S1011" i="1"/>
  <c r="O1017" i="1"/>
  <c r="R1017" i="1" s="1"/>
  <c r="S1017" i="1"/>
  <c r="O1079" i="1"/>
  <c r="R1079" i="1" s="1"/>
  <c r="S1079" i="1"/>
  <c r="O1120" i="1"/>
  <c r="R1120" i="1" s="1"/>
  <c r="O1168" i="1"/>
  <c r="R1168" i="1" s="1"/>
  <c r="S1338" i="1"/>
  <c r="O1338" i="1"/>
  <c r="R1338" i="1" s="1"/>
  <c r="S1356" i="1"/>
  <c r="O1356" i="1"/>
  <c r="R1356" i="1" s="1"/>
  <c r="S1463" i="1"/>
  <c r="O1463" i="1"/>
  <c r="R1463" i="1" s="1"/>
  <c r="O1487" i="1"/>
  <c r="R1487" i="1" s="1"/>
  <c r="O1541" i="1"/>
  <c r="R1541" i="1" s="1"/>
  <c r="S1601" i="1"/>
  <c r="O1601" i="1"/>
  <c r="R1601" i="1" s="1"/>
  <c r="O1604" i="1"/>
  <c r="R1604" i="1" s="1"/>
  <c r="O777" i="1"/>
  <c r="R777" i="1" s="1"/>
  <c r="O945" i="1"/>
  <c r="R945" i="1" s="1"/>
  <c r="S964" i="1"/>
  <c r="O964" i="1"/>
  <c r="R964" i="1" s="1"/>
  <c r="O1056" i="1"/>
  <c r="R1056" i="1" s="1"/>
  <c r="O1076" i="1"/>
  <c r="R1076" i="1" s="1"/>
  <c r="O1084" i="1"/>
  <c r="R1084" i="1" s="1"/>
  <c r="O1221" i="1"/>
  <c r="R1221" i="1" s="1"/>
  <c r="O1230" i="1"/>
  <c r="R1230" i="1" s="1"/>
  <c r="O1291" i="1"/>
  <c r="R1291" i="1" s="1"/>
  <c r="O1553" i="1"/>
  <c r="R1553" i="1" s="1"/>
  <c r="O1059" i="1"/>
  <c r="R1059" i="1" s="1"/>
  <c r="S1059" i="1"/>
  <c r="S1308" i="1"/>
  <c r="O1308" i="1"/>
  <c r="R1308" i="1" s="1"/>
  <c r="O979" i="1"/>
  <c r="R979" i="1" s="1"/>
  <c r="S979" i="1"/>
  <c r="S1018" i="1"/>
  <c r="O1018" i="1"/>
  <c r="R1018" i="1" s="1"/>
  <c r="O1031" i="1"/>
  <c r="R1031" i="1" s="1"/>
  <c r="S1031" i="1"/>
  <c r="S1098" i="1"/>
  <c r="O1098" i="1"/>
  <c r="R1098" i="1" s="1"/>
  <c r="S1269" i="1"/>
  <c r="O1269" i="1"/>
  <c r="R1269" i="1" s="1"/>
  <c r="S1283" i="1"/>
  <c r="O1283" i="1"/>
  <c r="R1283" i="1" s="1"/>
  <c r="S1305" i="1"/>
  <c r="O1305" i="1"/>
  <c r="R1305" i="1" s="1"/>
  <c r="O1432" i="1"/>
  <c r="R1432" i="1" s="1"/>
  <c r="S1432" i="1"/>
  <c r="S1488" i="1"/>
  <c r="O1488" i="1"/>
  <c r="R1488" i="1" s="1"/>
  <c r="O1578" i="1"/>
  <c r="R1578" i="1" s="1"/>
  <c r="S1578" i="1"/>
  <c r="S1593" i="1"/>
  <c r="O1593" i="1"/>
  <c r="R1593" i="1" s="1"/>
  <c r="O995" i="1"/>
  <c r="R995" i="1" s="1"/>
  <c r="S995" i="1"/>
  <c r="S1034" i="1"/>
  <c r="O1034" i="1"/>
  <c r="R1034" i="1" s="1"/>
  <c r="O1047" i="1"/>
  <c r="R1047" i="1" s="1"/>
  <c r="S1047" i="1"/>
  <c r="S1139" i="1"/>
  <c r="O1139" i="1"/>
  <c r="R1139" i="1" s="1"/>
  <c r="S1203" i="1"/>
  <c r="O1203" i="1"/>
  <c r="R1203" i="1" s="1"/>
  <c r="S1225" i="1"/>
  <c r="O1225" i="1"/>
  <c r="R1225" i="1" s="1"/>
  <c r="S1322" i="1"/>
  <c r="O1322" i="1"/>
  <c r="R1322" i="1" s="1"/>
  <c r="S1339" i="1"/>
  <c r="O1339" i="1"/>
  <c r="R1339" i="1" s="1"/>
  <c r="S1531" i="1"/>
  <c r="O1531" i="1"/>
  <c r="R1531" i="1" s="1"/>
  <c r="O967" i="1"/>
  <c r="R967" i="1" s="1"/>
  <c r="S967" i="1"/>
  <c r="O1029" i="1"/>
  <c r="R1029" i="1" s="1"/>
  <c r="S1029" i="1"/>
  <c r="S1344" i="1"/>
  <c r="S1367" i="1"/>
  <c r="O1367" i="1"/>
  <c r="R1367" i="1" s="1"/>
  <c r="S1572" i="1"/>
  <c r="O1572" i="1"/>
  <c r="R1572" i="1" s="1"/>
  <c r="O932" i="1"/>
  <c r="R932" i="1" s="1"/>
  <c r="O937" i="1"/>
  <c r="R937" i="1" s="1"/>
  <c r="S952" i="1"/>
  <c r="O952" i="1"/>
  <c r="R952" i="1" s="1"/>
  <c r="O972" i="1"/>
  <c r="R972" i="1" s="1"/>
  <c r="S1049" i="1"/>
  <c r="O1060" i="1"/>
  <c r="R1060" i="1" s="1"/>
  <c r="O1134" i="1"/>
  <c r="R1134" i="1" s="1"/>
  <c r="S1242" i="1"/>
  <c r="O1242" i="1"/>
  <c r="R1242" i="1" s="1"/>
  <c r="O1328" i="1"/>
  <c r="R1328" i="1" s="1"/>
  <c r="S1331" i="1"/>
  <c r="O1331" i="1"/>
  <c r="R1331" i="1" s="1"/>
  <c r="S1419" i="1"/>
  <c r="O1419" i="1"/>
  <c r="R1419" i="1" s="1"/>
  <c r="S1469" i="1"/>
  <c r="O1469" i="1"/>
  <c r="R1469" i="1" s="1"/>
  <c r="O1616" i="1"/>
  <c r="R1616" i="1" s="1"/>
  <c r="S1616" i="1"/>
  <c r="S1251" i="1"/>
  <c r="O1251" i="1"/>
  <c r="R1251" i="1" s="1"/>
  <c r="S1370" i="1"/>
  <c r="O1370" i="1"/>
  <c r="R1370" i="1" s="1"/>
  <c r="S1383" i="1"/>
  <c r="O1383" i="1"/>
  <c r="R1383" i="1" s="1"/>
  <c r="S1444" i="1"/>
  <c r="O1444" i="1"/>
  <c r="R1444" i="1" s="1"/>
  <c r="S1447" i="1"/>
  <c r="O1447" i="1"/>
  <c r="R1447" i="1" s="1"/>
  <c r="S1514" i="1"/>
  <c r="O1514" i="1"/>
  <c r="R1514" i="1" s="1"/>
  <c r="S1171" i="1"/>
  <c r="O1171" i="1"/>
  <c r="R1171" i="1" s="1"/>
  <c r="S1290" i="1"/>
  <c r="O1290" i="1"/>
  <c r="R1290" i="1" s="1"/>
  <c r="S1389" i="1"/>
  <c r="O1389" i="1"/>
  <c r="R1389" i="1" s="1"/>
  <c r="S1472" i="1"/>
  <c r="O1472" i="1"/>
  <c r="R1472" i="1" s="1"/>
  <c r="S1654" i="1"/>
  <c r="O1654" i="1"/>
  <c r="R1654" i="1" s="1"/>
  <c r="O948" i="1"/>
  <c r="R948" i="1" s="1"/>
  <c r="S1210" i="1"/>
  <c r="O1210" i="1"/>
  <c r="R1210" i="1" s="1"/>
  <c r="O1228" i="1"/>
  <c r="R1228" i="1" s="1"/>
  <c r="S1347" i="1"/>
  <c r="O1347" i="1"/>
  <c r="R1347" i="1" s="1"/>
  <c r="O1416" i="1"/>
  <c r="R1416" i="1" s="1"/>
  <c r="S1497" i="1"/>
  <c r="O1497" i="1"/>
  <c r="R1497" i="1" s="1"/>
  <c r="O1523" i="1"/>
  <c r="R1523" i="1" s="1"/>
  <c r="O1526" i="1"/>
  <c r="R1526" i="1" s="1"/>
  <c r="O1570" i="1"/>
  <c r="R1570" i="1" s="1"/>
  <c r="S1585" i="1"/>
  <c r="O1585" i="1"/>
  <c r="R1585" i="1" s="1"/>
  <c r="S1641" i="1"/>
  <c r="O1641" i="1"/>
  <c r="R1641" i="1" s="1"/>
  <c r="O1644" i="1"/>
  <c r="R1644" i="1" s="1"/>
  <c r="S1267" i="1"/>
  <c r="O1267" i="1"/>
  <c r="R1267" i="1" s="1"/>
  <c r="S1408" i="1"/>
  <c r="O1408" i="1"/>
  <c r="R1408" i="1" s="1"/>
  <c r="O1500" i="1"/>
  <c r="R1500" i="1" s="1"/>
  <c r="S1529" i="1"/>
  <c r="O1529" i="1"/>
  <c r="R1529" i="1" s="1"/>
  <c r="O1579" i="1"/>
  <c r="R1579" i="1" s="1"/>
  <c r="O1603" i="1"/>
  <c r="R1603" i="1" s="1"/>
  <c r="S1651" i="1"/>
  <c r="O1651" i="1"/>
  <c r="R1651" i="1" s="1"/>
  <c r="S1187" i="1"/>
  <c r="O1187" i="1"/>
  <c r="R1187" i="1" s="1"/>
  <c r="S1306" i="1"/>
  <c r="O1306" i="1"/>
  <c r="R1306" i="1" s="1"/>
  <c r="O1433" i="1"/>
  <c r="R1433" i="1" s="1"/>
  <c r="O1532" i="1"/>
  <c r="R1532" i="1" s="1"/>
  <c r="S1532" i="1"/>
  <c r="O1648" i="1"/>
  <c r="R1648" i="1" s="1"/>
  <c r="S1648" i="1"/>
  <c r="O1137" i="1"/>
  <c r="R1137" i="1" s="1"/>
  <c r="O1153" i="1"/>
  <c r="R1153" i="1" s="1"/>
  <c r="O1169" i="1"/>
  <c r="R1169" i="1" s="1"/>
  <c r="O1185" i="1"/>
  <c r="R1185" i="1" s="1"/>
  <c r="O1201" i="1"/>
  <c r="R1201" i="1" s="1"/>
  <c r="O1217" i="1"/>
  <c r="R1217" i="1" s="1"/>
  <c r="O1233" i="1"/>
  <c r="R1233" i="1" s="1"/>
  <c r="O1249" i="1"/>
  <c r="R1249" i="1" s="1"/>
  <c r="O1265" i="1"/>
  <c r="R1265" i="1" s="1"/>
  <c r="O1281" i="1"/>
  <c r="R1281" i="1" s="1"/>
  <c r="O1297" i="1"/>
  <c r="R1297" i="1" s="1"/>
  <c r="O1313" i="1"/>
  <c r="R1313" i="1" s="1"/>
  <c r="O1329" i="1"/>
  <c r="R1329" i="1" s="1"/>
  <c r="O1345" i="1"/>
  <c r="R1345" i="1" s="1"/>
  <c r="O1361" i="1"/>
  <c r="R1361" i="1" s="1"/>
  <c r="O1377" i="1"/>
  <c r="R1377" i="1" s="1"/>
  <c r="O1548" i="1"/>
  <c r="R1548" i="1" s="1"/>
  <c r="O1569" i="1"/>
  <c r="R1569" i="1" s="1"/>
  <c r="O1634" i="1"/>
  <c r="R1634" i="1" s="1"/>
  <c r="S1392" i="1"/>
  <c r="O1392" i="1"/>
  <c r="R1392" i="1" s="1"/>
  <c r="S1629" i="1"/>
  <c r="O1629" i="1"/>
  <c r="R1629" i="1" s="1"/>
  <c r="O1618" i="1"/>
  <c r="R1618" i="1" s="1"/>
  <c r="S1415" i="1"/>
  <c r="O1415" i="1"/>
  <c r="R1415" i="1" s="1"/>
  <c r="S1440" i="1"/>
  <c r="O1440" i="1"/>
  <c r="R1440" i="1" s="1"/>
  <c r="O1465" i="1"/>
  <c r="R1465" i="1" s="1"/>
  <c r="O1535" i="1"/>
  <c r="R1535" i="1" s="1"/>
  <c r="O1599" i="1"/>
  <c r="R1599" i="1" s="1"/>
  <c r="O1621" i="1"/>
  <c r="R1621" i="1" s="1"/>
  <c r="S1649" i="1"/>
  <c r="O1649" i="1"/>
  <c r="R1649" i="1" s="1"/>
  <c r="S1561" i="1"/>
  <c r="O1561" i="1"/>
  <c r="R1561" i="1" s="1"/>
  <c r="S1657" i="1"/>
  <c r="O1657" i="1"/>
  <c r="R1657" i="1" s="1"/>
  <c r="S1625" i="1"/>
  <c r="O1625" i="1"/>
  <c r="R1625" i="1" s="1"/>
  <c r="O1647" i="1"/>
  <c r="R1647" i="1" s="1"/>
  <c r="O1525" i="1"/>
  <c r="R1525" i="1" s="1"/>
  <c r="O1537" i="1"/>
  <c r="R1537" i="1" s="1"/>
  <c r="O1549" i="1"/>
  <c r="R1549" i="1" s="1"/>
  <c r="O1554" i="1"/>
  <c r="R1554" i="1" s="1"/>
  <c r="O1620" i="1"/>
  <c r="R1620" i="1" s="1"/>
</calcChain>
</file>

<file path=xl/sharedStrings.xml><?xml version="1.0" encoding="utf-8"?>
<sst xmlns="http://schemas.openxmlformats.org/spreadsheetml/2006/main" count="6814" uniqueCount="118">
  <si>
    <t>Date</t>
  </si>
  <si>
    <t>Month</t>
  </si>
  <si>
    <t>Production Line</t>
  </si>
  <si>
    <t>Shift</t>
  </si>
  <si>
    <t>Product Type</t>
  </si>
  <si>
    <t>Planned Production</t>
  </si>
  <si>
    <t>Actual Production</t>
  </si>
  <si>
    <t>Defective Units</t>
  </si>
  <si>
    <t>Good Units</t>
  </si>
  <si>
    <t>Downtime Minutes</t>
  </si>
  <si>
    <t>Downtime Rate</t>
  </si>
  <si>
    <t>Selling Price per Unit</t>
  </si>
  <si>
    <t>Total Cost</t>
  </si>
  <si>
    <t>Revenue</t>
  </si>
  <si>
    <t>Profit</t>
  </si>
  <si>
    <t>Production Efficiency</t>
  </si>
  <si>
    <t>Defect Rate</t>
  </si>
  <si>
    <t>Profit Margin</t>
  </si>
  <si>
    <t>Cost per Good Unit</t>
  </si>
  <si>
    <t>July</t>
  </si>
  <si>
    <t>Line 1</t>
  </si>
  <si>
    <t>Morning</t>
  </si>
  <si>
    <t>Product B</t>
  </si>
  <si>
    <t>Evening</t>
  </si>
  <si>
    <t>Product C</t>
  </si>
  <si>
    <t>Night</t>
  </si>
  <si>
    <t>Product A</t>
  </si>
  <si>
    <t>Line 2</t>
  </si>
  <si>
    <t>Line 3</t>
  </si>
  <si>
    <t>August</t>
  </si>
  <si>
    <t>September</t>
  </si>
  <si>
    <t>October</t>
  </si>
  <si>
    <t>November</t>
  </si>
  <si>
    <t>December</t>
  </si>
  <si>
    <t>KPI</t>
  </si>
  <si>
    <t>Formula</t>
  </si>
  <si>
    <t>What it tells a manager</t>
  </si>
  <si>
    <t>Actual Production - Defective Units</t>
  </si>
  <si>
    <t>How many units can actually be sold.</t>
  </si>
  <si>
    <t>Actual Production / Planned Production</t>
  </si>
  <si>
    <t>Whether the line met the production target.</t>
  </si>
  <si>
    <t>Defective Units / Actual Production</t>
  </si>
  <si>
    <t>Quality loss and rework/scrap problem.</t>
  </si>
  <si>
    <t>Downtime Minutes / 480</t>
  </si>
  <si>
    <t>How much of an 8-hour shift was lost.</t>
  </si>
  <si>
    <t>Good Units × Selling Price per Unit</t>
  </si>
  <si>
    <t>Money earned from sellable output.</t>
  </si>
  <si>
    <t>Revenue - Total Cost</t>
  </si>
  <si>
    <t>Money left after production cost.</t>
  </si>
  <si>
    <t>Profit / Revenue</t>
  </si>
  <si>
    <t>Share of revenue kept as profit.</t>
  </si>
  <si>
    <t>Total Cost / Good Units</t>
  </si>
  <si>
    <t>Cost efficiency of producing sellable units.</t>
  </si>
  <si>
    <t>Row Labels</t>
  </si>
  <si>
    <t>Grand Total</t>
  </si>
  <si>
    <t>Average of Production Efficiency</t>
  </si>
  <si>
    <t>Key Findings</t>
  </si>
  <si>
    <t>Line 3 has the highest average production efficiency at 94.96%, while Line 2 has the lowest at 88.06%. This suggests Line 2 may have production losses that need further investigation.</t>
  </si>
  <si>
    <t>Average of Downtime Minutes</t>
  </si>
  <si>
    <t>Line 2 has the highest average downtime at 54.83 minutes per shift, which supports the earlier finding that Line 2 has the lowest production efficiency. Downtime is likely a major reason for Line 2’s underperformance.</t>
  </si>
  <si>
    <t>Average of Defect Rate</t>
  </si>
  <si>
    <t>Product B has the highest average defect rate at 5.40%, compared with Product A at 4.20% and Product C at 3.81%. This suggests Product B may require quality/process improvement.</t>
  </si>
  <si>
    <t>Sum of Profit</t>
  </si>
  <si>
    <t>Product A generated the highest total profit at ₺5.83M, closely followed by Product C at ₺5.80M. Product B generated the lowest profit at ₺4.29M, which aligns with its higher defect rate.</t>
  </si>
  <si>
    <t>Line 2 generated the lowest total profit at ₺3.96M, while Line 3 generated the highest at ₺6.28M. This matches the earlier findings: Line 2 has the lowest efficiency and highest downtime, making it the weakest production line financially.</t>
  </si>
  <si>
    <t>Morning shift generated the highest total profit at TRY 5.87M, while Night shift generated the lowest at TRY 4.52M. This suggests night-shift performance may need further investigation, potentially due to lower efficiency, higher defects, or higher downtime.</t>
  </si>
  <si>
    <t>Night shift has the lowest average production efficiency at 89.63%, compared with Morning at 93.71% and Evening at 92.69%. This supports the finding that Night shift generated the lowest total profit.</t>
  </si>
  <si>
    <t>Night shift has the highest average downtime at 46.66 minutes and the lowest efficiency at 89.63%, which likely explains why it generated the lowest total profit.</t>
  </si>
  <si>
    <t>Line</t>
  </si>
  <si>
    <t>The worst line-shift combination is Line 2 during the Night shift, with 61.17 minutes of average downtime per shift. This is likely a key driver behind Line 2’s low efficiency and the Night shift’s weak profitability.</t>
  </si>
  <si>
    <t>Average of Cost per Good Unit</t>
  </si>
  <si>
    <t>Product A appears to be the most attractive product operationally: it has the lowest average cost per good unit at TRY 66.31 and generates the highest total profit at TRY 5.83M. Product C generates almost similar profit at TRY 5.80M, but with a much higher cost per good unit of TRY 90.66, making Product A more cost-efficient.</t>
  </si>
  <si>
    <t>Monthly profit remained fairly stable between July and December, ranging from TRY 2.52M to TRY 2.75M. July had the highest profit, while November had the lowest. There is no major downward trend, but November should be checked for lower efficiency, higher downtime, or higher defects.</t>
  </si>
  <si>
    <t>Average of Profit Margin</t>
  </si>
  <si>
    <t>Operating Minutes</t>
  </si>
  <si>
    <t>Units per Operating Minute</t>
  </si>
  <si>
    <t>Profit per Good Unit</t>
  </si>
  <si>
    <t>Count of Date</t>
  </si>
  <si>
    <t>Average of Profit per Good Unit</t>
  </si>
  <si>
    <t>Current Average Downtime</t>
  </si>
  <si>
    <t>Factory Avg Downtime</t>
  </si>
  <si>
    <t>Recoverable Minutes per Shift</t>
  </si>
  <si>
    <t>Avg Profit per Good Unit</t>
  </si>
  <si>
    <t>Number of Shifts</t>
  </si>
  <si>
    <t>Estimated Recovered Profit</t>
  </si>
  <si>
    <t>Good Units per Operating Minute</t>
  </si>
  <si>
    <t>Average of Good Units per Operating Minute</t>
  </si>
  <si>
    <t>Avg Good Units per Operating Minute</t>
  </si>
  <si>
    <t>Reducing Line 2 Night shift downtime from 61.17 minutes to the factory average of 40.20 minutes could recover approximately TRY 55.7K in profit over the 6-month period. This estimate is based on 20.97 recoverable minutes per shift, 0.86 good units per operating minute, TRY 16.78 profit per good unit, and 184 Line 2 Night shift records.</t>
  </si>
  <si>
    <t>Product C has the highest average profit margin at 27.40%, while Product B has the lowest at 20.95%. Product A remains strongest in total profit and cost efficiency, but Product C is strongest in percentage margin.</t>
  </si>
  <si>
    <t>Production Efficiency &amp; Cost Optimization Dashboard</t>
  </si>
  <si>
    <t>July–December 2026 | 1,656 production records | 3 lines | 3 shifts | 3 products</t>
  </si>
  <si>
    <t>Production Efficiency &amp; Cost Optimization Report</t>
  </si>
  <si>
    <t>July–December 2026 | 1,656 production records | 3 production lines | 3 shifts | 3 product types</t>
  </si>
  <si>
    <t>1. Project Objective</t>
  </si>
  <si>
    <t>2. Dataset Overview</t>
  </si>
  <si>
    <t>Line 2 is the weakest line with the lowest efficiency of 88.06%, highest average downtime of 54.83 minutes, and the lowest profit of TRY 3.96M.</t>
  </si>
  <si>
    <t>Line 3 is the strongest line with the highest efficiency of 94.96%, and the highest profit of TRY 6.28M.</t>
  </si>
  <si>
    <t>Night shift is the weakest shift with the lowest efficiency of 89.63%, highest average downtime of 46.66 minutes, and the lowest profit of TRY 4.52M.</t>
  </si>
  <si>
    <t>The dataset spans over six months from July, 2026 to December, 2026 with a total of 1656 production records inlcuding 3 production lines, 3 shifts, and 3 product types. The major parameters of the analysis include planned production, actual production, defects, downtime, cost, revenue, and profit. The Key Performance Indicators (KPI) are calculated using production efficiency, defect rate, downtime rate, profit margin, and cost per good unit. The analysis was performed using Excel Tables, PivotTables, PivotCharts, and a dashboard.</t>
  </si>
  <si>
    <t>Product B has the highest defect rate of 5.40% while Product A is the best in terms of total profit and cost efficiency and Product C has the highest profit margin of 27.40%</t>
  </si>
  <si>
    <t>3. Key Findings</t>
  </si>
  <si>
    <t>4. Savings Opportunity</t>
  </si>
  <si>
    <t>This project analyzes a simulated dataset to identify potential inefficiencies by focusing on metrics, such as downtime patterns, product defects, cost, revenue, profit, and profit margin over six months from three different product lines and shifts. The goal of the project is to pinpoint the biggest operational bottleneck and estimate potential financial savings from improvement.</t>
  </si>
  <si>
    <t>The savings opportunity focuses on Line 2 Night shift because it has the highest average downtime at 61.17 minutes per shift. This is 20.97 minutes higher than the factory average downtime of 40.20 minutes.
The estimated recovered profit is TRY 55.7K over the 6-month period, based on recoverable minutes, average good units per operating minute, average profit per good unit, and 184 Line 2 Night shift records.</t>
  </si>
  <si>
    <t>Estimated Recovered Profit = Recoverable Minutes × Avg Good Units per Operating Minute × Avg Profit per Good Unit × Number of Shifts</t>
  </si>
  <si>
    <t>5. Recommendation</t>
  </si>
  <si>
    <t>Line 2 Night Shift needs to be prioritized for improvement by investigating downtime root causes, improving preventive maintenance, reviewing night-shift procedures, providing operator training if needed, and tracking downtime reasons more specifically in future data.</t>
  </si>
  <si>
    <t>Product B needs to be reviewed for quality issues because it has the highest defect rate. Reducing Line 2 Night downtime and Product B defects should improve both efficiency and profit.</t>
  </si>
  <si>
    <t>6. Tools Used</t>
  </si>
  <si>
    <t>Microsoft Excel was used for data organization, KPI calculations, PivotTables, PivotCharts, dashboard creation, and the savings opportunity model. Key Excel skills applied include table formatting, calculated fields, aggregation, chart formatting, and executive reporting.</t>
  </si>
  <si>
    <t>Line 2 Night Shift is the main bottleneck with an average downtime of 61.17 minutes.</t>
  </si>
  <si>
    <t>480 - Downtime Minutes</t>
  </si>
  <si>
    <t>Productive time available during the shift.</t>
  </si>
  <si>
    <t>Good Units / Operating Minutes</t>
  </si>
  <si>
    <t>Sellable output speed during productive time.</t>
  </si>
  <si>
    <t>Profit / Good Units</t>
  </si>
  <si>
    <t>Profit generated per sellable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</si>
</sst>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_-[$₺-41F]* #,##0_-;\-[$₺-41F]* #,##0_-;_-[$₺-41F]* &quot;-&quot;_-;_-@_-"/>
    <numFmt numFmtId="166" formatCode="_-[$₺-41F]* #,##0.00_-;\-[$₺-41F]* #,##0.00_-;_-[$₺-41F]* &quot;-&quot;??_-;_-@_-"/>
  </numFmts>
  <fonts count="8">
    <font>
      <sz val="11"/>
      <name val="Carlito"/>
    </font>
    <font>
      <b/>
      <sz val="11"/>
      <color rgb="FFFFFFFF"/>
      <name val="Carlito"/>
    </font>
    <font>
      <b/>
      <sz val="11"/>
      <name val="Carlito"/>
    </font>
    <font>
      <b/>
      <sz val="16"/>
      <name val="Carlito"/>
    </font>
    <font>
      <sz val="11"/>
      <color theme="1" tint="0.249977111117893"/>
      <name val="Carlito"/>
    </font>
    <font>
      <sz val="11"/>
      <name val="Aptos"/>
    </font>
    <font>
      <b/>
      <sz val="13"/>
      <name val="Aptos"/>
    </font>
    <font>
      <i/>
      <sz val="11"/>
      <name val="Aptos"/>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27">
    <xf numFmtId="0" fontId="0" fillId="0" borderId="0" xfId="0"/>
    <xf numFmtId="0" fontId="1" fillId="2" borderId="0" xfId="0" applyFont="1" applyFill="1" applyAlignment="1">
      <alignment horizontal="center" vertical="center" wrapText="1"/>
    </xf>
    <xf numFmtId="1" fontId="0" fillId="0" borderId="0" xfId="0" applyNumberFormat="1"/>
    <xf numFmtId="10" fontId="0" fillId="0" borderId="0" xfId="0" applyNumberFormat="1"/>
    <xf numFmtId="2" fontId="0" fillId="0" borderId="0" xfId="0" applyNumberFormat="1"/>
    <xf numFmtId="0" fontId="1" fillId="2" borderId="0" xfId="0" applyFont="1" applyFill="1" applyAlignment="1">
      <alignment vertical="top" wrapText="1"/>
    </xf>
    <xf numFmtId="0" fontId="0" fillId="0" borderId="0" xfId="0" applyAlignment="1">
      <alignment vertical="top" wrapText="1"/>
    </xf>
    <xf numFmtId="164" fontId="0" fillId="0" borderId="0" xfId="0" applyNumberFormat="1" applyAlignment="1">
      <alignment horizontal="center"/>
    </xf>
    <xf numFmtId="0" fontId="0" fillId="0" borderId="0" xfId="0" applyAlignment="1">
      <alignment horizontal="center"/>
    </xf>
    <xf numFmtId="1" fontId="0" fillId="0" borderId="0" xfId="0" applyNumberFormat="1" applyAlignment="1">
      <alignment horizontal="center"/>
    </xf>
    <xf numFmtId="10" fontId="0" fillId="0" borderId="0" xfId="0" applyNumberFormat="1" applyAlignment="1">
      <alignment horizontal="center"/>
    </xf>
    <xf numFmtId="2" fontId="0" fillId="0" borderId="0" xfId="0" applyNumberFormat="1" applyAlignment="1">
      <alignment horizontal="center"/>
    </xf>
    <xf numFmtId="0" fontId="0" fillId="0" borderId="0" xfId="0" pivotButton="1"/>
    <xf numFmtId="0" fontId="0" fillId="0" borderId="0" xfId="0" applyAlignment="1">
      <alignment horizontal="left"/>
    </xf>
    <xf numFmtId="0" fontId="2" fillId="0" borderId="0" xfId="0" applyFont="1"/>
    <xf numFmtId="165" fontId="0" fillId="0" borderId="0" xfId="0" applyNumberFormat="1"/>
    <xf numFmtId="165" fontId="1" fillId="2" borderId="0" xfId="0" applyNumberFormat="1" applyFont="1" applyFill="1" applyAlignment="1">
      <alignment horizontal="center" vertical="center" wrapText="1"/>
    </xf>
    <xf numFmtId="165" fontId="0" fillId="0" borderId="0" xfId="0" applyNumberFormat="1" applyAlignment="1">
      <alignment horizontal="center"/>
    </xf>
    <xf numFmtId="166" fontId="0" fillId="0" borderId="0" xfId="0" applyNumberFormat="1" applyAlignment="1">
      <alignment horizontal="center"/>
    </xf>
    <xf numFmtId="166" fontId="0" fillId="0" borderId="0" xfId="0" applyNumberFormat="1"/>
    <xf numFmtId="0" fontId="0" fillId="0" borderId="0" xfId="0" applyAlignment="1">
      <alignment vertical="center" wrapText="1"/>
    </xf>
    <xf numFmtId="0" fontId="3" fillId="0" borderId="0" xfId="0" applyFont="1"/>
    <xf numFmtId="0" fontId="4" fillId="0" borderId="0" xfId="0" applyFont="1"/>
    <xf numFmtId="0" fontId="6" fillId="0" borderId="0" xfId="0" applyFont="1"/>
    <xf numFmtId="0" fontId="5" fillId="0" borderId="0" xfId="0" applyFont="1" applyAlignment="1">
      <alignment horizontal="left" vertical="top" wrapText="1"/>
    </xf>
    <xf numFmtId="0" fontId="7" fillId="0" borderId="0" xfId="0" applyFont="1" applyAlignment="1">
      <alignment horizontal="left" vertical="top" wrapText="1"/>
    </xf>
    <xf numFmtId="0" fontId="0" fillId="0" borderId="0" xfId="0" applyAlignment="1">
      <alignment horizontal="left" wrapText="1"/>
    </xf>
  </cellXfs>
  <cellStyles count="1">
    <cellStyle name="Normal" xfId="0" builtinId="0"/>
  </cellStyles>
  <dxfs count="49">
    <dxf>
      <alignment horizontal="center" textRotation="0" indent="0" justifyLastLine="0" shrinkToFit="0" readingOrder="0"/>
    </dxf>
    <dxf>
      <numFmt numFmtId="2" formatCode="0.00"/>
      <alignment horizontal="center" textRotation="0" indent="0" justifyLastLine="0" shrinkToFit="0" readingOrder="0"/>
    </dxf>
    <dxf>
      <alignment horizontal="center" textRotation="0" indent="0" justifyLastLine="0" shrinkToFit="0" readingOrder="0"/>
    </dxf>
    <dxf>
      <numFmt numFmtId="166" formatCode="_-[$₺-41F]* #,##0.00_-;\-[$₺-41F]* #,##0.00_-;_-[$₺-41F]* &quot;-&quot;??_-;_-@_-"/>
      <alignment horizontal="center" textRotation="0" indent="0" justifyLastLine="0" shrinkToFit="0" readingOrder="0"/>
    </dxf>
    <dxf>
      <alignment horizontal="center" textRotation="0" indent="0" justifyLastLine="0" shrinkToFit="0" readingOrder="0"/>
    </dxf>
    <dxf>
      <numFmt numFmtId="2" formatCode="0.00"/>
      <alignment horizontal="center" textRotation="0" indent="0" justifyLastLine="0" shrinkToFit="0" readingOrder="0"/>
    </dxf>
    <dxf>
      <alignment horizontal="center" textRotation="0" indent="0" justifyLastLine="0" shrinkToFit="0" readingOrder="0"/>
    </dxf>
    <dxf>
      <numFmt numFmtId="0" formatCode="General"/>
      <alignment horizontal="center" textRotation="0" indent="0" justifyLastLine="0" shrinkToFit="0" readingOrder="0"/>
    </dxf>
    <dxf>
      <numFmt numFmtId="166" formatCode="_-[$₺-41F]* #,##0.00_-;\-[$₺-41F]* #,##0.00_-;_-[$₺-41F]* &quot;-&quot;??_-;_-@_-"/>
      <alignment horizontal="center" vertical="bottom" textRotation="0" wrapText="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numFmt numFmtId="165" formatCode="_-[$₺-41F]* #,##0_-;\-[$₺-41F]* #,##0_-;_-[$₺-41F]* &quot;-&quot;_-;_-@_-"/>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numFmt numFmtId="165" formatCode="_-[$₺-41F]* #,##0_-;\-[$₺-41F]* #,##0_-;_-[$₺-41F]* &quot;-&quot;_-;_-@_-"/>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numFmt numFmtId="166" formatCode="_-[$₺-41F]* #,##0.00_-;\-[$₺-41F]* #,##0.00_-;_-[$₺-41F]* &quot;-&quot;??_-;_-@_-"/>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4" formatCode="0.00%"/>
    </dxf>
    <dxf>
      <numFmt numFmtId="14" formatCode="0.00%"/>
    </dxf>
    <dxf>
      <numFmt numFmtId="14" formatCode="0.00%"/>
    </dxf>
    <dxf>
      <numFmt numFmtId="14" formatCode="0.00%"/>
    </dxf>
    <dxf>
      <numFmt numFmtId="14" formatCode="0.00%"/>
    </dxf>
    <dxf>
      <numFmt numFmtId="2" formatCode="0.00"/>
    </dxf>
    <dxf>
      <numFmt numFmtId="2" formatCode="0.00"/>
    </dxf>
    <dxf>
      <numFmt numFmtId="14" formatCode="0.00%"/>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[production_efficiency_generated_dataset.xlsx]Line_Efficiency_Analysis!PivotTable1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Production Efficiency by Line</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Line_Efficiency_Analysis!$B$1</c:f>
              <c:strCache>
                <c:ptCount val="1"/>
                <c:pt idx="0">
                  <c:v>Total</c:v>
                </c:pt>
              </c:strCache>
            </c:strRef>
          </c:tx>
          <c:spPr>
            <a:solidFill>
              <a:schemeClr val="accent1"/>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Line_Efficiency_Analysis!$A$2:$A$5</c:f>
              <c:strCache>
                <c:ptCount val="3"/>
                <c:pt idx="0">
                  <c:v>Line 1</c:v>
                </c:pt>
                <c:pt idx="1">
                  <c:v>Line 2</c:v>
                </c:pt>
                <c:pt idx="2">
                  <c:v>Line 3</c:v>
                </c:pt>
              </c:strCache>
            </c:strRef>
          </c:cat>
          <c:val>
            <c:numRef>
              <c:f>Line_Efficiency_Analysis!$B$2:$B$5</c:f>
              <c:numCache>
                <c:formatCode>0.00%</c:formatCode>
                <c:ptCount val="3"/>
                <c:pt idx="0">
                  <c:v>0.93017056947120924</c:v>
                </c:pt>
                <c:pt idx="1">
                  <c:v>0.88055803798985777</c:v>
                </c:pt>
                <c:pt idx="2">
                  <c:v>0.94957700219300767</c:v>
                </c:pt>
              </c:numCache>
            </c:numRef>
          </c:val>
          <c:extLst>
            <c:ext xmlns:c16="http://schemas.microsoft.com/office/drawing/2014/chart" uri="{C3380CC4-5D6E-409C-BE32-E72D297353CC}">
              <c16:uniqueId val="{00000003-04AE-4892-BB45-FD60924375D8}"/>
            </c:ext>
          </c:extLst>
        </c:ser>
        <c:dLbls>
          <c:dLblPos val="outEnd"/>
          <c:showLegendKey val="0"/>
          <c:showVal val="1"/>
          <c:showCatName val="0"/>
          <c:showSerName val="0"/>
          <c:showPercent val="0"/>
          <c:showBubbleSize val="0"/>
        </c:dLbls>
        <c:gapWidth val="219"/>
        <c:overlap val="-27"/>
        <c:axId val="26630352"/>
        <c:axId val="32952160"/>
      </c:barChart>
      <c:catAx>
        <c:axId val="2663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52160"/>
        <c:crosses val="autoZero"/>
        <c:auto val="1"/>
        <c:lblAlgn val="ctr"/>
        <c:lblOffset val="100"/>
        <c:noMultiLvlLbl val="0"/>
      </c:catAx>
      <c:valAx>
        <c:axId val="329521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30352"/>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[production_efficiency_generated_dataset.xlsx]Line_Downtime_Analysis!PivotTable2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Downtime by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Line_Downtime_Analysis!$B$1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Line_Downtime_Analysis!$A$2:$A$5</c:f>
              <c:strCache>
                <c:ptCount val="3"/>
                <c:pt idx="0">
                  <c:v>Line 1</c:v>
                </c:pt>
                <c:pt idx="1">
                  <c:v>Line 2</c:v>
                </c:pt>
                <c:pt idx="2">
                  <c:v>Line 3</c:v>
                </c:pt>
              </c:strCache>
            </c:strRef>
          </c:cat>
          <c:val>
            <c:numRef>
              <c:f>Line_Downtime_Analysis!$B$2:$B$5</c:f>
              <c:numCache>
                <c:formatCode>0.00</c:formatCode>
                <c:ptCount val="3"/>
                <c:pt idx="0">
                  <c:v>36.916666666666664</c:v>
                </c:pt>
                <c:pt idx="1">
                  <c:v>54.82789855072464</c:v>
                </c:pt>
                <c:pt idx="2">
                  <c:v>28.860507246376812</c:v>
                </c:pt>
              </c:numCache>
            </c:numRef>
          </c:val>
          <c:extLst>
            <c:ext xmlns:c16="http://schemas.microsoft.com/office/drawing/2014/chart" uri="{C3380CC4-5D6E-409C-BE32-E72D297353CC}">
              <c16:uniqueId val="{00000000-9DE0-4219-9FB8-269F88B7CD84}"/>
            </c:ext>
          </c:extLst>
        </c:ser>
        <c:dLbls>
          <c:dLblPos val="outEnd"/>
          <c:showLegendKey val="0"/>
          <c:showVal val="1"/>
          <c:showCatName val="0"/>
          <c:showSerName val="0"/>
          <c:showPercent val="0"/>
          <c:showBubbleSize val="0"/>
        </c:dLbls>
        <c:gapWidth val="219"/>
        <c:overlap val="-27"/>
        <c:axId val="26630352"/>
        <c:axId val="32952160"/>
      </c:barChart>
      <c:catAx>
        <c:axId val="2663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52160"/>
        <c:crosses val="autoZero"/>
        <c:auto val="1"/>
        <c:lblAlgn val="ctr"/>
        <c:lblOffset val="100"/>
        <c:noMultiLvlLbl val="0"/>
      </c:catAx>
      <c:valAx>
        <c:axId val="329521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30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[production_efficiency_generated_dataset.xlsx]Line_Profit_Analysis!PivotTable5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 by Production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Line_Profit_Analysis!$B$1</c:f>
              <c:strCache>
                <c:ptCount val="1"/>
                <c:pt idx="0">
                  <c:v>Total</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Line_Profit_Analysis!$A$2:$A$5</c:f>
              <c:strCache>
                <c:ptCount val="3"/>
                <c:pt idx="0">
                  <c:v>Line 1</c:v>
                </c:pt>
                <c:pt idx="1">
                  <c:v>Line 2</c:v>
                </c:pt>
                <c:pt idx="2">
                  <c:v>Line 3</c:v>
                </c:pt>
              </c:strCache>
            </c:strRef>
          </c:cat>
          <c:val>
            <c:numRef>
              <c:f>Line_Profit_Analysis!$B$2:$B$5</c:f>
              <c:numCache>
                <c:formatCode>_-[$₺-41F]* #,##0_-;\-[$₺-41F]* #,##0_-;_-[$₺-41F]* "-"_-;_-@_-</c:formatCode>
                <c:ptCount val="3"/>
                <c:pt idx="0">
                  <c:v>5686440</c:v>
                </c:pt>
                <c:pt idx="1">
                  <c:v>4037350</c:v>
                </c:pt>
                <c:pt idx="2">
                  <c:v>6300010</c:v>
                </c:pt>
              </c:numCache>
            </c:numRef>
          </c:val>
          <c:extLst>
            <c:ext xmlns:c16="http://schemas.microsoft.com/office/drawing/2014/chart" uri="{C3380CC4-5D6E-409C-BE32-E72D297353CC}">
              <c16:uniqueId val="{00000000-3198-477B-AA6B-3C54A201FB8A}"/>
            </c:ext>
          </c:extLst>
        </c:ser>
        <c:dLbls>
          <c:dLblPos val="outEnd"/>
          <c:showLegendKey val="0"/>
          <c:showVal val="1"/>
          <c:showCatName val="0"/>
          <c:showSerName val="0"/>
          <c:showPercent val="0"/>
          <c:showBubbleSize val="0"/>
        </c:dLbls>
        <c:gapWidth val="219"/>
        <c:overlap val="-27"/>
        <c:axId val="39280800"/>
        <c:axId val="39282880"/>
      </c:barChart>
      <c:catAx>
        <c:axId val="3928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82880"/>
        <c:crosses val="autoZero"/>
        <c:auto val="1"/>
        <c:lblAlgn val="ctr"/>
        <c:lblOffset val="100"/>
        <c:noMultiLvlLbl val="0"/>
      </c:catAx>
      <c:valAx>
        <c:axId val="39282880"/>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80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[production_efficiency_generated_dataset.xlsx]Product_Defect_Analysis!PivotTable3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Defect Rate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Product_Defect_Analysis!$B$1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Product_Defect_Analysis!$A$2:$A$5</c:f>
              <c:strCache>
                <c:ptCount val="3"/>
                <c:pt idx="0">
                  <c:v>Product A</c:v>
                </c:pt>
                <c:pt idx="1">
                  <c:v>Product B</c:v>
                </c:pt>
                <c:pt idx="2">
                  <c:v>Product C</c:v>
                </c:pt>
              </c:strCache>
            </c:strRef>
          </c:cat>
          <c:val>
            <c:numRef>
              <c:f>Product_Defect_Analysis!$B$2:$B$5</c:f>
              <c:numCache>
                <c:formatCode>0.00%</c:formatCode>
                <c:ptCount val="3"/>
                <c:pt idx="0">
                  <c:v>4.2048289211043997E-2</c:v>
                </c:pt>
                <c:pt idx="1">
                  <c:v>5.3970890109640249E-2</c:v>
                </c:pt>
                <c:pt idx="2">
                  <c:v>3.8134407397976265E-2</c:v>
                </c:pt>
              </c:numCache>
            </c:numRef>
          </c:val>
          <c:extLst>
            <c:ext xmlns:c16="http://schemas.microsoft.com/office/drawing/2014/chart" uri="{C3380CC4-5D6E-409C-BE32-E72D297353CC}">
              <c16:uniqueId val="{00000000-E5E5-44AD-9E76-31179321BF14}"/>
            </c:ext>
          </c:extLst>
        </c:ser>
        <c:dLbls>
          <c:dLblPos val="outEnd"/>
          <c:showLegendKey val="0"/>
          <c:showVal val="1"/>
          <c:showCatName val="0"/>
          <c:showSerName val="0"/>
          <c:showPercent val="0"/>
          <c:showBubbleSize val="0"/>
        </c:dLbls>
        <c:gapWidth val="219"/>
        <c:overlap val="-27"/>
        <c:axId val="2139343808"/>
        <c:axId val="2139345472"/>
      </c:barChart>
      <c:catAx>
        <c:axId val="213934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345472"/>
        <c:crosses val="autoZero"/>
        <c:auto val="1"/>
        <c:lblAlgn val="ctr"/>
        <c:lblOffset val="100"/>
        <c:noMultiLvlLbl val="0"/>
      </c:catAx>
      <c:valAx>
        <c:axId val="21393454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343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[production_efficiency_generated_dataset.xlsx]Product_Margin_Analysis!PivotTable12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Profit Margin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Product_Margin_Analysis!$B$1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Product_Margin_Analysis!$A$2:$A$5</c:f>
              <c:strCache>
                <c:ptCount val="3"/>
                <c:pt idx="0">
                  <c:v>Product A</c:v>
                </c:pt>
                <c:pt idx="1">
                  <c:v>Product B</c:v>
                </c:pt>
                <c:pt idx="2">
                  <c:v>Product C</c:v>
                </c:pt>
              </c:strCache>
            </c:strRef>
          </c:cat>
          <c:val>
            <c:numRef>
              <c:f>Product_Margin_Analysis!$B$2:$B$5</c:f>
              <c:numCache>
                <c:formatCode>0.00%</c:formatCode>
                <c:ptCount val="3"/>
                <c:pt idx="0">
                  <c:v>0.22239840003595948</c:v>
                </c:pt>
                <c:pt idx="1">
                  <c:v>0.20951429320000775</c:v>
                </c:pt>
                <c:pt idx="2">
                  <c:v>0.27402813310740481</c:v>
                </c:pt>
              </c:numCache>
            </c:numRef>
          </c:val>
          <c:extLst>
            <c:ext xmlns:c16="http://schemas.microsoft.com/office/drawing/2014/chart" uri="{C3380CC4-5D6E-409C-BE32-E72D297353CC}">
              <c16:uniqueId val="{00000000-B596-4F57-98D2-9F4E8EB2B0BB}"/>
            </c:ext>
          </c:extLst>
        </c:ser>
        <c:dLbls>
          <c:dLblPos val="outEnd"/>
          <c:showLegendKey val="0"/>
          <c:showVal val="1"/>
          <c:showCatName val="0"/>
          <c:showSerName val="0"/>
          <c:showPercent val="0"/>
          <c:showBubbleSize val="0"/>
        </c:dLbls>
        <c:gapWidth val="219"/>
        <c:overlap val="-27"/>
        <c:axId val="2140119456"/>
        <c:axId val="2140120704"/>
      </c:barChart>
      <c:catAx>
        <c:axId val="214011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120704"/>
        <c:crosses val="autoZero"/>
        <c:auto val="1"/>
        <c:lblAlgn val="ctr"/>
        <c:lblOffset val="100"/>
        <c:noMultiLvlLbl val="0"/>
      </c:catAx>
      <c:valAx>
        <c:axId val="21401207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119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[production_efficiency_generated_dataset.xlsx]Monthly_Profit_Trend!PivotTable11</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Monthly_Profit_Trend!$B$1</c:f>
              <c:strCache>
                <c:ptCount val="1"/>
                <c:pt idx="0">
                  <c:v>Total</c:v>
                </c:pt>
              </c:strCache>
            </c:strRef>
          </c:tx>
          <c:spPr>
            <a:ln w="28575" cap="rnd">
              <a:solidFill>
                <a:schemeClr val="accent1"/>
              </a:solidFill>
              <a:round/>
            </a:ln>
            <a:effectLst/>
          </c:spPr>
          <c:marker>
            <c:symbol val="none"/>
          </c:marker>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Monthly_Profit_Trend!$A$2:$A$8</c:f>
              <c:strCache>
                <c:ptCount val="6"/>
                <c:pt idx="0">
                  <c:v>July</c:v>
                </c:pt>
                <c:pt idx="1">
                  <c:v>August</c:v>
                </c:pt>
                <c:pt idx="2">
                  <c:v>September</c:v>
                </c:pt>
                <c:pt idx="3">
                  <c:v>October</c:v>
                </c:pt>
                <c:pt idx="4">
                  <c:v>November</c:v>
                </c:pt>
                <c:pt idx="5">
                  <c:v>December</c:v>
                </c:pt>
              </c:strCache>
            </c:strRef>
          </c:cat>
          <c:val>
            <c:numRef>
              <c:f>Monthly_Profit_Trend!$B$2:$B$8</c:f>
              <c:numCache>
                <c:formatCode>_-[$₺-41F]* #,##0_-;\-[$₺-41F]* #,##0_-;_-[$₺-41F]* "-"_-;_-@_-</c:formatCode>
                <c:ptCount val="6"/>
                <c:pt idx="0">
                  <c:v>2818900</c:v>
                </c:pt>
                <c:pt idx="1">
                  <c:v>2582050</c:v>
                </c:pt>
                <c:pt idx="2">
                  <c:v>2606330</c:v>
                </c:pt>
                <c:pt idx="3">
                  <c:v>2743470</c:v>
                </c:pt>
                <c:pt idx="4">
                  <c:v>2463050</c:v>
                </c:pt>
                <c:pt idx="5">
                  <c:v>2810000</c:v>
                </c:pt>
              </c:numCache>
            </c:numRef>
          </c:val>
          <c:smooth val="0"/>
          <c:extLst>
            <c:ext xmlns:c16="http://schemas.microsoft.com/office/drawing/2014/chart" uri="{C3380CC4-5D6E-409C-BE32-E72D297353CC}">
              <c16:uniqueId val="{00000000-CEA9-40A5-ACDD-9F5DB3527FC3}"/>
            </c:ext>
          </c:extLst>
        </c:ser>
        <c:dLbls>
          <c:dLblPos val="t"/>
          <c:showLegendKey val="0"/>
          <c:showVal val="1"/>
          <c:showCatName val="0"/>
          <c:showSerName val="0"/>
          <c:showPercent val="0"/>
          <c:showBubbleSize val="0"/>
        </c:dLbls>
        <c:smooth val="0"/>
        <c:axId val="529302400"/>
        <c:axId val="529299488"/>
      </c:lineChart>
      <c:catAx>
        <c:axId val="52930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299488"/>
        <c:crosses val="autoZero"/>
        <c:auto val="1"/>
        <c:lblAlgn val="ctr"/>
        <c:lblOffset val="100"/>
        <c:noMultiLvlLbl val="0"/>
      </c:catAx>
      <c:valAx>
        <c:axId val="529299488"/>
        <c:scaling>
          <c:orientation val="minMax"/>
        </c:scaling>
        <c:delete val="0"/>
        <c:axPos val="l"/>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302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11721</xdr:rowOff>
    </xdr:from>
    <xdr:to>
      <xdr:col>7</xdr:col>
      <xdr:colOff>647700</xdr:colOff>
      <xdr:row>21</xdr:row>
      <xdr:rowOff>164122</xdr:rowOff>
    </xdr:to>
    <xdr:graphicFrame macro="">
      <xdr:nvGraphicFramePr>
        <xdr:cNvPr id="2" name="Chart 1">
          <a:extLst>
            <a:ext uri="{FF2B5EF4-FFF2-40B4-BE49-F238E27FC236}">
              <a16:creationId xmlns:a16="http://schemas.microsoft.com/office/drawing/2014/main" id="{D7F7BAFB-B5E3-4208-A504-96E0552E5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4</xdr:row>
      <xdr:rowOff>11721</xdr:rowOff>
    </xdr:from>
    <xdr:to>
      <xdr:col>16</xdr:col>
      <xdr:colOff>647700</xdr:colOff>
      <xdr:row>21</xdr:row>
      <xdr:rowOff>156502</xdr:rowOff>
    </xdr:to>
    <xdr:graphicFrame macro="">
      <xdr:nvGraphicFramePr>
        <xdr:cNvPr id="3" name="Chart 2">
          <a:extLst>
            <a:ext uri="{FF2B5EF4-FFF2-40B4-BE49-F238E27FC236}">
              <a16:creationId xmlns:a16="http://schemas.microsoft.com/office/drawing/2014/main" id="{48230F31-247F-442C-829A-A4D103655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4</xdr:row>
      <xdr:rowOff>11721</xdr:rowOff>
    </xdr:from>
    <xdr:to>
      <xdr:col>25</xdr:col>
      <xdr:colOff>655320</xdr:colOff>
      <xdr:row>21</xdr:row>
      <xdr:rowOff>171742</xdr:rowOff>
    </xdr:to>
    <xdr:graphicFrame macro="">
      <xdr:nvGraphicFramePr>
        <xdr:cNvPr id="4" name="Chart 3">
          <a:extLst>
            <a:ext uri="{FF2B5EF4-FFF2-40B4-BE49-F238E27FC236}">
              <a16:creationId xmlns:a16="http://schemas.microsoft.com/office/drawing/2014/main" id="{7A534078-731D-41FA-BF1A-166327EAF9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23</xdr:row>
      <xdr:rowOff>11721</xdr:rowOff>
    </xdr:from>
    <xdr:to>
      <xdr:col>7</xdr:col>
      <xdr:colOff>642384</xdr:colOff>
      <xdr:row>40</xdr:row>
      <xdr:rowOff>166705</xdr:rowOff>
    </xdr:to>
    <xdr:graphicFrame macro="">
      <xdr:nvGraphicFramePr>
        <xdr:cNvPr id="5" name="Chart 4">
          <a:extLst>
            <a:ext uri="{FF2B5EF4-FFF2-40B4-BE49-F238E27FC236}">
              <a16:creationId xmlns:a16="http://schemas.microsoft.com/office/drawing/2014/main" id="{CECCEE29-F19E-4E8E-B615-2161CC5A9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0</xdr:colOff>
      <xdr:row>23</xdr:row>
      <xdr:rowOff>11720</xdr:rowOff>
    </xdr:from>
    <xdr:to>
      <xdr:col>16</xdr:col>
      <xdr:colOff>644768</xdr:colOff>
      <xdr:row>40</xdr:row>
      <xdr:rowOff>152398</xdr:rowOff>
    </xdr:to>
    <xdr:graphicFrame macro="">
      <xdr:nvGraphicFramePr>
        <xdr:cNvPr id="7" name="Chart 6">
          <a:extLst>
            <a:ext uri="{FF2B5EF4-FFF2-40B4-BE49-F238E27FC236}">
              <a16:creationId xmlns:a16="http://schemas.microsoft.com/office/drawing/2014/main" id="{7F83F8BB-20BE-4B6A-9C41-A7884DC1B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11723</xdr:colOff>
      <xdr:row>22</xdr:row>
      <xdr:rowOff>175844</xdr:rowOff>
    </xdr:from>
    <xdr:to>
      <xdr:col>25</xdr:col>
      <xdr:colOff>644769</xdr:colOff>
      <xdr:row>39</xdr:row>
      <xdr:rowOff>164120</xdr:rowOff>
    </xdr:to>
    <xdr:graphicFrame macro="">
      <xdr:nvGraphicFramePr>
        <xdr:cNvPr id="8" name="Chart 7">
          <a:extLst>
            <a:ext uri="{FF2B5EF4-FFF2-40B4-BE49-F238E27FC236}">
              <a16:creationId xmlns:a16="http://schemas.microsoft.com/office/drawing/2014/main" id="{58A3159E-770B-4EAC-B497-E4D4631AE6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257907</xdr:colOff>
      <xdr:row>7</xdr:row>
      <xdr:rowOff>35167</xdr:rowOff>
    </xdr:from>
    <xdr:to>
      <xdr:col>29</xdr:col>
      <xdr:colOff>11723</xdr:colOff>
      <xdr:row>12</xdr:row>
      <xdr:rowOff>46890</xdr:rowOff>
    </xdr:to>
    <xdr:sp macro="" textlink="">
      <xdr:nvSpPr>
        <xdr:cNvPr id="9" name="Rectangle: Rounded Corners 8">
          <a:extLst>
            <a:ext uri="{FF2B5EF4-FFF2-40B4-BE49-F238E27FC236}">
              <a16:creationId xmlns:a16="http://schemas.microsoft.com/office/drawing/2014/main" id="{5321DE68-3FE8-4DE8-8C51-0BC6A023981D}"/>
            </a:ext>
          </a:extLst>
        </xdr:cNvPr>
        <xdr:cNvSpPr/>
      </xdr:nvSpPr>
      <xdr:spPr>
        <a:xfrm>
          <a:off x="17631507" y="1359875"/>
          <a:ext cx="1758462" cy="890953"/>
        </a:xfrm>
        <a:prstGeom prst="round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chemeClr val="accent1"/>
              </a:solidFill>
            </a:rPr>
            <a:t>Total Profit</a:t>
          </a:r>
        </a:p>
        <a:p>
          <a:pPr algn="l"/>
          <a:r>
            <a:rPr lang="en-US" sz="2000" b="1">
              <a:solidFill>
                <a:schemeClr val="accent1"/>
              </a:solidFill>
            </a:rPr>
            <a:t>TRY 15.9M</a:t>
          </a:r>
        </a:p>
      </xdr:txBody>
    </xdr:sp>
    <xdr:clientData/>
  </xdr:twoCellAnchor>
  <xdr:twoCellAnchor>
    <xdr:from>
      <xdr:col>26</xdr:col>
      <xdr:colOff>246184</xdr:colOff>
      <xdr:row>15</xdr:row>
      <xdr:rowOff>58613</xdr:rowOff>
    </xdr:from>
    <xdr:to>
      <xdr:col>29</xdr:col>
      <xdr:colOff>0</xdr:colOff>
      <xdr:row>19</xdr:row>
      <xdr:rowOff>152396</xdr:rowOff>
    </xdr:to>
    <xdr:sp macro="" textlink="">
      <xdr:nvSpPr>
        <xdr:cNvPr id="10" name="Rectangle: Rounded Corners 9">
          <a:extLst>
            <a:ext uri="{FF2B5EF4-FFF2-40B4-BE49-F238E27FC236}">
              <a16:creationId xmlns:a16="http://schemas.microsoft.com/office/drawing/2014/main" id="{D39E917D-0990-4424-8284-31F7AC230320}"/>
            </a:ext>
          </a:extLst>
        </xdr:cNvPr>
        <xdr:cNvSpPr/>
      </xdr:nvSpPr>
      <xdr:spPr>
        <a:xfrm>
          <a:off x="17619784" y="2790090"/>
          <a:ext cx="1758462" cy="79716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chemeClr val="accent1"/>
              </a:solidFill>
            </a:rPr>
            <a:t>Weakest Line</a:t>
          </a:r>
        </a:p>
        <a:p>
          <a:pPr algn="l"/>
          <a:r>
            <a:rPr lang="en-US" sz="2000" b="1">
              <a:solidFill>
                <a:schemeClr val="accent1"/>
              </a:solidFill>
            </a:rPr>
            <a:t>Line 2</a:t>
          </a:r>
        </a:p>
      </xdr:txBody>
    </xdr:sp>
    <xdr:clientData/>
  </xdr:twoCellAnchor>
  <xdr:twoCellAnchor>
    <xdr:from>
      <xdr:col>26</xdr:col>
      <xdr:colOff>257907</xdr:colOff>
      <xdr:row>23</xdr:row>
      <xdr:rowOff>11720</xdr:rowOff>
    </xdr:from>
    <xdr:to>
      <xdr:col>29</xdr:col>
      <xdr:colOff>11723</xdr:colOff>
      <xdr:row>29</xdr:row>
      <xdr:rowOff>175843</xdr:rowOff>
    </xdr:to>
    <xdr:sp macro="" textlink="">
      <xdr:nvSpPr>
        <xdr:cNvPr id="11" name="Rectangle: Rounded Corners 10">
          <a:extLst>
            <a:ext uri="{FF2B5EF4-FFF2-40B4-BE49-F238E27FC236}">
              <a16:creationId xmlns:a16="http://schemas.microsoft.com/office/drawing/2014/main" id="{C615D53E-1964-4A27-B73A-08F2E5E02EA5}"/>
            </a:ext>
          </a:extLst>
        </xdr:cNvPr>
        <xdr:cNvSpPr/>
      </xdr:nvSpPr>
      <xdr:spPr>
        <a:xfrm>
          <a:off x="17631507" y="4149966"/>
          <a:ext cx="1758462" cy="121920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chemeClr val="accent1"/>
              </a:solidFill>
            </a:rPr>
            <a:t>Highest Avg Downtime</a:t>
          </a:r>
        </a:p>
        <a:p>
          <a:pPr algn="l"/>
          <a:r>
            <a:rPr lang="en-US" sz="2000" b="1">
              <a:solidFill>
                <a:schemeClr val="accent1"/>
              </a:solidFill>
            </a:rPr>
            <a:t>54.83 min</a:t>
          </a:r>
        </a:p>
      </xdr:txBody>
    </xdr:sp>
    <xdr:clientData/>
  </xdr:twoCellAnchor>
  <xdr:twoCellAnchor>
    <xdr:from>
      <xdr:col>26</xdr:col>
      <xdr:colOff>281354</xdr:colOff>
      <xdr:row>32</xdr:row>
      <xdr:rowOff>152395</xdr:rowOff>
    </xdr:from>
    <xdr:to>
      <xdr:col>29</xdr:col>
      <xdr:colOff>35170</xdr:colOff>
      <xdr:row>39</xdr:row>
      <xdr:rowOff>105503</xdr:rowOff>
    </xdr:to>
    <xdr:sp macro="" textlink="">
      <xdr:nvSpPr>
        <xdr:cNvPr id="12" name="Rectangle: Rounded Corners 11">
          <a:extLst>
            <a:ext uri="{FF2B5EF4-FFF2-40B4-BE49-F238E27FC236}">
              <a16:creationId xmlns:a16="http://schemas.microsoft.com/office/drawing/2014/main" id="{B3C7A751-4B7C-4B7C-B699-06139EF73508}"/>
            </a:ext>
          </a:extLst>
        </xdr:cNvPr>
        <xdr:cNvSpPr/>
      </xdr:nvSpPr>
      <xdr:spPr>
        <a:xfrm>
          <a:off x="17654954" y="5873257"/>
          <a:ext cx="1758462" cy="1184031"/>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chemeClr val="accent1"/>
              </a:solidFill>
            </a:rPr>
            <a:t>Savings Opportunity</a:t>
          </a:r>
        </a:p>
        <a:p>
          <a:pPr algn="l"/>
          <a:r>
            <a:rPr lang="en-US" sz="2000" b="1">
              <a:solidFill>
                <a:schemeClr val="accent1"/>
              </a:solidFill>
            </a:rPr>
            <a:t>TRY 55.7K</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07.752041319443" createdVersion="7" refreshedVersion="7" minRefreshableVersion="3" recordCount="1656" xr:uid="{E59D1FED-B039-4D80-87B3-16A97DF02EF6}">
  <cacheSource type="worksheet">
    <worksheetSource name="ProductionData"/>
  </cacheSource>
  <cacheFields count="23">
    <cacheField name="Date" numFmtId="164">
      <sharedItems containsSemiMixedTypes="0" containsNonDate="0" containsDate="1" containsString="0" minDate="2026-07-01T00:00:00" maxDate="2027-01-01T00:00:00"/>
    </cacheField>
    <cacheField name="Month" numFmtId="0">
      <sharedItems count="6">
        <s v="July"/>
        <s v="August"/>
        <s v="September"/>
        <s v="October"/>
        <s v="November"/>
        <s v="December"/>
      </sharedItems>
    </cacheField>
    <cacheField name="Production Line" numFmtId="0">
      <sharedItems count="3">
        <s v="Line 1"/>
        <s v="Line 2"/>
        <s v="Line 3"/>
      </sharedItems>
    </cacheField>
    <cacheField name="Shift" numFmtId="0">
      <sharedItems count="3">
        <s v="Morning"/>
        <s v="Evening"/>
        <s v="Night"/>
      </sharedItems>
    </cacheField>
    <cacheField name="Product Type" numFmtId="0">
      <sharedItems count="3">
        <s v="Product B"/>
        <s v="Product C"/>
        <s v="Product A"/>
      </sharedItems>
    </cacheField>
    <cacheField name="Planned Production" numFmtId="1">
      <sharedItems containsSemiMixedTypes="0" containsString="0" containsNumber="1" containsInteger="1" minValue="380" maxValue="520"/>
    </cacheField>
    <cacheField name="Actual Production" numFmtId="1">
      <sharedItems containsSemiMixedTypes="0" containsString="0" containsNumber="1" containsInteger="1" minValue="318" maxValue="525"/>
    </cacheField>
    <cacheField name="Defective Units" numFmtId="1">
      <sharedItems containsSemiMixedTypes="0" containsString="0" containsNumber="1" containsInteger="1" minValue="6" maxValue="33"/>
    </cacheField>
    <cacheField name="Good Units" numFmtId="1">
      <sharedItems containsSemiMixedTypes="0" containsString="0" containsNumber="1" containsInteger="1" minValue="299" maxValue="509"/>
    </cacheField>
    <cacheField name="Downtime Minutes" numFmtId="1">
      <sharedItems containsSemiMixedTypes="0" containsString="0" containsNumber="1" containsInteger="1" minValue="8" maxValue="78"/>
    </cacheField>
    <cacheField name="Downtime Rate" numFmtId="10">
      <sharedItems containsSemiMixedTypes="0" containsString="0" containsNumber="1" minValue="1.6666666666666666E-2" maxValue="0.16250000000000001"/>
    </cacheField>
    <cacheField name="Selling Price per Unit" numFmtId="165">
      <sharedItems containsSemiMixedTypes="0" containsString="0" containsNumber="1" containsInteger="1" minValue="90" maxValue="120"/>
    </cacheField>
    <cacheField name="Total Cost" numFmtId="165">
      <sharedItems containsSemiMixedTypes="0" containsString="0" containsNumber="1" containsInteger="1" minValue="30800" maxValue="30800"/>
    </cacheField>
    <cacheField name="Revenue" numFmtId="165">
      <sharedItems containsSemiMixedTypes="0" containsString="0" containsNumber="1" containsInteger="1" minValue="33100" maxValue="48480"/>
    </cacheField>
    <cacheField name="Profit" numFmtId="165">
      <sharedItems containsSemiMixedTypes="0" containsString="0" containsNumber="1" containsInteger="1" minValue="2300" maxValue="17680"/>
    </cacheField>
    <cacheField name="Production Efficiency" numFmtId="10">
      <sharedItems containsSemiMixedTypes="0" containsString="0" containsNumber="1" minValue="0.81538461538461537" maxValue="1.0096153846153846"/>
    </cacheField>
    <cacheField name="Defect Rate" numFmtId="10">
      <sharedItems containsSemiMixedTypes="0" containsString="0" containsNumber="1" minValue="1.488833746898263E-2" maxValue="8.3333333333333329E-2"/>
    </cacheField>
    <cacheField name="Profit Margin" numFmtId="10">
      <sharedItems containsSemiMixedTypes="0" containsString="0" containsNumber="1" minValue="6.9486404833836862E-2" maxValue="0.36468646864686466"/>
    </cacheField>
    <cacheField name="Cost per Good Unit" numFmtId="166">
      <sharedItems containsSemiMixedTypes="0" containsString="0" containsNumber="1" minValue="60.510805500982322" maxValue="103.01003344481606"/>
    </cacheField>
    <cacheField name="Operating Minutes" numFmtId="0">
      <sharedItems containsSemiMixedTypes="0" containsString="0" containsNumber="1" containsInteger="1" minValue="402" maxValue="472"/>
    </cacheField>
    <cacheField name="Units per Operating Minute" numFmtId="2">
      <sharedItems containsSemiMixedTypes="0" containsString="0" containsNumber="1" minValue="0.75413711583924348" maxValue="1.1485587583148558"/>
    </cacheField>
    <cacheField name="Profit per Good Unit" numFmtId="166">
      <sharedItems containsSemiMixedTypes="0" containsString="0" containsNumber="1" minValue="6.5311653116531163" maxValue="43.762376237623762"/>
    </cacheField>
    <cacheField name="Good Units per Operating Minute" numFmtId="2">
      <sharedItems containsSemiMixedTypes="0" containsString="0" containsNumber="1" minValue="0.70921985815602839" maxValue="1.11529933481152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56">
  <r>
    <d v="2026-07-01T00:00:00"/>
    <x v="0"/>
    <x v="0"/>
    <x v="0"/>
    <x v="0"/>
    <n v="460"/>
    <n v="422"/>
    <n v="17"/>
    <n v="405"/>
    <n v="30"/>
    <n v="6.25E-2"/>
    <n v="100"/>
    <n v="30800"/>
    <n v="40500"/>
    <n v="9700"/>
    <n v="0.91739130434782612"/>
    <n v="4.0284360189573459E-2"/>
    <n v="0.23950617283950618"/>
    <n v="76.049382716049379"/>
    <n v="450"/>
    <n v="0.93777777777777782"/>
    <n v="23.950617283950617"/>
    <n v="0.9"/>
  </r>
  <r>
    <d v="2026-07-01T00:00:00"/>
    <x v="0"/>
    <x v="0"/>
    <x v="1"/>
    <x v="1"/>
    <n v="410"/>
    <n v="388"/>
    <n v="15"/>
    <n v="373"/>
    <n v="27"/>
    <n v="5.6250000000000001E-2"/>
    <n v="120"/>
    <n v="30800"/>
    <n v="44760"/>
    <n v="13960"/>
    <n v="0.9463414634146341"/>
    <n v="3.8659793814432991E-2"/>
    <n v="0.31188561215370869"/>
    <n v="82.573726541554961"/>
    <n v="453"/>
    <n v="0.85651214128035325"/>
    <n v="37.426273458445039"/>
    <n v="0.82339955849889623"/>
  </r>
  <r>
    <d v="2026-07-01T00:00:00"/>
    <x v="0"/>
    <x v="0"/>
    <x v="2"/>
    <x v="2"/>
    <n v="500"/>
    <n v="438"/>
    <n v="18"/>
    <n v="420"/>
    <n v="42"/>
    <n v="8.7499999999999994E-2"/>
    <n v="90"/>
    <n v="30800"/>
    <n v="37800"/>
    <n v="7000"/>
    <n v="0.876"/>
    <n v="4.1095890410958902E-2"/>
    <n v="0.18518518518518517"/>
    <n v="73.333333333333329"/>
    <n v="438"/>
    <n v="1"/>
    <n v="16.666666666666668"/>
    <n v="0.95890410958904104"/>
  </r>
  <r>
    <d v="2026-07-01T00:00:00"/>
    <x v="0"/>
    <x v="1"/>
    <x v="0"/>
    <x v="1"/>
    <n v="380"/>
    <n v="333"/>
    <n v="16"/>
    <n v="317"/>
    <n v="53"/>
    <n v="0.11041666666666666"/>
    <n v="120"/>
    <n v="30800"/>
    <n v="38040"/>
    <n v="7240"/>
    <n v="0.87631578947368416"/>
    <n v="4.8048048048048048E-2"/>
    <n v="0.19032597266035753"/>
    <n v="97.160883280757105"/>
    <n v="427"/>
    <n v="0.77985948477751754"/>
    <n v="22.839116719242902"/>
    <n v="0.74238875878220145"/>
  </r>
  <r>
    <d v="2026-07-01T00:00:00"/>
    <x v="0"/>
    <x v="1"/>
    <x v="1"/>
    <x v="2"/>
    <n v="490"/>
    <n v="436"/>
    <n v="26"/>
    <n v="410"/>
    <n v="38"/>
    <n v="7.9166666666666663E-2"/>
    <n v="90"/>
    <n v="30800"/>
    <n v="36900"/>
    <n v="6100"/>
    <n v="0.88979591836734695"/>
    <n v="5.9633027522935783E-2"/>
    <n v="0.16531165311653118"/>
    <n v="75.121951219512198"/>
    <n v="442"/>
    <n v="0.98642533936651589"/>
    <n v="14.878048780487806"/>
    <n v="0.92760180995475117"/>
  </r>
  <r>
    <d v="2026-07-01T00:00:00"/>
    <x v="0"/>
    <x v="1"/>
    <x v="2"/>
    <x v="0"/>
    <n v="460"/>
    <n v="389"/>
    <n v="27"/>
    <n v="362"/>
    <n v="78"/>
    <n v="0.16250000000000001"/>
    <n v="100"/>
    <n v="30800"/>
    <n v="36200"/>
    <n v="5400"/>
    <n v="0.84565217391304348"/>
    <n v="6.9408740359897178E-2"/>
    <n v="0.14917127071823205"/>
    <n v="85.082872928176798"/>
    <n v="402"/>
    <n v="0.96766169154228854"/>
    <n v="14.917127071823204"/>
    <n v="0.90049751243781095"/>
  </r>
  <r>
    <d v="2026-07-01T00:00:00"/>
    <x v="0"/>
    <x v="2"/>
    <x v="0"/>
    <x v="2"/>
    <n v="480"/>
    <n v="460"/>
    <n v="11"/>
    <n v="449"/>
    <n v="16"/>
    <n v="3.3333333333333333E-2"/>
    <n v="90"/>
    <n v="30800"/>
    <n v="40410"/>
    <n v="9610"/>
    <n v="0.95833333333333337"/>
    <n v="2.391304347826087E-2"/>
    <n v="0.23781242266765651"/>
    <n v="68.596881959910917"/>
    <n v="464"/>
    <n v="0.99137931034482762"/>
    <n v="21.403118040089087"/>
    <n v="0.96767241379310343"/>
  </r>
  <r>
    <d v="2026-07-01T00:00:00"/>
    <x v="0"/>
    <x v="2"/>
    <x v="1"/>
    <x v="0"/>
    <n v="440"/>
    <n v="408"/>
    <n v="17"/>
    <n v="391"/>
    <n v="25"/>
    <n v="5.2083333333333336E-2"/>
    <n v="100"/>
    <n v="30800"/>
    <n v="39100"/>
    <n v="8300"/>
    <n v="0.92727272727272725"/>
    <n v="4.1666666666666664E-2"/>
    <n v="0.21227621483375958"/>
    <n v="78.772378516624045"/>
    <n v="455"/>
    <n v="0.89670329670329674"/>
    <n v="21.227621483375959"/>
    <n v="0.85934065934065929"/>
  </r>
  <r>
    <d v="2026-07-01T00:00:00"/>
    <x v="0"/>
    <x v="2"/>
    <x v="2"/>
    <x v="1"/>
    <n v="390"/>
    <n v="356"/>
    <n v="13"/>
    <n v="343"/>
    <n v="34"/>
    <n v="7.0833333333333331E-2"/>
    <n v="120"/>
    <n v="30800"/>
    <n v="41160"/>
    <n v="10360"/>
    <n v="0.9128205128205128"/>
    <n v="3.6516853932584269E-2"/>
    <n v="0.25170068027210885"/>
    <n v="89.795918367346943"/>
    <n v="446"/>
    <n v="0.7982062780269058"/>
    <n v="30.204081632653061"/>
    <n v="0.76905829596412556"/>
  </r>
  <r>
    <d v="2026-07-02T00:00:00"/>
    <x v="0"/>
    <x v="0"/>
    <x v="0"/>
    <x v="1"/>
    <n v="390"/>
    <n v="359"/>
    <n v="11"/>
    <n v="348"/>
    <n v="42"/>
    <n v="8.7499999999999994E-2"/>
    <n v="120"/>
    <n v="30800"/>
    <n v="41760"/>
    <n v="10960"/>
    <n v="0.92051282051282046"/>
    <n v="3.0640668523676879E-2"/>
    <n v="0.26245210727969348"/>
    <n v="88.505747126436788"/>
    <n v="438"/>
    <n v="0.81963470319634701"/>
    <n v="31.494252873563219"/>
    <n v="0.79452054794520544"/>
  </r>
  <r>
    <d v="2026-07-02T00:00:00"/>
    <x v="0"/>
    <x v="0"/>
    <x v="1"/>
    <x v="2"/>
    <n v="520"/>
    <n v="498"/>
    <n v="21"/>
    <n v="477"/>
    <n v="32"/>
    <n v="6.6666666666666666E-2"/>
    <n v="90"/>
    <n v="30800"/>
    <n v="42930"/>
    <n v="12130"/>
    <n v="0.95769230769230773"/>
    <n v="4.2168674698795178E-2"/>
    <n v="0.28255299324481714"/>
    <n v="64.570230607966451"/>
    <n v="448"/>
    <n v="1.1116071428571428"/>
    <n v="25.429769392033542"/>
    <n v="1.0647321428571428"/>
  </r>
  <r>
    <d v="2026-07-02T00:00:00"/>
    <x v="0"/>
    <x v="0"/>
    <x v="2"/>
    <x v="0"/>
    <n v="450"/>
    <n v="417"/>
    <n v="22"/>
    <n v="395"/>
    <n v="47"/>
    <n v="9.7916666666666666E-2"/>
    <n v="100"/>
    <n v="30800"/>
    <n v="39500"/>
    <n v="8700"/>
    <n v="0.92666666666666664"/>
    <n v="5.2757793764988008E-2"/>
    <n v="0.22025316455696203"/>
    <n v="77.974683544303801"/>
    <n v="433"/>
    <n v="0.96304849884526555"/>
    <n v="22.025316455696203"/>
    <n v="0.91224018475750579"/>
  </r>
  <r>
    <d v="2026-07-02T00:00:00"/>
    <x v="0"/>
    <x v="1"/>
    <x v="0"/>
    <x v="2"/>
    <n v="510"/>
    <n v="463"/>
    <n v="25"/>
    <n v="438"/>
    <n v="33"/>
    <n v="6.8750000000000006E-2"/>
    <n v="90"/>
    <n v="30800"/>
    <n v="39420"/>
    <n v="8620"/>
    <n v="0.90784313725490196"/>
    <n v="5.3995680345572353E-2"/>
    <n v="0.21867072552004058"/>
    <n v="70.319634703196343"/>
    <n v="447"/>
    <n v="1.0357941834451903"/>
    <n v="19.680365296803654"/>
    <n v="0.97986577181208057"/>
  </r>
  <r>
    <d v="2026-07-02T00:00:00"/>
    <x v="0"/>
    <x v="1"/>
    <x v="1"/>
    <x v="0"/>
    <n v="450"/>
    <n v="400"/>
    <n v="25"/>
    <n v="375"/>
    <n v="62"/>
    <n v="0.12916666666666668"/>
    <n v="100"/>
    <n v="30800"/>
    <n v="37500"/>
    <n v="6700"/>
    <n v="0.88888888888888884"/>
    <n v="6.25E-2"/>
    <n v="0.17866666666666667"/>
    <n v="82.13333333333334"/>
    <n v="418"/>
    <n v="0.9569377990430622"/>
    <n v="17.866666666666667"/>
    <n v="0.89712918660287078"/>
  </r>
  <r>
    <d v="2026-07-02T00:00:00"/>
    <x v="0"/>
    <x v="1"/>
    <x v="2"/>
    <x v="1"/>
    <n v="390"/>
    <n v="344"/>
    <n v="21"/>
    <n v="323"/>
    <n v="56"/>
    <n v="0.11666666666666667"/>
    <n v="120"/>
    <n v="30800"/>
    <n v="38760"/>
    <n v="7960"/>
    <n v="0.88205128205128203"/>
    <n v="6.1046511627906974E-2"/>
    <n v="0.20536635706914344"/>
    <n v="95.356037151702793"/>
    <n v="424"/>
    <n v="0.81132075471698117"/>
    <n v="24.643962848297214"/>
    <n v="0.7617924528301887"/>
  </r>
  <r>
    <d v="2026-07-02T00:00:00"/>
    <x v="0"/>
    <x v="2"/>
    <x v="0"/>
    <x v="0"/>
    <n v="460"/>
    <n v="452"/>
    <n v="15"/>
    <n v="437"/>
    <n v="16"/>
    <n v="3.3333333333333333E-2"/>
    <n v="100"/>
    <n v="30800"/>
    <n v="43700"/>
    <n v="12900"/>
    <n v="0.9826086956521739"/>
    <n v="3.3185840707964605E-2"/>
    <n v="0.29519450800915331"/>
    <n v="70.480549199084663"/>
    <n v="464"/>
    <n v="0.97413793103448276"/>
    <n v="29.519450800915333"/>
    <n v="0.94181034482758619"/>
  </r>
  <r>
    <d v="2026-07-02T00:00:00"/>
    <x v="0"/>
    <x v="2"/>
    <x v="1"/>
    <x v="1"/>
    <n v="400"/>
    <n v="372"/>
    <n v="13"/>
    <n v="359"/>
    <n v="35"/>
    <n v="7.2916666666666671E-2"/>
    <n v="120"/>
    <n v="30800"/>
    <n v="43080"/>
    <n v="12280"/>
    <n v="0.93"/>
    <n v="3.4946236559139782E-2"/>
    <n v="0.2850510677808728"/>
    <n v="85.793871866295262"/>
    <n v="445"/>
    <n v="0.83595505617977528"/>
    <n v="34.206128133704738"/>
    <n v="0.80674157303370786"/>
  </r>
  <r>
    <d v="2026-07-02T00:00:00"/>
    <x v="0"/>
    <x v="2"/>
    <x v="2"/>
    <x v="2"/>
    <n v="490"/>
    <n v="454"/>
    <n v="21"/>
    <n v="433"/>
    <n v="38"/>
    <n v="7.9166666666666663E-2"/>
    <n v="90"/>
    <n v="30800"/>
    <n v="38970"/>
    <n v="8170"/>
    <n v="0.92653061224489797"/>
    <n v="4.6255506607929514E-2"/>
    <n v="0.20964844752373621"/>
    <n v="71.131639722863738"/>
    <n v="442"/>
    <n v="1.0271493212669682"/>
    <n v="18.868360277136258"/>
    <n v="0.97963800904977372"/>
  </r>
  <r>
    <d v="2026-07-03T00:00:00"/>
    <x v="0"/>
    <x v="0"/>
    <x v="0"/>
    <x v="2"/>
    <n v="490"/>
    <n v="454"/>
    <n v="16"/>
    <n v="438"/>
    <n v="30"/>
    <n v="6.25E-2"/>
    <n v="90"/>
    <n v="30800"/>
    <n v="39420"/>
    <n v="8620"/>
    <n v="0.92653061224489797"/>
    <n v="3.5242290748898682E-2"/>
    <n v="0.21867072552004058"/>
    <n v="70.319634703196343"/>
    <n v="450"/>
    <n v="1.0088888888888889"/>
    <n v="19.680365296803654"/>
    <n v="0.97333333333333338"/>
  </r>
  <r>
    <d v="2026-07-03T00:00:00"/>
    <x v="0"/>
    <x v="0"/>
    <x v="1"/>
    <x v="0"/>
    <n v="460"/>
    <n v="429"/>
    <n v="22"/>
    <n v="407"/>
    <n v="41"/>
    <n v="8.5416666666666669E-2"/>
    <n v="100"/>
    <n v="30800"/>
    <n v="40700"/>
    <n v="9900"/>
    <n v="0.93260869565217386"/>
    <n v="5.128205128205128E-2"/>
    <n v="0.24324324324324326"/>
    <n v="75.675675675675677"/>
    <n v="439"/>
    <n v="0.97722095671981779"/>
    <n v="24.324324324324323"/>
    <n v="0.92710706150341682"/>
  </r>
  <r>
    <d v="2026-07-03T00:00:00"/>
    <x v="0"/>
    <x v="0"/>
    <x v="2"/>
    <x v="1"/>
    <n v="420"/>
    <n v="372"/>
    <n v="15"/>
    <n v="357"/>
    <n v="55"/>
    <n v="0.11458333333333333"/>
    <n v="120"/>
    <n v="30800"/>
    <n v="42840"/>
    <n v="12040"/>
    <n v="0.88571428571428568"/>
    <n v="4.0322580645161289E-2"/>
    <n v="0.28104575163398693"/>
    <n v="86.274509803921575"/>
    <n v="425"/>
    <n v="0.87529411764705878"/>
    <n v="33.725490196078432"/>
    <n v="0.84"/>
  </r>
  <r>
    <d v="2026-07-03T00:00:00"/>
    <x v="0"/>
    <x v="1"/>
    <x v="0"/>
    <x v="0"/>
    <n v="460"/>
    <n v="403"/>
    <n v="23"/>
    <n v="380"/>
    <n v="62"/>
    <n v="0.12916666666666668"/>
    <n v="100"/>
    <n v="30800"/>
    <n v="38000"/>
    <n v="7200"/>
    <n v="0.87608695652173918"/>
    <n v="5.7071960297766747E-2"/>
    <n v="0.18947368421052632"/>
    <n v="81.05263157894737"/>
    <n v="418"/>
    <n v="0.96411483253588515"/>
    <n v="18.94736842105263"/>
    <n v="0.90909090909090906"/>
  </r>
  <r>
    <d v="2026-07-03T00:00:00"/>
    <x v="0"/>
    <x v="1"/>
    <x v="1"/>
    <x v="1"/>
    <n v="400"/>
    <n v="352"/>
    <n v="18"/>
    <n v="334"/>
    <n v="57"/>
    <n v="0.11874999999999999"/>
    <n v="120"/>
    <n v="30800"/>
    <n v="40080"/>
    <n v="9280"/>
    <n v="0.88"/>
    <n v="5.113636363636364E-2"/>
    <n v="0.2315369261477046"/>
    <n v="92.215568862275447"/>
    <n v="423"/>
    <n v="0.8321513002364066"/>
    <n v="27.78443113772455"/>
    <n v="0.78959810874704495"/>
  </r>
  <r>
    <d v="2026-07-03T00:00:00"/>
    <x v="0"/>
    <x v="1"/>
    <x v="2"/>
    <x v="2"/>
    <n v="490"/>
    <n v="422"/>
    <n v="30"/>
    <n v="392"/>
    <n v="65"/>
    <n v="0.13541666666666666"/>
    <n v="90"/>
    <n v="30800"/>
    <n v="35280"/>
    <n v="4480"/>
    <n v="0.86122448979591837"/>
    <n v="7.1090047393364927E-2"/>
    <n v="0.12698412698412698"/>
    <n v="78.571428571428569"/>
    <n v="415"/>
    <n v="1.0168674698795181"/>
    <n v="11.428571428571429"/>
    <n v="0.944578313253012"/>
  </r>
  <r>
    <d v="2026-07-03T00:00:00"/>
    <x v="0"/>
    <x v="2"/>
    <x v="0"/>
    <x v="1"/>
    <n v="410"/>
    <n v="398"/>
    <n v="7"/>
    <n v="391"/>
    <n v="30"/>
    <n v="6.25E-2"/>
    <n v="120"/>
    <n v="30800"/>
    <n v="46920"/>
    <n v="16120"/>
    <n v="0.97073170731707314"/>
    <n v="1.7587939698492462E-2"/>
    <n v="0.34356351236146632"/>
    <n v="78.772378516624045"/>
    <n v="450"/>
    <n v="0.88444444444444448"/>
    <n v="41.227621483375962"/>
    <n v="0.86888888888888893"/>
  </r>
  <r>
    <d v="2026-07-03T00:00:00"/>
    <x v="0"/>
    <x v="2"/>
    <x v="1"/>
    <x v="2"/>
    <n v="480"/>
    <n v="458"/>
    <n v="14"/>
    <n v="444"/>
    <n v="35"/>
    <n v="7.2916666666666671E-2"/>
    <n v="90"/>
    <n v="30800"/>
    <n v="39960"/>
    <n v="9160"/>
    <n v="0.95416666666666672"/>
    <n v="3.0567685589519649E-2"/>
    <n v="0.22922922922922923"/>
    <n v="69.369369369369366"/>
    <n v="445"/>
    <n v="1.0292134831460673"/>
    <n v="20.63063063063063"/>
    <n v="0.99775280898876406"/>
  </r>
  <r>
    <d v="2026-07-03T00:00:00"/>
    <x v="0"/>
    <x v="2"/>
    <x v="2"/>
    <x v="0"/>
    <n v="470"/>
    <n v="443"/>
    <n v="23"/>
    <n v="420"/>
    <n v="31"/>
    <n v="6.458333333333334E-2"/>
    <n v="100"/>
    <n v="30800"/>
    <n v="42000"/>
    <n v="11200"/>
    <n v="0.94255319148936167"/>
    <n v="5.1918735891647853E-2"/>
    <n v="0.26666666666666666"/>
    <n v="73.333333333333329"/>
    <n v="449"/>
    <n v="0.98663697104677062"/>
    <n v="26.666666666666668"/>
    <n v="0.93541202672605794"/>
  </r>
  <r>
    <d v="2026-07-04T00:00:00"/>
    <x v="0"/>
    <x v="0"/>
    <x v="0"/>
    <x v="0"/>
    <n v="440"/>
    <n v="421"/>
    <n v="19"/>
    <n v="402"/>
    <n v="27"/>
    <n v="5.6250000000000001E-2"/>
    <n v="100"/>
    <n v="30800"/>
    <n v="40200"/>
    <n v="9400"/>
    <n v="0.95681818181818179"/>
    <n v="4.5130641330166268E-2"/>
    <n v="0.23383084577114427"/>
    <n v="76.616915422885569"/>
    <n v="453"/>
    <n v="0.92935982339955847"/>
    <n v="23.383084577114428"/>
    <n v="0.88741721854304634"/>
  </r>
  <r>
    <d v="2026-07-04T00:00:00"/>
    <x v="0"/>
    <x v="0"/>
    <x v="1"/>
    <x v="1"/>
    <n v="410"/>
    <n v="386"/>
    <n v="14"/>
    <n v="372"/>
    <n v="41"/>
    <n v="8.5416666666666669E-2"/>
    <n v="120"/>
    <n v="30800"/>
    <n v="44640"/>
    <n v="13840"/>
    <n v="0.94146341463414629"/>
    <n v="3.6269430051813469E-2"/>
    <n v="0.31003584229390679"/>
    <n v="82.795698924731184"/>
    <n v="439"/>
    <n v="0.87927107061503418"/>
    <n v="37.204301075268816"/>
    <n v="0.84738041002277908"/>
  </r>
  <r>
    <d v="2026-07-04T00:00:00"/>
    <x v="0"/>
    <x v="0"/>
    <x v="2"/>
    <x v="2"/>
    <n v="500"/>
    <n v="454"/>
    <n v="18"/>
    <n v="436"/>
    <n v="37"/>
    <n v="7.7083333333333337E-2"/>
    <n v="90"/>
    <n v="30800"/>
    <n v="39240"/>
    <n v="8440"/>
    <n v="0.90800000000000003"/>
    <n v="3.9647577092511016E-2"/>
    <n v="0.21508664627930682"/>
    <n v="70.642201834862391"/>
    <n v="443"/>
    <n v="1.0248306997742664"/>
    <n v="19.357798165137616"/>
    <n v="0.98419864559819414"/>
  </r>
  <r>
    <d v="2026-07-04T00:00:00"/>
    <x v="0"/>
    <x v="1"/>
    <x v="0"/>
    <x v="1"/>
    <n v="390"/>
    <n v="344"/>
    <n v="16"/>
    <n v="328"/>
    <n v="38"/>
    <n v="7.9166666666666663E-2"/>
    <n v="120"/>
    <n v="30800"/>
    <n v="39360"/>
    <n v="8560"/>
    <n v="0.88205128205128203"/>
    <n v="4.6511627906976744E-2"/>
    <n v="0.21747967479674796"/>
    <n v="93.902439024390247"/>
    <n v="442"/>
    <n v="0.77828054298642535"/>
    <n v="26.097560975609756"/>
    <n v="0.74208144796380093"/>
  </r>
  <r>
    <d v="2026-07-04T00:00:00"/>
    <x v="0"/>
    <x v="1"/>
    <x v="1"/>
    <x v="2"/>
    <n v="510"/>
    <n v="463"/>
    <n v="29"/>
    <n v="434"/>
    <n v="55"/>
    <n v="0.11458333333333333"/>
    <n v="90"/>
    <n v="30800"/>
    <n v="39060"/>
    <n v="8260"/>
    <n v="0.90784313725490196"/>
    <n v="6.2634989200863925E-2"/>
    <n v="0.21146953405017921"/>
    <n v="70.967741935483872"/>
    <n v="425"/>
    <n v="1.0894117647058823"/>
    <n v="19.032258064516128"/>
    <n v="1.0211764705882354"/>
  </r>
  <r>
    <d v="2026-07-04T00:00:00"/>
    <x v="0"/>
    <x v="1"/>
    <x v="2"/>
    <x v="0"/>
    <n v="440"/>
    <n v="377"/>
    <n v="29"/>
    <n v="348"/>
    <n v="62"/>
    <n v="0.12916666666666668"/>
    <n v="100"/>
    <n v="30800"/>
    <n v="34800"/>
    <n v="4000"/>
    <n v="0.85681818181818181"/>
    <n v="7.6923076923076927E-2"/>
    <n v="0.11494252873563218"/>
    <n v="88.505747126436788"/>
    <n v="418"/>
    <n v="0.90191387559808611"/>
    <n v="11.494252873563218"/>
    <n v="0.83253588516746413"/>
  </r>
  <r>
    <d v="2026-07-04T00:00:00"/>
    <x v="0"/>
    <x v="2"/>
    <x v="0"/>
    <x v="2"/>
    <n v="510"/>
    <n v="492"/>
    <n v="11"/>
    <n v="481"/>
    <n v="22"/>
    <n v="4.583333333333333E-2"/>
    <n v="90"/>
    <n v="30800"/>
    <n v="43290"/>
    <n v="12490"/>
    <n v="0.96470588235294119"/>
    <n v="2.2357723577235773E-2"/>
    <n v="0.28851928851928854"/>
    <n v="64.033264033264032"/>
    <n v="458"/>
    <n v="1.0742358078602621"/>
    <n v="25.966735966735968"/>
    <n v="1.0502183406113537"/>
  </r>
  <r>
    <d v="2026-07-04T00:00:00"/>
    <x v="0"/>
    <x v="2"/>
    <x v="1"/>
    <x v="0"/>
    <n v="460"/>
    <n v="438"/>
    <n v="20"/>
    <n v="418"/>
    <n v="33"/>
    <n v="6.8750000000000006E-2"/>
    <n v="100"/>
    <n v="30800"/>
    <n v="41800"/>
    <n v="11000"/>
    <n v="0.95217391304347831"/>
    <n v="4.5662100456621002E-2"/>
    <n v="0.26315789473684209"/>
    <n v="73.684210526315795"/>
    <n v="447"/>
    <n v="0.97986577181208057"/>
    <n v="26.315789473684209"/>
    <n v="0.93512304250559286"/>
  </r>
  <r>
    <d v="2026-07-04T00:00:00"/>
    <x v="0"/>
    <x v="2"/>
    <x v="2"/>
    <x v="1"/>
    <n v="410"/>
    <n v="380"/>
    <n v="12"/>
    <n v="368"/>
    <n v="25"/>
    <n v="5.2083333333333336E-2"/>
    <n v="120"/>
    <n v="30800"/>
    <n v="44160"/>
    <n v="13360"/>
    <n v="0.92682926829268297"/>
    <n v="3.1578947368421054E-2"/>
    <n v="0.30253623188405798"/>
    <n v="83.695652173913047"/>
    <n v="455"/>
    <n v="0.8351648351648352"/>
    <n v="36.304347826086953"/>
    <n v="0.8087912087912088"/>
  </r>
  <r>
    <d v="2026-07-05T00:00:00"/>
    <x v="0"/>
    <x v="0"/>
    <x v="0"/>
    <x v="1"/>
    <n v="380"/>
    <n v="362"/>
    <n v="11"/>
    <n v="351"/>
    <n v="18"/>
    <n v="3.7499999999999999E-2"/>
    <n v="120"/>
    <n v="30800"/>
    <n v="42120"/>
    <n v="11320"/>
    <n v="0.95263157894736838"/>
    <n v="3.0386740331491711E-2"/>
    <n v="0.26875593542260207"/>
    <n v="87.749287749287745"/>
    <n v="462"/>
    <n v="0.78354978354978355"/>
    <n v="32.250712250712247"/>
    <n v="0.75974025974025972"/>
  </r>
  <r>
    <d v="2026-07-05T00:00:00"/>
    <x v="0"/>
    <x v="0"/>
    <x v="1"/>
    <x v="2"/>
    <n v="510"/>
    <n v="466"/>
    <n v="14"/>
    <n v="452"/>
    <n v="21"/>
    <n v="4.3749999999999997E-2"/>
    <n v="90"/>
    <n v="30800"/>
    <n v="40680"/>
    <n v="9880"/>
    <n v="0.9137254901960784"/>
    <n v="3.0042918454935622E-2"/>
    <n v="0.24287118977384464"/>
    <n v="68.141592920353986"/>
    <n v="459"/>
    <n v="1.0152505446623095"/>
    <n v="21.858407079646017"/>
    <n v="0.98474945533769065"/>
  </r>
  <r>
    <d v="2026-07-05T00:00:00"/>
    <x v="0"/>
    <x v="0"/>
    <x v="2"/>
    <x v="0"/>
    <n v="430"/>
    <n v="385"/>
    <n v="23"/>
    <n v="362"/>
    <n v="42"/>
    <n v="8.7499999999999994E-2"/>
    <n v="100"/>
    <n v="30800"/>
    <n v="36200"/>
    <n v="5400"/>
    <n v="0.89534883720930236"/>
    <n v="5.9740259740259739E-2"/>
    <n v="0.14917127071823205"/>
    <n v="85.082872928176798"/>
    <n v="438"/>
    <n v="0.87899543378995437"/>
    <n v="14.917127071823204"/>
    <n v="0.82648401826484019"/>
  </r>
  <r>
    <d v="2026-07-05T00:00:00"/>
    <x v="0"/>
    <x v="1"/>
    <x v="0"/>
    <x v="2"/>
    <n v="490"/>
    <n v="454"/>
    <n v="23"/>
    <n v="431"/>
    <n v="46"/>
    <n v="9.583333333333334E-2"/>
    <n v="90"/>
    <n v="30800"/>
    <n v="38790"/>
    <n v="7990"/>
    <n v="0.92653061224489797"/>
    <n v="5.0660792951541848E-2"/>
    <n v="0.20598092291827791"/>
    <n v="71.461716937354993"/>
    <n v="434"/>
    <n v="1.0460829493087558"/>
    <n v="18.538283062645011"/>
    <n v="0.99308755760368661"/>
  </r>
  <r>
    <d v="2026-07-05T00:00:00"/>
    <x v="0"/>
    <x v="1"/>
    <x v="1"/>
    <x v="0"/>
    <n v="460"/>
    <n v="418"/>
    <n v="26"/>
    <n v="392"/>
    <n v="51"/>
    <n v="0.10625"/>
    <n v="100"/>
    <n v="30800"/>
    <n v="39200"/>
    <n v="8400"/>
    <n v="0.90869565217391302"/>
    <n v="6.2200956937799042E-2"/>
    <n v="0.21428571428571427"/>
    <n v="78.571428571428569"/>
    <n v="429"/>
    <n v="0.97435897435897434"/>
    <n v="21.428571428571427"/>
    <n v="0.91375291375291379"/>
  </r>
  <r>
    <d v="2026-07-05T00:00:00"/>
    <x v="0"/>
    <x v="1"/>
    <x v="2"/>
    <x v="1"/>
    <n v="400"/>
    <n v="342"/>
    <n v="20"/>
    <n v="322"/>
    <n v="72"/>
    <n v="0.15"/>
    <n v="120"/>
    <n v="30800"/>
    <n v="38640"/>
    <n v="7840"/>
    <n v="0.85499999999999998"/>
    <n v="5.8479532163742687E-2"/>
    <n v="0.20289855072463769"/>
    <n v="95.652173913043484"/>
    <n v="408"/>
    <n v="0.83823529411764708"/>
    <n v="24.347826086956523"/>
    <n v="0.78921568627450978"/>
  </r>
  <r>
    <d v="2026-07-05T00:00:00"/>
    <x v="0"/>
    <x v="2"/>
    <x v="0"/>
    <x v="0"/>
    <n v="460"/>
    <n v="460"/>
    <n v="15"/>
    <n v="445"/>
    <n v="27"/>
    <n v="5.6250000000000001E-2"/>
    <n v="100"/>
    <n v="30800"/>
    <n v="44500"/>
    <n v="13700"/>
    <n v="1"/>
    <n v="3.2608695652173912E-2"/>
    <n v="0.30786516853932583"/>
    <n v="69.213483146067418"/>
    <n v="453"/>
    <n v="1.0154525386313467"/>
    <n v="30.786516853932586"/>
    <n v="0.98233995584988965"/>
  </r>
  <r>
    <d v="2026-07-05T00:00:00"/>
    <x v="0"/>
    <x v="2"/>
    <x v="1"/>
    <x v="1"/>
    <n v="410"/>
    <n v="384"/>
    <n v="8"/>
    <n v="376"/>
    <n v="34"/>
    <n v="7.0833333333333331E-2"/>
    <n v="120"/>
    <n v="30800"/>
    <n v="45120"/>
    <n v="14320"/>
    <n v="0.93658536585365859"/>
    <n v="2.0833333333333332E-2"/>
    <n v="0.31737588652482268"/>
    <n v="81.914893617021278"/>
    <n v="446"/>
    <n v="0.86098654708520184"/>
    <n v="38.085106382978722"/>
    <n v="0.84304932735426008"/>
  </r>
  <r>
    <d v="2026-07-05T00:00:00"/>
    <x v="0"/>
    <x v="2"/>
    <x v="2"/>
    <x v="2"/>
    <n v="490"/>
    <n v="446"/>
    <n v="17"/>
    <n v="429"/>
    <n v="20"/>
    <n v="4.1666666666666664E-2"/>
    <n v="90"/>
    <n v="30800"/>
    <n v="38610"/>
    <n v="7810"/>
    <n v="0.91020408163265309"/>
    <n v="3.811659192825112E-2"/>
    <n v="0.20227920227920229"/>
    <n v="71.794871794871796"/>
    <n v="460"/>
    <n v="0.9695652173913043"/>
    <n v="18.205128205128204"/>
    <n v="0.93260869565217386"/>
  </r>
  <r>
    <d v="2026-07-06T00:00:00"/>
    <x v="0"/>
    <x v="0"/>
    <x v="0"/>
    <x v="2"/>
    <n v="510"/>
    <n v="496"/>
    <n v="13"/>
    <n v="483"/>
    <n v="33"/>
    <n v="6.8750000000000006E-2"/>
    <n v="90"/>
    <n v="30800"/>
    <n v="43470"/>
    <n v="12670"/>
    <n v="0.97254901960784312"/>
    <n v="2.620967741935484E-2"/>
    <n v="0.29146537842190018"/>
    <n v="63.768115942028984"/>
    <n v="447"/>
    <n v="1.109619686800895"/>
    <n v="26.231884057971016"/>
    <n v="1.080536912751678"/>
  </r>
  <r>
    <d v="2026-07-06T00:00:00"/>
    <x v="0"/>
    <x v="0"/>
    <x v="1"/>
    <x v="0"/>
    <n v="460"/>
    <n v="446"/>
    <n v="25"/>
    <n v="421"/>
    <n v="37"/>
    <n v="7.7083333333333337E-2"/>
    <n v="100"/>
    <n v="30800"/>
    <n v="42100"/>
    <n v="11300"/>
    <n v="0.9695652173913043"/>
    <n v="5.6053811659192827E-2"/>
    <n v="0.26840855106888362"/>
    <n v="73.159144893111645"/>
    <n v="443"/>
    <n v="1.0067720090293453"/>
    <n v="26.840855106888363"/>
    <n v="0.95033860045146723"/>
  </r>
  <r>
    <d v="2026-07-06T00:00:00"/>
    <x v="0"/>
    <x v="0"/>
    <x v="2"/>
    <x v="1"/>
    <n v="400"/>
    <n v="364"/>
    <n v="17"/>
    <n v="347"/>
    <n v="32"/>
    <n v="6.6666666666666666E-2"/>
    <n v="120"/>
    <n v="30800"/>
    <n v="41640"/>
    <n v="10840"/>
    <n v="0.91"/>
    <n v="4.6703296703296704E-2"/>
    <n v="0.26032660902977905"/>
    <n v="88.760806916426517"/>
    <n v="448"/>
    <n v="0.8125"/>
    <n v="31.239193083573486"/>
    <n v="0.7745535714285714"/>
  </r>
  <r>
    <d v="2026-07-06T00:00:00"/>
    <x v="0"/>
    <x v="1"/>
    <x v="0"/>
    <x v="0"/>
    <n v="450"/>
    <n v="419"/>
    <n v="24"/>
    <n v="395"/>
    <n v="55"/>
    <n v="0.11458333333333333"/>
    <n v="100"/>
    <n v="30800"/>
    <n v="39500"/>
    <n v="8700"/>
    <n v="0.93111111111111111"/>
    <n v="5.7279236276849645E-2"/>
    <n v="0.22025316455696203"/>
    <n v="77.974683544303801"/>
    <n v="425"/>
    <n v="0.98588235294117643"/>
    <n v="22.025316455696203"/>
    <n v="0.92941176470588238"/>
  </r>
  <r>
    <d v="2026-07-06T00:00:00"/>
    <x v="0"/>
    <x v="1"/>
    <x v="1"/>
    <x v="1"/>
    <n v="400"/>
    <n v="367"/>
    <n v="22"/>
    <n v="345"/>
    <n v="60"/>
    <n v="0.125"/>
    <n v="120"/>
    <n v="30800"/>
    <n v="41400"/>
    <n v="10600"/>
    <n v="0.91749999999999998"/>
    <n v="5.9945504087193457E-2"/>
    <n v="0.2560386473429952"/>
    <n v="89.275362318840578"/>
    <n v="420"/>
    <n v="0.87380952380952381"/>
    <n v="30.724637681159422"/>
    <n v="0.8214285714285714"/>
  </r>
  <r>
    <d v="2026-07-06T00:00:00"/>
    <x v="0"/>
    <x v="1"/>
    <x v="2"/>
    <x v="2"/>
    <n v="510"/>
    <n v="429"/>
    <n v="26"/>
    <n v="403"/>
    <n v="45"/>
    <n v="9.375E-2"/>
    <n v="90"/>
    <n v="30800"/>
    <n v="36270"/>
    <n v="5470"/>
    <n v="0.8411764705882353"/>
    <n v="6.0606060606060608E-2"/>
    <n v="0.15081334436173147"/>
    <n v="76.426799007444174"/>
    <n v="435"/>
    <n v="0.98620689655172411"/>
    <n v="13.573200992555831"/>
    <n v="0.9264367816091954"/>
  </r>
  <r>
    <d v="2026-07-06T00:00:00"/>
    <x v="0"/>
    <x v="2"/>
    <x v="0"/>
    <x v="1"/>
    <n v="410"/>
    <n v="387"/>
    <n v="7"/>
    <n v="380"/>
    <n v="11"/>
    <n v="2.2916666666666665E-2"/>
    <n v="120"/>
    <n v="30800"/>
    <n v="45600"/>
    <n v="14800"/>
    <n v="0.94390243902439019"/>
    <n v="1.8087855297157621E-2"/>
    <n v="0.32456140350877194"/>
    <n v="81.05263157894737"/>
    <n v="469"/>
    <n v="0.82515991471215355"/>
    <n v="38.94736842105263"/>
    <n v="0.81023454157782515"/>
  </r>
  <r>
    <d v="2026-07-06T00:00:00"/>
    <x v="0"/>
    <x v="2"/>
    <x v="1"/>
    <x v="2"/>
    <n v="500"/>
    <n v="493"/>
    <n v="16"/>
    <n v="477"/>
    <n v="13"/>
    <n v="2.7083333333333334E-2"/>
    <n v="90"/>
    <n v="30800"/>
    <n v="42930"/>
    <n v="12130"/>
    <n v="0.98599999999999999"/>
    <n v="3.2454361054766734E-2"/>
    <n v="0.28255299324481714"/>
    <n v="64.570230607966451"/>
    <n v="467"/>
    <n v="1.0556745182012848"/>
    <n v="25.429769392033542"/>
    <n v="1.0214132762312633"/>
  </r>
  <r>
    <d v="2026-07-06T00:00:00"/>
    <x v="0"/>
    <x v="2"/>
    <x v="2"/>
    <x v="0"/>
    <n v="430"/>
    <n v="392"/>
    <n v="21"/>
    <n v="371"/>
    <n v="49"/>
    <n v="0.10208333333333333"/>
    <n v="100"/>
    <n v="30800"/>
    <n v="37100"/>
    <n v="6300"/>
    <n v="0.91162790697674423"/>
    <n v="5.3571428571428568E-2"/>
    <n v="0.16981132075471697"/>
    <n v="83.018867924528308"/>
    <n v="431"/>
    <n v="0.90951276102088163"/>
    <n v="16.981132075471699"/>
    <n v="0.86078886310904867"/>
  </r>
  <r>
    <d v="2026-07-07T00:00:00"/>
    <x v="0"/>
    <x v="0"/>
    <x v="0"/>
    <x v="0"/>
    <n v="450"/>
    <n v="440"/>
    <n v="20"/>
    <n v="420"/>
    <n v="41"/>
    <n v="8.5416666666666669E-2"/>
    <n v="100"/>
    <n v="30800"/>
    <n v="42000"/>
    <n v="11200"/>
    <n v="0.97777777777777775"/>
    <n v="4.5454545454545456E-2"/>
    <n v="0.26666666666666666"/>
    <n v="73.333333333333329"/>
    <n v="439"/>
    <n v="1.0022779043280183"/>
    <n v="26.666666666666668"/>
    <n v="0.9567198177676538"/>
  </r>
  <r>
    <d v="2026-07-07T00:00:00"/>
    <x v="0"/>
    <x v="0"/>
    <x v="1"/>
    <x v="1"/>
    <n v="390"/>
    <n v="358"/>
    <n v="13"/>
    <n v="345"/>
    <n v="43"/>
    <n v="8.9583333333333334E-2"/>
    <n v="120"/>
    <n v="30800"/>
    <n v="41400"/>
    <n v="10600"/>
    <n v="0.91794871794871791"/>
    <n v="3.6312849162011177E-2"/>
    <n v="0.2560386473429952"/>
    <n v="89.275362318840578"/>
    <n v="437"/>
    <n v="0.81922196796338675"/>
    <n v="30.724637681159422"/>
    <n v="0.78947368421052633"/>
  </r>
  <r>
    <d v="2026-07-07T00:00:00"/>
    <x v="0"/>
    <x v="0"/>
    <x v="2"/>
    <x v="2"/>
    <n v="490"/>
    <n v="440"/>
    <n v="21"/>
    <n v="419"/>
    <n v="36"/>
    <n v="7.4999999999999997E-2"/>
    <n v="90"/>
    <n v="30800"/>
    <n v="37710"/>
    <n v="6910"/>
    <n v="0.89795918367346939"/>
    <n v="4.7727272727272729E-2"/>
    <n v="0.18324051975603289"/>
    <n v="73.508353221957037"/>
    <n v="444"/>
    <n v="0.99099099099099097"/>
    <n v="16.491646778042959"/>
    <n v="0.94369369369369371"/>
  </r>
  <r>
    <d v="2026-07-07T00:00:00"/>
    <x v="0"/>
    <x v="1"/>
    <x v="0"/>
    <x v="1"/>
    <n v="390"/>
    <n v="343"/>
    <n v="17"/>
    <n v="326"/>
    <n v="50"/>
    <n v="0.10416666666666667"/>
    <n v="120"/>
    <n v="30800"/>
    <n v="39120"/>
    <n v="8320"/>
    <n v="0.87948717948717947"/>
    <n v="4.9562682215743441E-2"/>
    <n v="0.21267893660531698"/>
    <n v="94.478527607361968"/>
    <n v="430"/>
    <n v="0.79767441860465116"/>
    <n v="25.521472392638035"/>
    <n v="0.75813953488372088"/>
  </r>
  <r>
    <d v="2026-07-07T00:00:00"/>
    <x v="0"/>
    <x v="1"/>
    <x v="1"/>
    <x v="2"/>
    <n v="520"/>
    <n v="478"/>
    <n v="23"/>
    <n v="455"/>
    <n v="57"/>
    <n v="0.11874999999999999"/>
    <n v="90"/>
    <n v="30800"/>
    <n v="40950"/>
    <n v="10150"/>
    <n v="0.91923076923076918"/>
    <n v="4.8117154811715482E-2"/>
    <n v="0.24786324786324787"/>
    <n v="67.692307692307693"/>
    <n v="423"/>
    <n v="1.1300236406619386"/>
    <n v="22.307692307692307"/>
    <n v="1.0756501182033098"/>
  </r>
  <r>
    <d v="2026-07-07T00:00:00"/>
    <x v="0"/>
    <x v="1"/>
    <x v="2"/>
    <x v="0"/>
    <n v="470"/>
    <n v="393"/>
    <n v="28"/>
    <n v="365"/>
    <n v="62"/>
    <n v="0.12916666666666668"/>
    <n v="100"/>
    <n v="30800"/>
    <n v="36500"/>
    <n v="5700"/>
    <n v="0.83617021276595749"/>
    <n v="7.124681933842239E-2"/>
    <n v="0.15616438356164383"/>
    <n v="84.38356164383562"/>
    <n v="418"/>
    <n v="0.94019138755980858"/>
    <n v="15.616438356164384"/>
    <n v="0.87320574162679421"/>
  </r>
  <r>
    <d v="2026-07-07T00:00:00"/>
    <x v="0"/>
    <x v="2"/>
    <x v="0"/>
    <x v="2"/>
    <n v="520"/>
    <n v="517"/>
    <n v="17"/>
    <n v="500"/>
    <n v="16"/>
    <n v="3.3333333333333333E-2"/>
    <n v="90"/>
    <n v="30800"/>
    <n v="45000"/>
    <n v="14200"/>
    <n v="0.99423076923076925"/>
    <n v="3.2882011605415859E-2"/>
    <n v="0.31555555555555553"/>
    <n v="61.6"/>
    <n v="464"/>
    <n v="1.1142241379310345"/>
    <n v="28.4"/>
    <n v="1.0775862068965518"/>
  </r>
  <r>
    <d v="2026-07-07T00:00:00"/>
    <x v="0"/>
    <x v="2"/>
    <x v="1"/>
    <x v="0"/>
    <n v="440"/>
    <n v="432"/>
    <n v="20"/>
    <n v="412"/>
    <n v="41"/>
    <n v="8.5416666666666669E-2"/>
    <n v="100"/>
    <n v="30800"/>
    <n v="41200"/>
    <n v="10400"/>
    <n v="0.98181818181818181"/>
    <n v="4.6296296296296294E-2"/>
    <n v="0.25242718446601942"/>
    <n v="74.757281553398059"/>
    <n v="439"/>
    <n v="0.98405466970387245"/>
    <n v="25.242718446601941"/>
    <n v="0.93849658314350792"/>
  </r>
  <r>
    <d v="2026-07-07T00:00:00"/>
    <x v="0"/>
    <x v="2"/>
    <x v="2"/>
    <x v="1"/>
    <n v="400"/>
    <n v="377"/>
    <n v="14"/>
    <n v="363"/>
    <n v="44"/>
    <n v="9.166666666666666E-2"/>
    <n v="120"/>
    <n v="30800"/>
    <n v="43560"/>
    <n v="12760"/>
    <n v="0.9425"/>
    <n v="3.7135278514588858E-2"/>
    <n v="0.29292929292929293"/>
    <n v="84.848484848484844"/>
    <n v="436"/>
    <n v="0.86467889908256879"/>
    <n v="35.151515151515149"/>
    <n v="0.83256880733944949"/>
  </r>
  <r>
    <d v="2026-07-08T00:00:00"/>
    <x v="0"/>
    <x v="0"/>
    <x v="0"/>
    <x v="1"/>
    <n v="410"/>
    <n v="382"/>
    <n v="8"/>
    <n v="374"/>
    <n v="21"/>
    <n v="4.3749999999999997E-2"/>
    <n v="120"/>
    <n v="30800"/>
    <n v="44880"/>
    <n v="14080"/>
    <n v="0.93170731707317078"/>
    <n v="2.0942408376963352E-2"/>
    <n v="0.31372549019607843"/>
    <n v="82.352941176470594"/>
    <n v="459"/>
    <n v="0.83224400871459692"/>
    <n v="37.647058823529413"/>
    <n v="0.81481481481481477"/>
  </r>
  <r>
    <d v="2026-07-08T00:00:00"/>
    <x v="0"/>
    <x v="0"/>
    <x v="1"/>
    <x v="2"/>
    <n v="490"/>
    <n v="456"/>
    <n v="15"/>
    <n v="441"/>
    <n v="30"/>
    <n v="6.25E-2"/>
    <n v="90"/>
    <n v="30800"/>
    <n v="39690"/>
    <n v="8890"/>
    <n v="0.93061224489795913"/>
    <n v="3.2894736842105261E-2"/>
    <n v="0.22398589065255731"/>
    <n v="69.841269841269835"/>
    <n v="450"/>
    <n v="1.0133333333333334"/>
    <n v="20.158730158730158"/>
    <n v="0.98"/>
  </r>
  <r>
    <d v="2026-07-08T00:00:00"/>
    <x v="0"/>
    <x v="0"/>
    <x v="2"/>
    <x v="0"/>
    <n v="460"/>
    <n v="430"/>
    <n v="25"/>
    <n v="405"/>
    <n v="44"/>
    <n v="9.166666666666666E-2"/>
    <n v="100"/>
    <n v="30800"/>
    <n v="40500"/>
    <n v="9700"/>
    <n v="0.93478260869565222"/>
    <n v="5.8139534883720929E-2"/>
    <n v="0.23950617283950618"/>
    <n v="76.049382716049379"/>
    <n v="436"/>
    <n v="0.98623853211009171"/>
    <n v="23.950617283950617"/>
    <n v="0.92889908256880738"/>
  </r>
  <r>
    <d v="2026-07-08T00:00:00"/>
    <x v="0"/>
    <x v="1"/>
    <x v="0"/>
    <x v="2"/>
    <n v="480"/>
    <n v="431"/>
    <n v="20"/>
    <n v="411"/>
    <n v="31"/>
    <n v="6.458333333333334E-2"/>
    <n v="90"/>
    <n v="30800"/>
    <n v="36990"/>
    <n v="6190"/>
    <n v="0.8979166666666667"/>
    <n v="4.6403712296983757E-2"/>
    <n v="0.16734252500675859"/>
    <n v="74.93917274939173"/>
    <n v="449"/>
    <n v="0.95991091314031185"/>
    <n v="15.060827250608272"/>
    <n v="0.91536748329621376"/>
  </r>
  <r>
    <d v="2026-07-08T00:00:00"/>
    <x v="0"/>
    <x v="1"/>
    <x v="1"/>
    <x v="0"/>
    <n v="460"/>
    <n v="415"/>
    <n v="26"/>
    <n v="389"/>
    <n v="71"/>
    <n v="0.14791666666666667"/>
    <n v="100"/>
    <n v="30800"/>
    <n v="38900"/>
    <n v="8100"/>
    <n v="0.90217391304347827"/>
    <n v="6.2650602409638559E-2"/>
    <n v="0.20822622107969152"/>
    <n v="79.177377892030847"/>
    <n v="409"/>
    <n v="1.0146699266503667"/>
    <n v="20.822622107969153"/>
    <n v="0.9511002444987775"/>
  </r>
  <r>
    <d v="2026-07-08T00:00:00"/>
    <x v="0"/>
    <x v="1"/>
    <x v="2"/>
    <x v="1"/>
    <n v="400"/>
    <n v="344"/>
    <n v="18"/>
    <n v="326"/>
    <n v="51"/>
    <n v="0.10625"/>
    <n v="120"/>
    <n v="30800"/>
    <n v="39120"/>
    <n v="8320"/>
    <n v="0.86"/>
    <n v="5.232558139534884E-2"/>
    <n v="0.21267893660531698"/>
    <n v="94.478527607361968"/>
    <n v="429"/>
    <n v="0.80186480186480191"/>
    <n v="25.521472392638035"/>
    <n v="0.75990675990675993"/>
  </r>
  <r>
    <d v="2026-07-08T00:00:00"/>
    <x v="0"/>
    <x v="2"/>
    <x v="0"/>
    <x v="0"/>
    <n v="450"/>
    <n v="447"/>
    <n v="18"/>
    <n v="429"/>
    <n v="19"/>
    <n v="3.9583333333333331E-2"/>
    <n v="100"/>
    <n v="30800"/>
    <n v="42900"/>
    <n v="12100"/>
    <n v="0.99333333333333329"/>
    <n v="4.0268456375838924E-2"/>
    <n v="0.28205128205128205"/>
    <n v="71.794871794871796"/>
    <n v="461"/>
    <n v="0.96963123644251625"/>
    <n v="28.205128205128204"/>
    <n v="0.93058568329718006"/>
  </r>
  <r>
    <d v="2026-07-08T00:00:00"/>
    <x v="0"/>
    <x v="2"/>
    <x v="1"/>
    <x v="1"/>
    <n v="390"/>
    <n v="371"/>
    <n v="12"/>
    <n v="359"/>
    <n v="18"/>
    <n v="3.7499999999999999E-2"/>
    <n v="120"/>
    <n v="30800"/>
    <n v="43080"/>
    <n v="12280"/>
    <n v="0.95128205128205123"/>
    <n v="3.2345013477088951E-2"/>
    <n v="0.2850510677808728"/>
    <n v="85.793871866295262"/>
    <n v="462"/>
    <n v="0.80303030303030298"/>
    <n v="34.206128133704738"/>
    <n v="0.77705627705627711"/>
  </r>
  <r>
    <d v="2026-07-08T00:00:00"/>
    <x v="0"/>
    <x v="2"/>
    <x v="2"/>
    <x v="2"/>
    <n v="490"/>
    <n v="450"/>
    <n v="15"/>
    <n v="435"/>
    <n v="42"/>
    <n v="8.7499999999999994E-2"/>
    <n v="90"/>
    <n v="30800"/>
    <n v="39150"/>
    <n v="8350"/>
    <n v="0.91836734693877553"/>
    <n v="3.3333333333333333E-2"/>
    <n v="0.21328224776500637"/>
    <n v="70.804597701149419"/>
    <n v="438"/>
    <n v="1.0273972602739727"/>
    <n v="19.195402298850574"/>
    <n v="0.99315068493150682"/>
  </r>
  <r>
    <d v="2026-07-09T00:00:00"/>
    <x v="0"/>
    <x v="0"/>
    <x v="0"/>
    <x v="2"/>
    <n v="520"/>
    <n v="493"/>
    <n v="17"/>
    <n v="476"/>
    <n v="17"/>
    <n v="3.5416666666666666E-2"/>
    <n v="90"/>
    <n v="30800"/>
    <n v="42840"/>
    <n v="12040"/>
    <n v="0.94807692307692304"/>
    <n v="3.4482758620689655E-2"/>
    <n v="0.28104575163398693"/>
    <n v="64.705882352941174"/>
    <n v="463"/>
    <n v="1.0647948164146868"/>
    <n v="25.294117647058822"/>
    <n v="1.0280777537796977"/>
  </r>
  <r>
    <d v="2026-07-09T00:00:00"/>
    <x v="0"/>
    <x v="0"/>
    <x v="1"/>
    <x v="0"/>
    <n v="460"/>
    <n v="448"/>
    <n v="24"/>
    <n v="424"/>
    <n v="43"/>
    <n v="8.9583333333333334E-2"/>
    <n v="100"/>
    <n v="30800"/>
    <n v="42400"/>
    <n v="11600"/>
    <n v="0.97391304347826091"/>
    <n v="5.3571428571428568E-2"/>
    <n v="0.27358490566037735"/>
    <n v="72.64150943396227"/>
    <n v="437"/>
    <n v="1.0251716247139588"/>
    <n v="27.358490566037737"/>
    <n v="0.97025171624713957"/>
  </r>
  <r>
    <d v="2026-07-09T00:00:00"/>
    <x v="0"/>
    <x v="0"/>
    <x v="2"/>
    <x v="1"/>
    <n v="390"/>
    <n v="367"/>
    <n v="17"/>
    <n v="350"/>
    <n v="44"/>
    <n v="9.166666666666666E-2"/>
    <n v="120"/>
    <n v="30800"/>
    <n v="42000"/>
    <n v="11200"/>
    <n v="0.94102564102564101"/>
    <n v="4.632152588555858E-2"/>
    <n v="0.26666666666666666"/>
    <n v="88"/>
    <n v="436"/>
    <n v="0.84174311926605505"/>
    <n v="32"/>
    <n v="0.80275229357798161"/>
  </r>
  <r>
    <d v="2026-07-09T00:00:00"/>
    <x v="0"/>
    <x v="1"/>
    <x v="0"/>
    <x v="0"/>
    <n v="460"/>
    <n v="425"/>
    <n v="25"/>
    <n v="400"/>
    <n v="63"/>
    <n v="0.13125000000000001"/>
    <n v="100"/>
    <n v="30800"/>
    <n v="40000"/>
    <n v="9200"/>
    <n v="0.92391304347826086"/>
    <n v="5.8823529411764705E-2"/>
    <n v="0.23"/>
    <n v="77"/>
    <n v="417"/>
    <n v="1.0191846522781776"/>
    <n v="23"/>
    <n v="0.95923261390887293"/>
  </r>
  <r>
    <d v="2026-07-09T00:00:00"/>
    <x v="0"/>
    <x v="1"/>
    <x v="1"/>
    <x v="1"/>
    <n v="400"/>
    <n v="347"/>
    <n v="18"/>
    <n v="329"/>
    <n v="49"/>
    <n v="0.10208333333333333"/>
    <n v="120"/>
    <n v="30800"/>
    <n v="39480"/>
    <n v="8680"/>
    <n v="0.86750000000000005"/>
    <n v="5.1873198847262249E-2"/>
    <n v="0.21985815602836881"/>
    <n v="93.61702127659575"/>
    <n v="431"/>
    <n v="0.80510440835266817"/>
    <n v="26.382978723404257"/>
    <n v="0.76334106728538287"/>
  </r>
  <r>
    <d v="2026-07-09T00:00:00"/>
    <x v="0"/>
    <x v="1"/>
    <x v="2"/>
    <x v="2"/>
    <n v="490"/>
    <n v="433"/>
    <n v="30"/>
    <n v="403"/>
    <n v="51"/>
    <n v="0.10625"/>
    <n v="90"/>
    <n v="30800"/>
    <n v="36270"/>
    <n v="5470"/>
    <n v="0.88367346938775515"/>
    <n v="6.9284064665127015E-2"/>
    <n v="0.15081334436173147"/>
    <n v="76.426799007444174"/>
    <n v="429"/>
    <n v="1.0093240093240092"/>
    <n v="13.573200992555831"/>
    <n v="0.93939393939393945"/>
  </r>
  <r>
    <d v="2026-07-09T00:00:00"/>
    <x v="0"/>
    <x v="2"/>
    <x v="0"/>
    <x v="1"/>
    <n v="410"/>
    <n v="397"/>
    <n v="7"/>
    <n v="390"/>
    <n v="12"/>
    <n v="2.5000000000000001E-2"/>
    <n v="120"/>
    <n v="30800"/>
    <n v="46800"/>
    <n v="16000"/>
    <n v="0.96829268292682924"/>
    <n v="1.7632241813602016E-2"/>
    <n v="0.34188034188034189"/>
    <n v="78.974358974358978"/>
    <n v="468"/>
    <n v="0.84829059829059827"/>
    <n v="41.025641025641029"/>
    <n v="0.83333333333333337"/>
  </r>
  <r>
    <d v="2026-07-09T00:00:00"/>
    <x v="0"/>
    <x v="2"/>
    <x v="1"/>
    <x v="2"/>
    <n v="490"/>
    <n v="473"/>
    <n v="16"/>
    <n v="457"/>
    <n v="29"/>
    <n v="6.0416666666666667E-2"/>
    <n v="90"/>
    <n v="30800"/>
    <n v="41130"/>
    <n v="10330"/>
    <n v="0.96530612244897962"/>
    <n v="3.382663847780127E-2"/>
    <n v="0.2511548747872599"/>
    <n v="67.396061269146614"/>
    <n v="451"/>
    <n v="1.0487804878048781"/>
    <n v="22.603938730853393"/>
    <n v="1.0133037694013303"/>
  </r>
  <r>
    <d v="2026-07-09T00:00:00"/>
    <x v="0"/>
    <x v="2"/>
    <x v="2"/>
    <x v="0"/>
    <n v="470"/>
    <n v="428"/>
    <n v="25"/>
    <n v="403"/>
    <n v="33"/>
    <n v="6.8750000000000006E-2"/>
    <n v="100"/>
    <n v="30800"/>
    <n v="40300"/>
    <n v="9500"/>
    <n v="0.91063829787234041"/>
    <n v="5.8411214953271028E-2"/>
    <n v="0.23573200992555832"/>
    <n v="76.426799007444174"/>
    <n v="447"/>
    <n v="0.95749440715883671"/>
    <n v="23.573200992555833"/>
    <n v="0.90156599552572703"/>
  </r>
  <r>
    <d v="2026-07-10T00:00:00"/>
    <x v="0"/>
    <x v="0"/>
    <x v="0"/>
    <x v="0"/>
    <n v="470"/>
    <n v="442"/>
    <n v="17"/>
    <n v="425"/>
    <n v="36"/>
    <n v="7.4999999999999997E-2"/>
    <n v="100"/>
    <n v="30800"/>
    <n v="42500"/>
    <n v="11700"/>
    <n v="0.94042553191489364"/>
    <n v="3.8461538461538464E-2"/>
    <n v="0.2752941176470588"/>
    <n v="72.470588235294116"/>
    <n v="444"/>
    <n v="0.99549549549549554"/>
    <n v="27.529411764705884"/>
    <n v="0.9572072072072072"/>
  </r>
  <r>
    <d v="2026-07-10T00:00:00"/>
    <x v="0"/>
    <x v="0"/>
    <x v="1"/>
    <x v="1"/>
    <n v="410"/>
    <n v="383"/>
    <n v="13"/>
    <n v="370"/>
    <n v="41"/>
    <n v="8.5416666666666669E-2"/>
    <n v="120"/>
    <n v="30800"/>
    <n v="44400"/>
    <n v="13600"/>
    <n v="0.93414634146341469"/>
    <n v="3.3942558746736295E-2"/>
    <n v="0.30630630630630629"/>
    <n v="83.243243243243242"/>
    <n v="439"/>
    <n v="0.87243735763097952"/>
    <n v="36.756756756756758"/>
    <n v="0.84282460136674264"/>
  </r>
  <r>
    <d v="2026-07-10T00:00:00"/>
    <x v="0"/>
    <x v="0"/>
    <x v="2"/>
    <x v="2"/>
    <n v="500"/>
    <n v="460"/>
    <n v="19"/>
    <n v="441"/>
    <n v="48"/>
    <n v="0.1"/>
    <n v="90"/>
    <n v="30800"/>
    <n v="39690"/>
    <n v="8890"/>
    <n v="0.92"/>
    <n v="4.1304347826086954E-2"/>
    <n v="0.22398589065255731"/>
    <n v="69.841269841269835"/>
    <n v="432"/>
    <n v="1.0648148148148149"/>
    <n v="20.158730158730158"/>
    <n v="1.0208333333333333"/>
  </r>
  <r>
    <d v="2026-07-10T00:00:00"/>
    <x v="0"/>
    <x v="1"/>
    <x v="0"/>
    <x v="1"/>
    <n v="380"/>
    <n v="354"/>
    <n v="17"/>
    <n v="337"/>
    <n v="59"/>
    <n v="0.12291666666666666"/>
    <n v="120"/>
    <n v="30800"/>
    <n v="40440"/>
    <n v="9640"/>
    <n v="0.93157894736842106"/>
    <n v="4.8022598870056499E-2"/>
    <n v="0.23837784371909002"/>
    <n v="91.394658753709194"/>
    <n v="421"/>
    <n v="0.84085510688836107"/>
    <n v="28.605341246290802"/>
    <n v="0.8004750593824228"/>
  </r>
  <r>
    <d v="2026-07-10T00:00:00"/>
    <x v="0"/>
    <x v="1"/>
    <x v="1"/>
    <x v="2"/>
    <n v="490"/>
    <n v="437"/>
    <n v="27"/>
    <n v="410"/>
    <n v="48"/>
    <n v="0.1"/>
    <n v="90"/>
    <n v="30800"/>
    <n v="36900"/>
    <n v="6100"/>
    <n v="0.89183673469387759"/>
    <n v="6.1784897025171627E-2"/>
    <n v="0.16531165311653118"/>
    <n v="75.121951219512198"/>
    <n v="432"/>
    <n v="1.0115740740740742"/>
    <n v="14.878048780487806"/>
    <n v="0.94907407407407407"/>
  </r>
  <r>
    <d v="2026-07-10T00:00:00"/>
    <x v="0"/>
    <x v="1"/>
    <x v="2"/>
    <x v="0"/>
    <n v="440"/>
    <n v="390"/>
    <n v="31"/>
    <n v="359"/>
    <n v="63"/>
    <n v="0.13125000000000001"/>
    <n v="100"/>
    <n v="30800"/>
    <n v="35900"/>
    <n v="5100"/>
    <n v="0.88636363636363635"/>
    <n v="7.9487179487179482E-2"/>
    <n v="0.14206128133704735"/>
    <n v="85.793871866295262"/>
    <n v="417"/>
    <n v="0.93525179856115104"/>
    <n v="14.206128133704736"/>
    <n v="0.86091127098321341"/>
  </r>
  <r>
    <d v="2026-07-10T00:00:00"/>
    <x v="0"/>
    <x v="2"/>
    <x v="0"/>
    <x v="2"/>
    <n v="490"/>
    <n v="475"/>
    <n v="12"/>
    <n v="463"/>
    <n v="14"/>
    <n v="2.9166666666666667E-2"/>
    <n v="90"/>
    <n v="30800"/>
    <n v="41670"/>
    <n v="10870"/>
    <n v="0.96938775510204078"/>
    <n v="2.5263157894736842E-2"/>
    <n v="0.26085913126949845"/>
    <n v="66.522678185745136"/>
    <n v="466"/>
    <n v="1.0193133047210301"/>
    <n v="23.477321814254861"/>
    <n v="0.99356223175965663"/>
  </r>
  <r>
    <d v="2026-07-10T00:00:00"/>
    <x v="0"/>
    <x v="2"/>
    <x v="1"/>
    <x v="0"/>
    <n v="440"/>
    <n v="423"/>
    <n v="21"/>
    <n v="402"/>
    <n v="43"/>
    <n v="8.9583333333333334E-2"/>
    <n v="100"/>
    <n v="30800"/>
    <n v="40200"/>
    <n v="9400"/>
    <n v="0.96136363636363631"/>
    <n v="4.9645390070921988E-2"/>
    <n v="0.23383084577114427"/>
    <n v="76.616915422885569"/>
    <n v="437"/>
    <n v="0.96796338672768878"/>
    <n v="23.383084577114428"/>
    <n v="0.919908466819222"/>
  </r>
  <r>
    <d v="2026-07-10T00:00:00"/>
    <x v="0"/>
    <x v="2"/>
    <x v="2"/>
    <x v="1"/>
    <n v="400"/>
    <n v="369"/>
    <n v="13"/>
    <n v="356"/>
    <n v="23"/>
    <n v="4.791666666666667E-2"/>
    <n v="120"/>
    <n v="30800"/>
    <n v="42720"/>
    <n v="11920"/>
    <n v="0.92249999999999999"/>
    <n v="3.5230352303523033E-2"/>
    <n v="0.27902621722846443"/>
    <n v="86.516853932584269"/>
    <n v="457"/>
    <n v="0.80743982494529543"/>
    <n v="33.483146067415731"/>
    <n v="0.77899343544857769"/>
  </r>
  <r>
    <d v="2026-07-11T00:00:00"/>
    <x v="0"/>
    <x v="0"/>
    <x v="0"/>
    <x v="1"/>
    <n v="390"/>
    <n v="371"/>
    <n v="11"/>
    <n v="360"/>
    <n v="38"/>
    <n v="7.9166666666666663E-2"/>
    <n v="120"/>
    <n v="30800"/>
    <n v="43200"/>
    <n v="12400"/>
    <n v="0.95128205128205123"/>
    <n v="2.9649595687331536E-2"/>
    <n v="0.28703703703703703"/>
    <n v="85.555555555555557"/>
    <n v="442"/>
    <n v="0.83936651583710409"/>
    <n v="34.444444444444443"/>
    <n v="0.81447963800904977"/>
  </r>
  <r>
    <d v="2026-07-11T00:00:00"/>
    <x v="0"/>
    <x v="0"/>
    <x v="1"/>
    <x v="2"/>
    <n v="500"/>
    <n v="471"/>
    <n v="15"/>
    <n v="456"/>
    <n v="35"/>
    <n v="7.2916666666666671E-2"/>
    <n v="90"/>
    <n v="30800"/>
    <n v="41040"/>
    <n v="10240"/>
    <n v="0.94199999999999995"/>
    <n v="3.1847133757961783E-2"/>
    <n v="0.24951267056530213"/>
    <n v="67.543859649122808"/>
    <n v="445"/>
    <n v="1.0584269662921348"/>
    <n v="22.456140350877192"/>
    <n v="1.0247191011235954"/>
  </r>
  <r>
    <d v="2026-07-11T00:00:00"/>
    <x v="0"/>
    <x v="0"/>
    <x v="2"/>
    <x v="0"/>
    <n v="460"/>
    <n v="415"/>
    <n v="25"/>
    <n v="390"/>
    <n v="55"/>
    <n v="0.11458333333333333"/>
    <n v="100"/>
    <n v="30800"/>
    <n v="39000"/>
    <n v="8200"/>
    <n v="0.90217391304347827"/>
    <n v="6.0240963855421686E-2"/>
    <n v="0.21025641025641026"/>
    <n v="78.974358974358978"/>
    <n v="425"/>
    <n v="0.97647058823529409"/>
    <n v="21.025641025641026"/>
    <n v="0.91764705882352937"/>
  </r>
  <r>
    <d v="2026-07-11T00:00:00"/>
    <x v="0"/>
    <x v="1"/>
    <x v="0"/>
    <x v="2"/>
    <n v="480"/>
    <n v="448"/>
    <n v="20"/>
    <n v="428"/>
    <n v="40"/>
    <n v="8.3333333333333329E-2"/>
    <n v="90"/>
    <n v="30800"/>
    <n v="38520"/>
    <n v="7720"/>
    <n v="0.93333333333333335"/>
    <n v="4.4642857142857144E-2"/>
    <n v="0.20041536863966772"/>
    <n v="71.962616822429908"/>
    <n v="440"/>
    <n v="1.0181818181818181"/>
    <n v="18.037383177570092"/>
    <n v="0.97272727272727277"/>
  </r>
  <r>
    <d v="2026-07-11T00:00:00"/>
    <x v="0"/>
    <x v="1"/>
    <x v="1"/>
    <x v="0"/>
    <n v="460"/>
    <n v="402"/>
    <n v="24"/>
    <n v="378"/>
    <n v="63"/>
    <n v="0.13125000000000001"/>
    <n v="100"/>
    <n v="30800"/>
    <n v="37800"/>
    <n v="7000"/>
    <n v="0.87391304347826082"/>
    <n v="5.9701492537313432E-2"/>
    <n v="0.18518518518518517"/>
    <n v="81.481481481481481"/>
    <n v="417"/>
    <n v="0.96402877697841727"/>
    <n v="18.518518518518519"/>
    <n v="0.90647482014388492"/>
  </r>
  <r>
    <d v="2026-07-11T00:00:00"/>
    <x v="0"/>
    <x v="1"/>
    <x v="2"/>
    <x v="1"/>
    <n v="410"/>
    <n v="345"/>
    <n v="20"/>
    <n v="325"/>
    <n v="69"/>
    <n v="0.14374999999999999"/>
    <n v="120"/>
    <n v="30800"/>
    <n v="39000"/>
    <n v="8200"/>
    <n v="0.84146341463414631"/>
    <n v="5.7971014492753624E-2"/>
    <n v="0.21025641025641026"/>
    <n v="94.769230769230774"/>
    <n v="411"/>
    <n v="0.83941605839416056"/>
    <n v="25.23076923076923"/>
    <n v="0.79075425790754261"/>
  </r>
  <r>
    <d v="2026-07-11T00:00:00"/>
    <x v="0"/>
    <x v="2"/>
    <x v="0"/>
    <x v="0"/>
    <n v="440"/>
    <n v="435"/>
    <n v="16"/>
    <n v="419"/>
    <n v="22"/>
    <n v="4.583333333333333E-2"/>
    <n v="100"/>
    <n v="30800"/>
    <n v="41900"/>
    <n v="11100"/>
    <n v="0.98863636363636365"/>
    <n v="3.6781609195402298E-2"/>
    <n v="0.2649164677804296"/>
    <n v="73.508353221957037"/>
    <n v="458"/>
    <n v="0.94978165938864634"/>
    <n v="26.491646778042959"/>
    <n v="0.91484716157205237"/>
  </r>
  <r>
    <d v="2026-07-11T00:00:00"/>
    <x v="0"/>
    <x v="2"/>
    <x v="1"/>
    <x v="1"/>
    <n v="400"/>
    <n v="375"/>
    <n v="12"/>
    <n v="363"/>
    <n v="41"/>
    <n v="8.5416666666666669E-2"/>
    <n v="120"/>
    <n v="30800"/>
    <n v="43560"/>
    <n v="12760"/>
    <n v="0.9375"/>
    <n v="3.2000000000000001E-2"/>
    <n v="0.29292929292929293"/>
    <n v="84.848484848484844"/>
    <n v="439"/>
    <n v="0.85421412300683375"/>
    <n v="35.151515151515149"/>
    <n v="0.82687927107061499"/>
  </r>
  <r>
    <d v="2026-07-11T00:00:00"/>
    <x v="0"/>
    <x v="2"/>
    <x v="2"/>
    <x v="2"/>
    <n v="510"/>
    <n v="469"/>
    <n v="21"/>
    <n v="448"/>
    <n v="40"/>
    <n v="8.3333333333333329E-2"/>
    <n v="90"/>
    <n v="30800"/>
    <n v="40320"/>
    <n v="9520"/>
    <n v="0.91960784313725485"/>
    <n v="4.4776119402985072E-2"/>
    <n v="0.2361111111111111"/>
    <n v="68.75"/>
    <n v="440"/>
    <n v="1.0659090909090909"/>
    <n v="21.25"/>
    <n v="1.0181818181818181"/>
  </r>
  <r>
    <d v="2026-07-12T00:00:00"/>
    <x v="0"/>
    <x v="0"/>
    <x v="0"/>
    <x v="2"/>
    <n v="500"/>
    <n v="480"/>
    <n v="19"/>
    <n v="461"/>
    <n v="16"/>
    <n v="3.3333333333333333E-2"/>
    <n v="90"/>
    <n v="30800"/>
    <n v="41490"/>
    <n v="10690"/>
    <n v="0.96"/>
    <n v="3.9583333333333331E-2"/>
    <n v="0.25765244637261991"/>
    <n v="66.811279826464215"/>
    <n v="464"/>
    <n v="1.0344827586206897"/>
    <n v="23.188720173535792"/>
    <n v="0.99353448275862066"/>
  </r>
  <r>
    <d v="2026-07-12T00:00:00"/>
    <x v="0"/>
    <x v="0"/>
    <x v="1"/>
    <x v="0"/>
    <n v="440"/>
    <n v="416"/>
    <n v="21"/>
    <n v="395"/>
    <n v="47"/>
    <n v="9.7916666666666666E-2"/>
    <n v="100"/>
    <n v="30800"/>
    <n v="39500"/>
    <n v="8700"/>
    <n v="0.94545454545454544"/>
    <n v="5.0480769230769232E-2"/>
    <n v="0.22025316455696203"/>
    <n v="77.974683544303801"/>
    <n v="433"/>
    <n v="0.96073903002309469"/>
    <n v="22.025316455696203"/>
    <n v="0.91224018475750579"/>
  </r>
  <r>
    <d v="2026-07-12T00:00:00"/>
    <x v="0"/>
    <x v="0"/>
    <x v="2"/>
    <x v="1"/>
    <n v="390"/>
    <n v="364"/>
    <n v="15"/>
    <n v="349"/>
    <n v="54"/>
    <n v="0.1125"/>
    <n v="120"/>
    <n v="30800"/>
    <n v="41880"/>
    <n v="11080"/>
    <n v="0.93333333333333335"/>
    <n v="4.1208791208791208E-2"/>
    <n v="0.26456542502387775"/>
    <n v="88.252148997134668"/>
    <n v="426"/>
    <n v="0.85446009389671362"/>
    <n v="31.747851002865328"/>
    <n v="0.81924882629107976"/>
  </r>
  <r>
    <d v="2026-07-12T00:00:00"/>
    <x v="0"/>
    <x v="1"/>
    <x v="0"/>
    <x v="0"/>
    <n v="450"/>
    <n v="419"/>
    <n v="26"/>
    <n v="393"/>
    <n v="46"/>
    <n v="9.583333333333334E-2"/>
    <n v="100"/>
    <n v="30800"/>
    <n v="39300"/>
    <n v="8500"/>
    <n v="0.93111111111111111"/>
    <n v="6.205250596658711E-2"/>
    <n v="0.21628498727735368"/>
    <n v="78.371501272264638"/>
    <n v="434"/>
    <n v="0.96543778801843316"/>
    <n v="21.628498727735369"/>
    <n v="0.90552995391705071"/>
  </r>
  <r>
    <d v="2026-07-12T00:00:00"/>
    <x v="0"/>
    <x v="1"/>
    <x v="1"/>
    <x v="1"/>
    <n v="400"/>
    <n v="365"/>
    <n v="21"/>
    <n v="344"/>
    <n v="51"/>
    <n v="0.10625"/>
    <n v="120"/>
    <n v="30800"/>
    <n v="41280"/>
    <n v="10480"/>
    <n v="0.91249999999999998"/>
    <n v="5.7534246575342465E-2"/>
    <n v="0.25387596899224807"/>
    <n v="89.534883720930239"/>
    <n v="429"/>
    <n v="0.85081585081585076"/>
    <n v="30.465116279069768"/>
    <n v="0.80186480186480191"/>
  </r>
  <r>
    <d v="2026-07-12T00:00:00"/>
    <x v="0"/>
    <x v="1"/>
    <x v="2"/>
    <x v="2"/>
    <n v="500"/>
    <n v="426"/>
    <n v="26"/>
    <n v="400"/>
    <n v="66"/>
    <n v="0.13750000000000001"/>
    <n v="90"/>
    <n v="30800"/>
    <n v="36000"/>
    <n v="5200"/>
    <n v="0.85199999999999998"/>
    <n v="6.1032863849765258E-2"/>
    <n v="0.14444444444444443"/>
    <n v="77"/>
    <n v="414"/>
    <n v="1.0289855072463767"/>
    <n v="13"/>
    <n v="0.96618357487922701"/>
  </r>
  <r>
    <d v="2026-07-12T00:00:00"/>
    <x v="0"/>
    <x v="2"/>
    <x v="0"/>
    <x v="1"/>
    <n v="390"/>
    <n v="377"/>
    <n v="11"/>
    <n v="366"/>
    <n v="12"/>
    <n v="2.5000000000000001E-2"/>
    <n v="120"/>
    <n v="30800"/>
    <n v="43920"/>
    <n v="13120"/>
    <n v="0.96666666666666667"/>
    <n v="2.9177718832891247E-2"/>
    <n v="0.2987249544626594"/>
    <n v="84.15300546448087"/>
    <n v="468"/>
    <n v="0.80555555555555558"/>
    <n v="35.846994535519123"/>
    <n v="0.78205128205128205"/>
  </r>
  <r>
    <d v="2026-07-12T00:00:00"/>
    <x v="0"/>
    <x v="2"/>
    <x v="1"/>
    <x v="2"/>
    <n v="490"/>
    <n v="470"/>
    <n v="12"/>
    <n v="458"/>
    <n v="18"/>
    <n v="3.7499999999999999E-2"/>
    <n v="90"/>
    <n v="30800"/>
    <n v="41220"/>
    <n v="10420"/>
    <n v="0.95918367346938771"/>
    <n v="2.553191489361702E-2"/>
    <n v="0.25278990781174188"/>
    <n v="67.248908296943227"/>
    <n v="462"/>
    <n v="1.0173160173160174"/>
    <n v="22.751091703056769"/>
    <n v="0.9913419913419913"/>
  </r>
  <r>
    <d v="2026-07-12T00:00:00"/>
    <x v="0"/>
    <x v="2"/>
    <x v="2"/>
    <x v="0"/>
    <n v="450"/>
    <n v="417"/>
    <n v="21"/>
    <n v="396"/>
    <n v="29"/>
    <n v="6.0416666666666667E-2"/>
    <n v="100"/>
    <n v="30800"/>
    <n v="39600"/>
    <n v="8800"/>
    <n v="0.92666666666666664"/>
    <n v="5.0359712230215826E-2"/>
    <n v="0.22222222222222221"/>
    <n v="77.777777777777771"/>
    <n v="451"/>
    <n v="0.92461197339246115"/>
    <n v="22.222222222222221"/>
    <n v="0.87804878048780488"/>
  </r>
  <r>
    <d v="2026-07-13T00:00:00"/>
    <x v="0"/>
    <x v="0"/>
    <x v="0"/>
    <x v="0"/>
    <n v="460"/>
    <n v="437"/>
    <n v="21"/>
    <n v="416"/>
    <n v="45"/>
    <n v="9.375E-2"/>
    <n v="100"/>
    <n v="30800"/>
    <n v="41600"/>
    <n v="10800"/>
    <n v="0.95"/>
    <n v="4.8054919908466817E-2"/>
    <n v="0.25961538461538464"/>
    <n v="74.038461538461533"/>
    <n v="435"/>
    <n v="1.0045977011494254"/>
    <n v="25.96153846153846"/>
    <n v="0.95632183908045976"/>
  </r>
  <r>
    <d v="2026-07-13T00:00:00"/>
    <x v="0"/>
    <x v="0"/>
    <x v="1"/>
    <x v="1"/>
    <n v="410"/>
    <n v="395"/>
    <n v="12"/>
    <n v="383"/>
    <n v="25"/>
    <n v="5.2083333333333336E-2"/>
    <n v="120"/>
    <n v="30800"/>
    <n v="45960"/>
    <n v="15160"/>
    <n v="0.96341463414634143"/>
    <n v="3.0379746835443037E-2"/>
    <n v="0.329852045256745"/>
    <n v="80.417754569190606"/>
    <n v="455"/>
    <n v="0.86813186813186816"/>
    <n v="39.582245430809401"/>
    <n v="0.84175824175824177"/>
  </r>
  <r>
    <d v="2026-07-13T00:00:00"/>
    <x v="0"/>
    <x v="0"/>
    <x v="2"/>
    <x v="2"/>
    <n v="490"/>
    <n v="446"/>
    <n v="23"/>
    <n v="423"/>
    <n v="39"/>
    <n v="8.1250000000000003E-2"/>
    <n v="90"/>
    <n v="30800"/>
    <n v="38070"/>
    <n v="7270"/>
    <n v="0.91020408163265309"/>
    <n v="5.1569506726457402E-2"/>
    <n v="0.19096401365904911"/>
    <n v="72.813238770685572"/>
    <n v="441"/>
    <n v="1.0113378684807257"/>
    <n v="17.186761229314421"/>
    <n v="0.95918367346938771"/>
  </r>
  <r>
    <d v="2026-07-13T00:00:00"/>
    <x v="0"/>
    <x v="1"/>
    <x v="0"/>
    <x v="1"/>
    <n v="410"/>
    <n v="373"/>
    <n v="18"/>
    <n v="355"/>
    <n v="43"/>
    <n v="8.9583333333333334E-2"/>
    <n v="120"/>
    <n v="30800"/>
    <n v="42600"/>
    <n v="11800"/>
    <n v="0.90975609756097564"/>
    <n v="4.8257372654155493E-2"/>
    <n v="0.27699530516431925"/>
    <n v="86.760563380281695"/>
    <n v="437"/>
    <n v="0.85354691075514877"/>
    <n v="33.239436619718312"/>
    <n v="0.81235697940503437"/>
  </r>
  <r>
    <d v="2026-07-13T00:00:00"/>
    <x v="0"/>
    <x v="1"/>
    <x v="1"/>
    <x v="2"/>
    <n v="490"/>
    <n v="438"/>
    <n v="21"/>
    <n v="417"/>
    <n v="48"/>
    <n v="0.1"/>
    <n v="90"/>
    <n v="30800"/>
    <n v="37530"/>
    <n v="6730"/>
    <n v="0.89387755102040811"/>
    <n v="4.7945205479452052E-2"/>
    <n v="0.17932320810018651"/>
    <n v="73.860911270983209"/>
    <n v="432"/>
    <n v="1.0138888888888888"/>
    <n v="16.139088729016787"/>
    <n v="0.96527777777777779"/>
  </r>
  <r>
    <d v="2026-07-13T00:00:00"/>
    <x v="0"/>
    <x v="1"/>
    <x v="2"/>
    <x v="0"/>
    <n v="460"/>
    <n v="396"/>
    <n v="28"/>
    <n v="368"/>
    <n v="68"/>
    <n v="0.14166666666666666"/>
    <n v="100"/>
    <n v="30800"/>
    <n v="36800"/>
    <n v="6000"/>
    <n v="0.86086956521739133"/>
    <n v="7.0707070707070704E-2"/>
    <n v="0.16304347826086957"/>
    <n v="83.695652173913047"/>
    <n v="412"/>
    <n v="0.96116504854368934"/>
    <n v="16.304347826086957"/>
    <n v="0.89320388349514568"/>
  </r>
  <r>
    <d v="2026-07-13T00:00:00"/>
    <x v="0"/>
    <x v="2"/>
    <x v="0"/>
    <x v="2"/>
    <n v="520"/>
    <n v="509"/>
    <n v="17"/>
    <n v="492"/>
    <n v="23"/>
    <n v="4.791666666666667E-2"/>
    <n v="90"/>
    <n v="30800"/>
    <n v="44280"/>
    <n v="13480"/>
    <n v="0.97884615384615381"/>
    <n v="3.3398821218074658E-2"/>
    <n v="0.30442637759710928"/>
    <n v="62.601626016260163"/>
    <n v="457"/>
    <n v="1.113785557986871"/>
    <n v="27.398373983739837"/>
    <n v="1.0765864332603938"/>
  </r>
  <r>
    <d v="2026-07-13T00:00:00"/>
    <x v="0"/>
    <x v="2"/>
    <x v="1"/>
    <x v="0"/>
    <n v="460"/>
    <n v="434"/>
    <n v="18"/>
    <n v="416"/>
    <n v="36"/>
    <n v="7.4999999999999997E-2"/>
    <n v="100"/>
    <n v="30800"/>
    <n v="41600"/>
    <n v="10800"/>
    <n v="0.94347826086956521"/>
    <n v="4.1474654377880185E-2"/>
    <n v="0.25961538461538464"/>
    <n v="74.038461538461533"/>
    <n v="444"/>
    <n v="0.97747747747747749"/>
    <n v="25.96153846153846"/>
    <n v="0.93693693693693691"/>
  </r>
  <r>
    <d v="2026-07-13T00:00:00"/>
    <x v="0"/>
    <x v="2"/>
    <x v="2"/>
    <x v="1"/>
    <n v="390"/>
    <n v="363"/>
    <n v="11"/>
    <n v="352"/>
    <n v="33"/>
    <n v="6.8750000000000006E-2"/>
    <n v="120"/>
    <n v="30800"/>
    <n v="42240"/>
    <n v="11440"/>
    <n v="0.93076923076923079"/>
    <n v="3.0303030303030304E-2"/>
    <n v="0.27083333333333331"/>
    <n v="87.5"/>
    <n v="447"/>
    <n v="0.81208053691275173"/>
    <n v="32.5"/>
    <n v="0.78747203579418346"/>
  </r>
  <r>
    <d v="2026-07-14T00:00:00"/>
    <x v="0"/>
    <x v="0"/>
    <x v="0"/>
    <x v="1"/>
    <n v="410"/>
    <n v="390"/>
    <n v="12"/>
    <n v="378"/>
    <n v="31"/>
    <n v="6.458333333333334E-2"/>
    <n v="120"/>
    <n v="30800"/>
    <n v="45360"/>
    <n v="14560"/>
    <n v="0.95121951219512191"/>
    <n v="3.0769230769230771E-2"/>
    <n v="0.32098765432098764"/>
    <n v="81.481481481481481"/>
    <n v="449"/>
    <n v="0.86859688195991092"/>
    <n v="38.518518518518519"/>
    <n v="0.84187082405345215"/>
  </r>
  <r>
    <d v="2026-07-14T00:00:00"/>
    <x v="0"/>
    <x v="0"/>
    <x v="1"/>
    <x v="2"/>
    <n v="510"/>
    <n v="483"/>
    <n v="20"/>
    <n v="463"/>
    <n v="21"/>
    <n v="4.3749999999999997E-2"/>
    <n v="90"/>
    <n v="30800"/>
    <n v="41670"/>
    <n v="10870"/>
    <n v="0.94705882352941173"/>
    <n v="4.1407867494824016E-2"/>
    <n v="0.26085913126949845"/>
    <n v="66.522678185745136"/>
    <n v="459"/>
    <n v="1.0522875816993464"/>
    <n v="23.477321814254861"/>
    <n v="1.008714596949891"/>
  </r>
  <r>
    <d v="2026-07-14T00:00:00"/>
    <x v="0"/>
    <x v="0"/>
    <x v="2"/>
    <x v="0"/>
    <n v="440"/>
    <n v="393"/>
    <n v="25"/>
    <n v="368"/>
    <n v="37"/>
    <n v="7.7083333333333337E-2"/>
    <n v="100"/>
    <n v="30800"/>
    <n v="36800"/>
    <n v="6000"/>
    <n v="0.89318181818181819"/>
    <n v="6.3613231552162849E-2"/>
    <n v="0.16304347826086957"/>
    <n v="83.695652173913047"/>
    <n v="443"/>
    <n v="0.88713318284424381"/>
    <n v="16.304347826086957"/>
    <n v="0.83069977426636565"/>
  </r>
  <r>
    <d v="2026-07-14T00:00:00"/>
    <x v="0"/>
    <x v="1"/>
    <x v="0"/>
    <x v="2"/>
    <n v="520"/>
    <n v="463"/>
    <n v="20"/>
    <n v="443"/>
    <n v="35"/>
    <n v="7.2916666666666671E-2"/>
    <n v="90"/>
    <n v="30800"/>
    <n v="39870"/>
    <n v="9070"/>
    <n v="0.89038461538461533"/>
    <n v="4.3196544276457881E-2"/>
    <n v="0.2274893403561575"/>
    <n v="69.525959367945831"/>
    <n v="445"/>
    <n v="1.0404494382022471"/>
    <n v="20.474040632054177"/>
    <n v="0.99550561797752812"/>
  </r>
  <r>
    <d v="2026-07-14T00:00:00"/>
    <x v="0"/>
    <x v="1"/>
    <x v="1"/>
    <x v="0"/>
    <n v="440"/>
    <n v="400"/>
    <n v="27"/>
    <n v="373"/>
    <n v="54"/>
    <n v="0.1125"/>
    <n v="100"/>
    <n v="30800"/>
    <n v="37300"/>
    <n v="6500"/>
    <n v="0.90909090909090906"/>
    <n v="6.7500000000000004E-2"/>
    <n v="0.17426273458445041"/>
    <n v="82.573726541554961"/>
    <n v="426"/>
    <n v="0.93896713615023475"/>
    <n v="17.426273458445039"/>
    <n v="0.87558685446009388"/>
  </r>
  <r>
    <d v="2026-07-14T00:00:00"/>
    <x v="0"/>
    <x v="1"/>
    <x v="2"/>
    <x v="1"/>
    <n v="410"/>
    <n v="363"/>
    <n v="19"/>
    <n v="344"/>
    <n v="68"/>
    <n v="0.14166666666666666"/>
    <n v="120"/>
    <n v="30800"/>
    <n v="41280"/>
    <n v="10480"/>
    <n v="0.88536585365853659"/>
    <n v="5.2341597796143252E-2"/>
    <n v="0.25387596899224807"/>
    <n v="89.534883720930239"/>
    <n v="412"/>
    <n v="0.8810679611650486"/>
    <n v="30.465116279069768"/>
    <n v="0.83495145631067957"/>
  </r>
  <r>
    <d v="2026-07-14T00:00:00"/>
    <x v="0"/>
    <x v="2"/>
    <x v="0"/>
    <x v="0"/>
    <n v="460"/>
    <n v="441"/>
    <n v="15"/>
    <n v="426"/>
    <n v="33"/>
    <n v="6.8750000000000006E-2"/>
    <n v="100"/>
    <n v="30800"/>
    <n v="42600"/>
    <n v="11800"/>
    <n v="0.95869565217391306"/>
    <n v="3.4013605442176874E-2"/>
    <n v="0.27699530516431925"/>
    <n v="72.300469483568079"/>
    <n v="447"/>
    <n v="0.98657718120805371"/>
    <n v="27.699530516431924"/>
    <n v="0.95302013422818788"/>
  </r>
  <r>
    <d v="2026-07-14T00:00:00"/>
    <x v="0"/>
    <x v="2"/>
    <x v="1"/>
    <x v="1"/>
    <n v="410"/>
    <n v="399"/>
    <n v="13"/>
    <n v="386"/>
    <n v="29"/>
    <n v="6.0416666666666667E-2"/>
    <n v="120"/>
    <n v="30800"/>
    <n v="46320"/>
    <n v="15520"/>
    <n v="0.97317073170731705"/>
    <n v="3.2581453634085211E-2"/>
    <n v="0.33506044905008636"/>
    <n v="79.792746113989637"/>
    <n v="451"/>
    <n v="0.88470066518847001"/>
    <n v="40.207253886010363"/>
    <n v="0.85587583148558755"/>
  </r>
  <r>
    <d v="2026-07-14T00:00:00"/>
    <x v="0"/>
    <x v="2"/>
    <x v="2"/>
    <x v="2"/>
    <n v="520"/>
    <n v="478"/>
    <n v="19"/>
    <n v="459"/>
    <n v="38"/>
    <n v="7.9166666666666663E-2"/>
    <n v="90"/>
    <n v="30800"/>
    <n v="41310"/>
    <n v="10510"/>
    <n v="0.91923076923076918"/>
    <n v="3.9748953974895397E-2"/>
    <n v="0.25441781650931977"/>
    <n v="67.102396514161214"/>
    <n v="442"/>
    <n v="1.0814479638009049"/>
    <n v="22.897603485838779"/>
    <n v="1.0384615384615385"/>
  </r>
  <r>
    <d v="2026-07-15T00:00:00"/>
    <x v="0"/>
    <x v="0"/>
    <x v="0"/>
    <x v="2"/>
    <n v="480"/>
    <n v="468"/>
    <n v="18"/>
    <n v="450"/>
    <n v="32"/>
    <n v="6.6666666666666666E-2"/>
    <n v="90"/>
    <n v="30800"/>
    <n v="40500"/>
    <n v="9700"/>
    <n v="0.97499999999999998"/>
    <n v="3.8461538461538464E-2"/>
    <n v="0.23950617283950618"/>
    <n v="68.444444444444443"/>
    <n v="448"/>
    <n v="1.0446428571428572"/>
    <n v="21.555555555555557"/>
    <n v="1.0044642857142858"/>
  </r>
  <r>
    <d v="2026-07-15T00:00:00"/>
    <x v="0"/>
    <x v="0"/>
    <x v="1"/>
    <x v="0"/>
    <n v="460"/>
    <n v="438"/>
    <n v="18"/>
    <n v="420"/>
    <n v="47"/>
    <n v="9.7916666666666666E-2"/>
    <n v="100"/>
    <n v="30800"/>
    <n v="42000"/>
    <n v="11200"/>
    <n v="0.95217391304347831"/>
    <n v="4.1095890410958902E-2"/>
    <n v="0.26666666666666666"/>
    <n v="73.333333333333329"/>
    <n v="433"/>
    <n v="1.0115473441108545"/>
    <n v="26.666666666666668"/>
    <n v="0.96997690531177827"/>
  </r>
  <r>
    <d v="2026-07-15T00:00:00"/>
    <x v="0"/>
    <x v="0"/>
    <x v="2"/>
    <x v="1"/>
    <n v="410"/>
    <n v="366"/>
    <n v="16"/>
    <n v="350"/>
    <n v="31"/>
    <n v="6.458333333333334E-2"/>
    <n v="120"/>
    <n v="30800"/>
    <n v="42000"/>
    <n v="11200"/>
    <n v="0.89268292682926831"/>
    <n v="4.3715846994535519E-2"/>
    <n v="0.26666666666666666"/>
    <n v="88"/>
    <n v="449"/>
    <n v="0.81514476614699327"/>
    <n v="32"/>
    <n v="0.77951002227171495"/>
  </r>
  <r>
    <d v="2026-07-15T00:00:00"/>
    <x v="0"/>
    <x v="1"/>
    <x v="0"/>
    <x v="0"/>
    <n v="460"/>
    <n v="407"/>
    <n v="28"/>
    <n v="379"/>
    <n v="61"/>
    <n v="0.12708333333333333"/>
    <n v="100"/>
    <n v="30800"/>
    <n v="37900"/>
    <n v="7100"/>
    <n v="0.88478260869565217"/>
    <n v="6.8796068796068796E-2"/>
    <n v="0.18733509234828497"/>
    <n v="81.266490765171497"/>
    <n v="419"/>
    <n v="0.97136038186157514"/>
    <n v="18.733509234828496"/>
    <n v="0.90453460620525061"/>
  </r>
  <r>
    <d v="2026-07-15T00:00:00"/>
    <x v="0"/>
    <x v="1"/>
    <x v="1"/>
    <x v="1"/>
    <n v="410"/>
    <n v="367"/>
    <n v="20"/>
    <n v="347"/>
    <n v="63"/>
    <n v="0.13125000000000001"/>
    <n v="120"/>
    <n v="30800"/>
    <n v="41640"/>
    <n v="10840"/>
    <n v="0.89512195121951221"/>
    <n v="5.4495912806539509E-2"/>
    <n v="0.26032660902977905"/>
    <n v="88.760806916426517"/>
    <n v="417"/>
    <n v="0.88009592326139086"/>
    <n v="31.239193083573486"/>
    <n v="0.83213429256594729"/>
  </r>
  <r>
    <d v="2026-07-15T00:00:00"/>
    <x v="0"/>
    <x v="1"/>
    <x v="2"/>
    <x v="2"/>
    <n v="500"/>
    <n v="447"/>
    <n v="30"/>
    <n v="417"/>
    <n v="58"/>
    <n v="0.12083333333333333"/>
    <n v="90"/>
    <n v="30800"/>
    <n v="37530"/>
    <n v="6730"/>
    <n v="0.89400000000000002"/>
    <n v="6.7114093959731544E-2"/>
    <n v="0.17932320810018651"/>
    <n v="73.860911270983209"/>
    <n v="422"/>
    <n v="1.0592417061611374"/>
    <n v="16.139088729016787"/>
    <n v="0.98815165876777256"/>
  </r>
  <r>
    <d v="2026-07-15T00:00:00"/>
    <x v="0"/>
    <x v="2"/>
    <x v="0"/>
    <x v="1"/>
    <n v="410"/>
    <n v="404"/>
    <n v="8"/>
    <n v="396"/>
    <n v="17"/>
    <n v="3.5416666666666666E-2"/>
    <n v="120"/>
    <n v="30800"/>
    <n v="47520"/>
    <n v="16720"/>
    <n v="0.98536585365853657"/>
    <n v="1.9801980198019802E-2"/>
    <n v="0.35185185185185186"/>
    <n v="77.777777777777771"/>
    <n v="463"/>
    <n v="0.87257019438444927"/>
    <n v="42.222222222222221"/>
    <n v="0.85529157667386613"/>
  </r>
  <r>
    <d v="2026-07-15T00:00:00"/>
    <x v="0"/>
    <x v="2"/>
    <x v="1"/>
    <x v="2"/>
    <n v="490"/>
    <n v="473"/>
    <n v="17"/>
    <n v="456"/>
    <n v="30"/>
    <n v="6.25E-2"/>
    <n v="90"/>
    <n v="30800"/>
    <n v="41040"/>
    <n v="10240"/>
    <n v="0.96530612244897962"/>
    <n v="3.5940803382663845E-2"/>
    <n v="0.24951267056530213"/>
    <n v="67.543859649122808"/>
    <n v="450"/>
    <n v="1.0511111111111111"/>
    <n v="22.456140350877192"/>
    <n v="1.0133333333333334"/>
  </r>
  <r>
    <d v="2026-07-15T00:00:00"/>
    <x v="0"/>
    <x v="2"/>
    <x v="2"/>
    <x v="0"/>
    <n v="460"/>
    <n v="427"/>
    <n v="22"/>
    <n v="405"/>
    <n v="38"/>
    <n v="7.9166666666666663E-2"/>
    <n v="100"/>
    <n v="30800"/>
    <n v="40500"/>
    <n v="9700"/>
    <n v="0.92826086956521736"/>
    <n v="5.1522248243559721E-2"/>
    <n v="0.23950617283950618"/>
    <n v="76.049382716049379"/>
    <n v="442"/>
    <n v="0.9660633484162896"/>
    <n v="23.950617283950617"/>
    <n v="0.91628959276018096"/>
  </r>
  <r>
    <d v="2026-07-16T00:00:00"/>
    <x v="0"/>
    <x v="0"/>
    <x v="0"/>
    <x v="0"/>
    <n v="450"/>
    <n v="428"/>
    <n v="17"/>
    <n v="411"/>
    <n v="31"/>
    <n v="6.458333333333334E-2"/>
    <n v="100"/>
    <n v="30800"/>
    <n v="41100"/>
    <n v="10300"/>
    <n v="0.95111111111111113"/>
    <n v="3.9719626168224297E-2"/>
    <n v="0.25060827250608275"/>
    <n v="74.93917274939173"/>
    <n v="449"/>
    <n v="0.95322939866369716"/>
    <n v="25.060827250608273"/>
    <n v="0.91536748329621376"/>
  </r>
  <r>
    <d v="2026-07-16T00:00:00"/>
    <x v="0"/>
    <x v="0"/>
    <x v="1"/>
    <x v="1"/>
    <n v="410"/>
    <n v="384"/>
    <n v="10"/>
    <n v="374"/>
    <n v="31"/>
    <n v="6.458333333333334E-2"/>
    <n v="120"/>
    <n v="30800"/>
    <n v="44880"/>
    <n v="14080"/>
    <n v="0.93658536585365859"/>
    <n v="2.6041666666666668E-2"/>
    <n v="0.31372549019607843"/>
    <n v="82.352941176470594"/>
    <n v="449"/>
    <n v="0.85523385300668153"/>
    <n v="37.647058823529413"/>
    <n v="0.83296213808463249"/>
  </r>
  <r>
    <d v="2026-07-16T00:00:00"/>
    <x v="0"/>
    <x v="0"/>
    <x v="2"/>
    <x v="2"/>
    <n v="490"/>
    <n v="448"/>
    <n v="21"/>
    <n v="427"/>
    <n v="33"/>
    <n v="6.8750000000000006E-2"/>
    <n v="90"/>
    <n v="30800"/>
    <n v="38430"/>
    <n v="7630"/>
    <n v="0.91428571428571426"/>
    <n v="4.6875E-2"/>
    <n v="0.19854280510018216"/>
    <n v="72.131147540983605"/>
    <n v="447"/>
    <n v="1.0022371364653244"/>
    <n v="17.868852459016395"/>
    <n v="0.95525727069351229"/>
  </r>
  <r>
    <d v="2026-07-16T00:00:00"/>
    <x v="0"/>
    <x v="1"/>
    <x v="0"/>
    <x v="1"/>
    <n v="400"/>
    <n v="363"/>
    <n v="18"/>
    <n v="345"/>
    <n v="38"/>
    <n v="7.9166666666666663E-2"/>
    <n v="120"/>
    <n v="30800"/>
    <n v="41400"/>
    <n v="10600"/>
    <n v="0.90749999999999997"/>
    <n v="4.9586776859504134E-2"/>
    <n v="0.2560386473429952"/>
    <n v="89.275362318840578"/>
    <n v="442"/>
    <n v="0.82126696832579182"/>
    <n v="30.724637681159422"/>
    <n v="0.78054298642533937"/>
  </r>
  <r>
    <d v="2026-07-16T00:00:00"/>
    <x v="0"/>
    <x v="1"/>
    <x v="1"/>
    <x v="2"/>
    <n v="490"/>
    <n v="446"/>
    <n v="23"/>
    <n v="423"/>
    <n v="56"/>
    <n v="0.11666666666666667"/>
    <n v="90"/>
    <n v="30800"/>
    <n v="38070"/>
    <n v="7270"/>
    <n v="0.91020408163265309"/>
    <n v="5.1569506726457402E-2"/>
    <n v="0.19096401365904911"/>
    <n v="72.813238770685572"/>
    <n v="424"/>
    <n v="1.0518867924528301"/>
    <n v="17.186761229314421"/>
    <n v="0.99764150943396224"/>
  </r>
  <r>
    <d v="2026-07-16T00:00:00"/>
    <x v="0"/>
    <x v="1"/>
    <x v="2"/>
    <x v="0"/>
    <n v="450"/>
    <n v="392"/>
    <n v="29"/>
    <n v="363"/>
    <n v="77"/>
    <n v="0.16041666666666668"/>
    <n v="100"/>
    <n v="30800"/>
    <n v="36300"/>
    <n v="5500"/>
    <n v="0.87111111111111106"/>
    <n v="7.3979591836734693E-2"/>
    <n v="0.15151515151515152"/>
    <n v="84.848484848484844"/>
    <n v="403"/>
    <n v="0.97270471464019848"/>
    <n v="15.151515151515152"/>
    <n v="0.90074441687344908"/>
  </r>
  <r>
    <d v="2026-07-16T00:00:00"/>
    <x v="0"/>
    <x v="2"/>
    <x v="0"/>
    <x v="2"/>
    <n v="490"/>
    <n v="486"/>
    <n v="11"/>
    <n v="475"/>
    <n v="13"/>
    <n v="2.7083333333333334E-2"/>
    <n v="90"/>
    <n v="30800"/>
    <n v="42750"/>
    <n v="11950"/>
    <n v="0.99183673469387756"/>
    <n v="2.2633744855967079E-2"/>
    <n v="0.27953216374269008"/>
    <n v="64.84210526315789"/>
    <n v="467"/>
    <n v="1.0406852248394005"/>
    <n v="25.157894736842106"/>
    <n v="1.0171306209850106"/>
  </r>
  <r>
    <d v="2026-07-16T00:00:00"/>
    <x v="0"/>
    <x v="2"/>
    <x v="1"/>
    <x v="0"/>
    <n v="440"/>
    <n v="418"/>
    <n v="15"/>
    <n v="403"/>
    <n v="39"/>
    <n v="8.1250000000000003E-2"/>
    <n v="100"/>
    <n v="30800"/>
    <n v="40300"/>
    <n v="9500"/>
    <n v="0.95"/>
    <n v="3.5885167464114832E-2"/>
    <n v="0.23573200992555832"/>
    <n v="76.426799007444174"/>
    <n v="441"/>
    <n v="0.94784580498866211"/>
    <n v="23.573200992555833"/>
    <n v="0.91383219954648531"/>
  </r>
  <r>
    <d v="2026-07-16T00:00:00"/>
    <x v="0"/>
    <x v="2"/>
    <x v="2"/>
    <x v="1"/>
    <n v="390"/>
    <n v="372"/>
    <n v="12"/>
    <n v="360"/>
    <n v="41"/>
    <n v="8.5416666666666669E-2"/>
    <n v="120"/>
    <n v="30800"/>
    <n v="43200"/>
    <n v="12400"/>
    <n v="0.9538461538461539"/>
    <n v="3.2258064516129031E-2"/>
    <n v="0.28703703703703703"/>
    <n v="85.555555555555557"/>
    <n v="439"/>
    <n v="0.84738041002277908"/>
    <n v="34.444444444444443"/>
    <n v="0.82004555808656032"/>
  </r>
  <r>
    <d v="2026-07-17T00:00:00"/>
    <x v="0"/>
    <x v="0"/>
    <x v="0"/>
    <x v="1"/>
    <n v="400"/>
    <n v="395"/>
    <n v="13"/>
    <n v="382"/>
    <n v="27"/>
    <n v="5.6250000000000001E-2"/>
    <n v="120"/>
    <n v="30800"/>
    <n v="45840"/>
    <n v="15040"/>
    <n v="0.98750000000000004"/>
    <n v="3.2911392405063293E-2"/>
    <n v="0.32809773123909247"/>
    <n v="80.6282722513089"/>
    <n v="453"/>
    <n v="0.87196467991169979"/>
    <n v="39.3717277486911"/>
    <n v="0.8432671081677704"/>
  </r>
  <r>
    <d v="2026-07-17T00:00:00"/>
    <x v="0"/>
    <x v="0"/>
    <x v="1"/>
    <x v="2"/>
    <n v="490"/>
    <n v="459"/>
    <n v="19"/>
    <n v="440"/>
    <n v="24"/>
    <n v="0.05"/>
    <n v="90"/>
    <n v="30800"/>
    <n v="39600"/>
    <n v="8800"/>
    <n v="0.93673469387755104"/>
    <n v="4.1394335511982572E-2"/>
    <n v="0.22222222222222221"/>
    <n v="70"/>
    <n v="456"/>
    <n v="1.006578947368421"/>
    <n v="20"/>
    <n v="0.96491228070175439"/>
  </r>
  <r>
    <d v="2026-07-17T00:00:00"/>
    <x v="0"/>
    <x v="0"/>
    <x v="2"/>
    <x v="0"/>
    <n v="430"/>
    <n v="384"/>
    <n v="21"/>
    <n v="363"/>
    <n v="40"/>
    <n v="8.3333333333333329E-2"/>
    <n v="100"/>
    <n v="30800"/>
    <n v="36300"/>
    <n v="5500"/>
    <n v="0.89302325581395348"/>
    <n v="5.46875E-2"/>
    <n v="0.15151515151515152"/>
    <n v="84.848484848484844"/>
    <n v="440"/>
    <n v="0.87272727272727268"/>
    <n v="15.151515151515152"/>
    <n v="0.82499999999999996"/>
  </r>
  <r>
    <d v="2026-07-17T00:00:00"/>
    <x v="0"/>
    <x v="1"/>
    <x v="0"/>
    <x v="2"/>
    <n v="510"/>
    <n v="464"/>
    <n v="26"/>
    <n v="438"/>
    <n v="49"/>
    <n v="0.10208333333333333"/>
    <n v="90"/>
    <n v="30800"/>
    <n v="39420"/>
    <n v="8620"/>
    <n v="0.90980392156862744"/>
    <n v="5.6034482758620691E-2"/>
    <n v="0.21867072552004058"/>
    <n v="70.319634703196343"/>
    <n v="431"/>
    <n v="1.0765661252900232"/>
    <n v="19.680365296803654"/>
    <n v="1.0162412993039442"/>
  </r>
  <r>
    <d v="2026-07-17T00:00:00"/>
    <x v="0"/>
    <x v="1"/>
    <x v="1"/>
    <x v="0"/>
    <n v="450"/>
    <n v="403"/>
    <n v="25"/>
    <n v="378"/>
    <n v="49"/>
    <n v="0.10208333333333333"/>
    <n v="100"/>
    <n v="30800"/>
    <n v="37800"/>
    <n v="7000"/>
    <n v="0.89555555555555555"/>
    <n v="6.2034739454094295E-2"/>
    <n v="0.18518518518518517"/>
    <n v="81.481481481481481"/>
    <n v="431"/>
    <n v="0.93503480278422269"/>
    <n v="18.518518518518519"/>
    <n v="0.87703016241299303"/>
  </r>
  <r>
    <d v="2026-07-17T00:00:00"/>
    <x v="0"/>
    <x v="1"/>
    <x v="2"/>
    <x v="1"/>
    <n v="410"/>
    <n v="356"/>
    <n v="23"/>
    <n v="333"/>
    <n v="61"/>
    <n v="0.12708333333333333"/>
    <n v="120"/>
    <n v="30800"/>
    <n v="39960"/>
    <n v="9160"/>
    <n v="0.86829268292682926"/>
    <n v="6.4606741573033713E-2"/>
    <n v="0.22922922922922923"/>
    <n v="92.492492492492488"/>
    <n v="419"/>
    <n v="0.84964200477326968"/>
    <n v="27.507507507507508"/>
    <n v="0.79474940334128874"/>
  </r>
  <r>
    <d v="2026-07-17T00:00:00"/>
    <x v="0"/>
    <x v="2"/>
    <x v="0"/>
    <x v="0"/>
    <n v="430"/>
    <n v="425"/>
    <n v="13"/>
    <n v="412"/>
    <n v="19"/>
    <n v="3.9583333333333331E-2"/>
    <n v="100"/>
    <n v="30800"/>
    <n v="41200"/>
    <n v="10400"/>
    <n v="0.98837209302325579"/>
    <n v="3.0588235294117649E-2"/>
    <n v="0.25242718446601942"/>
    <n v="74.757281553398059"/>
    <n v="461"/>
    <n v="0.9219088937093276"/>
    <n v="25.242718446601941"/>
    <n v="0.89370932754880694"/>
  </r>
  <r>
    <d v="2026-07-17T00:00:00"/>
    <x v="0"/>
    <x v="2"/>
    <x v="1"/>
    <x v="1"/>
    <n v="410"/>
    <n v="387"/>
    <n v="9"/>
    <n v="378"/>
    <n v="34"/>
    <n v="7.0833333333333331E-2"/>
    <n v="120"/>
    <n v="30800"/>
    <n v="45360"/>
    <n v="14560"/>
    <n v="0.94390243902439019"/>
    <n v="2.3255813953488372E-2"/>
    <n v="0.32098765432098764"/>
    <n v="81.481481481481481"/>
    <n v="446"/>
    <n v="0.86771300448430488"/>
    <n v="38.518518518518519"/>
    <n v="0.84753363228699552"/>
  </r>
  <r>
    <d v="2026-07-17T00:00:00"/>
    <x v="0"/>
    <x v="2"/>
    <x v="2"/>
    <x v="2"/>
    <n v="500"/>
    <n v="479"/>
    <n v="17"/>
    <n v="462"/>
    <n v="34"/>
    <n v="7.0833333333333331E-2"/>
    <n v="90"/>
    <n v="30800"/>
    <n v="41580"/>
    <n v="10780"/>
    <n v="0.95799999999999996"/>
    <n v="3.5490605427974949E-2"/>
    <n v="0.25925925925925924"/>
    <n v="66.666666666666671"/>
    <n v="446"/>
    <n v="1.0739910313901346"/>
    <n v="23.333333333333332"/>
    <n v="1.0358744394618835"/>
  </r>
  <r>
    <d v="2026-07-18T00:00:00"/>
    <x v="0"/>
    <x v="0"/>
    <x v="0"/>
    <x v="2"/>
    <n v="500"/>
    <n v="478"/>
    <n v="18"/>
    <n v="460"/>
    <n v="26"/>
    <n v="5.4166666666666669E-2"/>
    <n v="90"/>
    <n v="30800"/>
    <n v="41400"/>
    <n v="10600"/>
    <n v="0.95599999999999996"/>
    <n v="3.7656903765690378E-2"/>
    <n v="0.2560386473429952"/>
    <n v="66.956521739130437"/>
    <n v="454"/>
    <n v="1.052863436123348"/>
    <n v="23.043478260869566"/>
    <n v="1.0132158590308371"/>
  </r>
  <r>
    <d v="2026-07-18T00:00:00"/>
    <x v="0"/>
    <x v="0"/>
    <x v="1"/>
    <x v="0"/>
    <n v="450"/>
    <n v="416"/>
    <n v="23"/>
    <n v="393"/>
    <n v="33"/>
    <n v="6.8750000000000006E-2"/>
    <n v="100"/>
    <n v="30800"/>
    <n v="39300"/>
    <n v="8500"/>
    <n v="0.9244444444444444"/>
    <n v="5.5288461538461536E-2"/>
    <n v="0.21628498727735368"/>
    <n v="78.371501272264638"/>
    <n v="447"/>
    <n v="0.93064876957494402"/>
    <n v="21.628498727735369"/>
    <n v="0.87919463087248317"/>
  </r>
  <r>
    <d v="2026-07-18T00:00:00"/>
    <x v="0"/>
    <x v="0"/>
    <x v="2"/>
    <x v="1"/>
    <n v="400"/>
    <n v="362"/>
    <n v="12"/>
    <n v="350"/>
    <n v="38"/>
    <n v="7.9166666666666663E-2"/>
    <n v="120"/>
    <n v="30800"/>
    <n v="42000"/>
    <n v="11200"/>
    <n v="0.90500000000000003"/>
    <n v="3.3149171270718231E-2"/>
    <n v="0.26666666666666666"/>
    <n v="88"/>
    <n v="442"/>
    <n v="0.8190045248868778"/>
    <n v="32"/>
    <n v="0.79185520361990946"/>
  </r>
  <r>
    <d v="2026-07-18T00:00:00"/>
    <x v="0"/>
    <x v="1"/>
    <x v="0"/>
    <x v="0"/>
    <n v="450"/>
    <n v="400"/>
    <n v="24"/>
    <n v="376"/>
    <n v="63"/>
    <n v="0.13125000000000001"/>
    <n v="100"/>
    <n v="30800"/>
    <n v="37600"/>
    <n v="6800"/>
    <n v="0.88888888888888884"/>
    <n v="0.06"/>
    <n v="0.18085106382978725"/>
    <n v="81.914893617021278"/>
    <n v="417"/>
    <n v="0.95923261390887293"/>
    <n v="18.085106382978722"/>
    <n v="0.90167865707434047"/>
  </r>
  <r>
    <d v="2026-07-18T00:00:00"/>
    <x v="0"/>
    <x v="1"/>
    <x v="1"/>
    <x v="1"/>
    <n v="400"/>
    <n v="349"/>
    <n v="17"/>
    <n v="332"/>
    <n v="52"/>
    <n v="0.10833333333333334"/>
    <n v="120"/>
    <n v="30800"/>
    <n v="39840"/>
    <n v="9040"/>
    <n v="0.87250000000000005"/>
    <n v="4.8710601719197708E-2"/>
    <n v="0.22690763052208834"/>
    <n v="92.771084337349393"/>
    <n v="428"/>
    <n v="0.81542056074766356"/>
    <n v="27.228915662650603"/>
    <n v="0.77570093457943923"/>
  </r>
  <r>
    <d v="2026-07-18T00:00:00"/>
    <x v="0"/>
    <x v="1"/>
    <x v="2"/>
    <x v="2"/>
    <n v="480"/>
    <n v="410"/>
    <n v="24"/>
    <n v="386"/>
    <n v="64"/>
    <n v="0.13333333333333333"/>
    <n v="90"/>
    <n v="30800"/>
    <n v="34740"/>
    <n v="3940"/>
    <n v="0.85416666666666663"/>
    <n v="5.8536585365853662E-2"/>
    <n v="0.11341393206678181"/>
    <n v="79.792746113989637"/>
    <n v="416"/>
    <n v="0.98557692307692313"/>
    <n v="10.207253886010363"/>
    <n v="0.92788461538461542"/>
  </r>
  <r>
    <d v="2026-07-18T00:00:00"/>
    <x v="0"/>
    <x v="2"/>
    <x v="0"/>
    <x v="1"/>
    <n v="410"/>
    <n v="412"/>
    <n v="9"/>
    <n v="403"/>
    <n v="27"/>
    <n v="5.6250000000000001E-2"/>
    <n v="120"/>
    <n v="30800"/>
    <n v="48360"/>
    <n v="17560"/>
    <n v="1.0048780487804878"/>
    <n v="2.1844660194174758E-2"/>
    <n v="0.36311000827129858"/>
    <n v="76.426799007444174"/>
    <n v="453"/>
    <n v="0.90949227373068431"/>
    <n v="43.573200992555833"/>
    <n v="0.88962472406181015"/>
  </r>
  <r>
    <d v="2026-07-18T00:00:00"/>
    <x v="0"/>
    <x v="2"/>
    <x v="1"/>
    <x v="2"/>
    <n v="510"/>
    <n v="507"/>
    <n v="18"/>
    <n v="489"/>
    <n v="14"/>
    <n v="2.9166666666666667E-2"/>
    <n v="90"/>
    <n v="30800"/>
    <n v="44010"/>
    <n v="13210"/>
    <n v="0.99411764705882355"/>
    <n v="3.5502958579881658E-2"/>
    <n v="0.30015905476028176"/>
    <n v="62.985685071574643"/>
    <n v="466"/>
    <n v="1.0879828326180256"/>
    <n v="27.014314928425357"/>
    <n v="1.0493562231759657"/>
  </r>
  <r>
    <d v="2026-07-18T00:00:00"/>
    <x v="0"/>
    <x v="2"/>
    <x v="2"/>
    <x v="0"/>
    <n v="440"/>
    <n v="408"/>
    <n v="22"/>
    <n v="386"/>
    <n v="46"/>
    <n v="9.583333333333334E-2"/>
    <n v="100"/>
    <n v="30800"/>
    <n v="38600"/>
    <n v="7800"/>
    <n v="0.92727272727272725"/>
    <n v="5.3921568627450983E-2"/>
    <n v="0.20207253886010362"/>
    <n v="79.792746113989637"/>
    <n v="434"/>
    <n v="0.94009216589861755"/>
    <n v="20.207253886010363"/>
    <n v="0.88940092165898621"/>
  </r>
  <r>
    <d v="2026-07-19T00:00:00"/>
    <x v="0"/>
    <x v="0"/>
    <x v="0"/>
    <x v="0"/>
    <n v="450"/>
    <n v="431"/>
    <n v="18"/>
    <n v="413"/>
    <n v="35"/>
    <n v="7.2916666666666671E-2"/>
    <n v="100"/>
    <n v="30800"/>
    <n v="41300"/>
    <n v="10500"/>
    <n v="0.95777777777777773"/>
    <n v="4.1763341067285381E-2"/>
    <n v="0.25423728813559321"/>
    <n v="74.576271186440678"/>
    <n v="445"/>
    <n v="0.96853932584269664"/>
    <n v="25.423728813559322"/>
    <n v="0.92808988764044942"/>
  </r>
  <r>
    <d v="2026-07-19T00:00:00"/>
    <x v="0"/>
    <x v="0"/>
    <x v="1"/>
    <x v="1"/>
    <n v="400"/>
    <n v="380"/>
    <n v="10"/>
    <n v="370"/>
    <n v="26"/>
    <n v="5.4166666666666669E-2"/>
    <n v="120"/>
    <n v="30800"/>
    <n v="44400"/>
    <n v="13600"/>
    <n v="0.95"/>
    <n v="2.6315789473684209E-2"/>
    <n v="0.30630630630630629"/>
    <n v="83.243243243243242"/>
    <n v="454"/>
    <n v="0.83700440528634357"/>
    <n v="36.756756756756758"/>
    <n v="0.81497797356828194"/>
  </r>
  <r>
    <d v="2026-07-19T00:00:00"/>
    <x v="0"/>
    <x v="0"/>
    <x v="2"/>
    <x v="2"/>
    <n v="510"/>
    <n v="472"/>
    <n v="18"/>
    <n v="454"/>
    <n v="33"/>
    <n v="6.8750000000000006E-2"/>
    <n v="90"/>
    <n v="30800"/>
    <n v="40860"/>
    <n v="10060"/>
    <n v="0.92549019607843142"/>
    <n v="3.8135593220338986E-2"/>
    <n v="0.24620655898188937"/>
    <n v="67.841409691629963"/>
    <n v="447"/>
    <n v="1.0559284116331096"/>
    <n v="22.158590308370044"/>
    <n v="1.0156599552572707"/>
  </r>
  <r>
    <d v="2026-07-19T00:00:00"/>
    <x v="0"/>
    <x v="1"/>
    <x v="0"/>
    <x v="1"/>
    <n v="410"/>
    <n v="375"/>
    <n v="20"/>
    <n v="355"/>
    <n v="60"/>
    <n v="0.125"/>
    <n v="120"/>
    <n v="30800"/>
    <n v="42600"/>
    <n v="11800"/>
    <n v="0.91463414634146345"/>
    <n v="5.3333333333333337E-2"/>
    <n v="0.27699530516431925"/>
    <n v="86.760563380281695"/>
    <n v="420"/>
    <n v="0.8928571428571429"/>
    <n v="33.239436619718312"/>
    <n v="0.84523809523809523"/>
  </r>
  <r>
    <d v="2026-07-19T00:00:00"/>
    <x v="0"/>
    <x v="1"/>
    <x v="1"/>
    <x v="2"/>
    <n v="510"/>
    <n v="461"/>
    <n v="27"/>
    <n v="434"/>
    <n v="43"/>
    <n v="8.9583333333333334E-2"/>
    <n v="90"/>
    <n v="30800"/>
    <n v="39060"/>
    <n v="8260"/>
    <n v="0.90392156862745099"/>
    <n v="5.8568329718004339E-2"/>
    <n v="0.21146953405017921"/>
    <n v="70.967741935483872"/>
    <n v="437"/>
    <n v="1.0549199084668193"/>
    <n v="19.032258064516128"/>
    <n v="0.99313501144164762"/>
  </r>
  <r>
    <d v="2026-07-19T00:00:00"/>
    <x v="0"/>
    <x v="1"/>
    <x v="2"/>
    <x v="0"/>
    <n v="450"/>
    <n v="390"/>
    <n v="28"/>
    <n v="362"/>
    <n v="72"/>
    <n v="0.15"/>
    <n v="100"/>
    <n v="30800"/>
    <n v="36200"/>
    <n v="5400"/>
    <n v="0.8666666666666667"/>
    <n v="7.179487179487179E-2"/>
    <n v="0.14917127071823205"/>
    <n v="85.082872928176798"/>
    <n v="408"/>
    <n v="0.95588235294117652"/>
    <n v="14.917127071823204"/>
    <n v="0.88725490196078427"/>
  </r>
  <r>
    <d v="2026-07-19T00:00:00"/>
    <x v="0"/>
    <x v="2"/>
    <x v="0"/>
    <x v="2"/>
    <n v="510"/>
    <n v="500"/>
    <n v="10"/>
    <n v="490"/>
    <n v="16"/>
    <n v="3.3333333333333333E-2"/>
    <n v="90"/>
    <n v="30800"/>
    <n v="44100"/>
    <n v="13300"/>
    <n v="0.98039215686274506"/>
    <n v="0.02"/>
    <n v="0.30158730158730157"/>
    <n v="62.857142857142854"/>
    <n v="464"/>
    <n v="1.0775862068965518"/>
    <n v="27.142857142857142"/>
    <n v="1.0560344827586208"/>
  </r>
  <r>
    <d v="2026-07-19T00:00:00"/>
    <x v="0"/>
    <x v="2"/>
    <x v="1"/>
    <x v="0"/>
    <n v="440"/>
    <n v="431"/>
    <n v="21"/>
    <n v="410"/>
    <n v="32"/>
    <n v="6.6666666666666666E-2"/>
    <n v="100"/>
    <n v="30800"/>
    <n v="41000"/>
    <n v="10200"/>
    <n v="0.9795454545454545"/>
    <n v="4.8723897911832945E-2"/>
    <n v="0.24878048780487805"/>
    <n v="75.121951219512198"/>
    <n v="448"/>
    <n v="0.9620535714285714"/>
    <n v="24.878048780487806"/>
    <n v="0.9151785714285714"/>
  </r>
  <r>
    <d v="2026-07-19T00:00:00"/>
    <x v="0"/>
    <x v="2"/>
    <x v="2"/>
    <x v="1"/>
    <n v="410"/>
    <n v="380"/>
    <n v="16"/>
    <n v="364"/>
    <n v="47"/>
    <n v="9.7916666666666666E-2"/>
    <n v="120"/>
    <n v="30800"/>
    <n v="43680"/>
    <n v="12880"/>
    <n v="0.92682926829268297"/>
    <n v="4.2105263157894736E-2"/>
    <n v="0.29487179487179488"/>
    <n v="84.615384615384613"/>
    <n v="433"/>
    <n v="0.87759815242494221"/>
    <n v="35.384615384615387"/>
    <n v="0.84064665127020788"/>
  </r>
  <r>
    <d v="2026-07-20T00:00:00"/>
    <x v="0"/>
    <x v="0"/>
    <x v="0"/>
    <x v="1"/>
    <n v="390"/>
    <n v="365"/>
    <n v="9"/>
    <n v="356"/>
    <n v="21"/>
    <n v="4.3749999999999997E-2"/>
    <n v="120"/>
    <n v="30800"/>
    <n v="42720"/>
    <n v="11920"/>
    <n v="0.9358974358974359"/>
    <n v="2.4657534246575342E-2"/>
    <n v="0.27902621722846443"/>
    <n v="86.516853932584269"/>
    <n v="459"/>
    <n v="0.79520697167755994"/>
    <n v="33.483146067415731"/>
    <n v="0.77559912854030499"/>
  </r>
  <r>
    <d v="2026-07-20T00:00:00"/>
    <x v="0"/>
    <x v="0"/>
    <x v="1"/>
    <x v="2"/>
    <n v="510"/>
    <n v="494"/>
    <n v="14"/>
    <n v="480"/>
    <n v="37"/>
    <n v="7.7083333333333337E-2"/>
    <n v="90"/>
    <n v="30800"/>
    <n v="43200"/>
    <n v="12400"/>
    <n v="0.96862745098039216"/>
    <n v="2.8340080971659919E-2"/>
    <n v="0.28703703703703703"/>
    <n v="64.166666666666671"/>
    <n v="443"/>
    <n v="1.1151241534988714"/>
    <n v="25.833333333333332"/>
    <n v="1.0835214446952597"/>
  </r>
  <r>
    <d v="2026-07-20T00:00:00"/>
    <x v="0"/>
    <x v="0"/>
    <x v="2"/>
    <x v="0"/>
    <n v="450"/>
    <n v="406"/>
    <n v="22"/>
    <n v="384"/>
    <n v="60"/>
    <n v="0.125"/>
    <n v="100"/>
    <n v="30800"/>
    <n v="38400"/>
    <n v="7600"/>
    <n v="0.90222222222222226"/>
    <n v="5.4187192118226604E-2"/>
    <n v="0.19791666666666666"/>
    <n v="80.208333333333329"/>
    <n v="420"/>
    <n v="0.96666666666666667"/>
    <n v="19.791666666666668"/>
    <n v="0.91428571428571426"/>
  </r>
  <r>
    <d v="2026-07-20T00:00:00"/>
    <x v="0"/>
    <x v="1"/>
    <x v="0"/>
    <x v="2"/>
    <n v="510"/>
    <n v="472"/>
    <n v="21"/>
    <n v="451"/>
    <n v="48"/>
    <n v="0.1"/>
    <n v="90"/>
    <n v="30800"/>
    <n v="40590"/>
    <n v="9790"/>
    <n v="0.92549019607843142"/>
    <n v="4.4491525423728813E-2"/>
    <n v="0.24119241192411925"/>
    <n v="68.292682926829272"/>
    <n v="432"/>
    <n v="1.0925925925925926"/>
    <n v="21.707317073170731"/>
    <n v="1.0439814814814814"/>
  </r>
  <r>
    <d v="2026-07-20T00:00:00"/>
    <x v="0"/>
    <x v="1"/>
    <x v="1"/>
    <x v="0"/>
    <n v="470"/>
    <n v="421"/>
    <n v="30"/>
    <n v="391"/>
    <n v="51"/>
    <n v="0.10625"/>
    <n v="100"/>
    <n v="30800"/>
    <n v="39100"/>
    <n v="8300"/>
    <n v="0.89574468085106385"/>
    <n v="7.1258907363420429E-2"/>
    <n v="0.21227621483375958"/>
    <n v="78.772378516624045"/>
    <n v="429"/>
    <n v="0.98135198135198132"/>
    <n v="21.227621483375959"/>
    <n v="0.91142191142191142"/>
  </r>
  <r>
    <d v="2026-07-20T00:00:00"/>
    <x v="0"/>
    <x v="1"/>
    <x v="2"/>
    <x v="1"/>
    <n v="420"/>
    <n v="368"/>
    <n v="20"/>
    <n v="348"/>
    <n v="54"/>
    <n v="0.1125"/>
    <n v="120"/>
    <n v="30800"/>
    <n v="41760"/>
    <n v="10960"/>
    <n v="0.87619047619047619"/>
    <n v="5.434782608695652E-2"/>
    <n v="0.26245210727969348"/>
    <n v="88.505747126436788"/>
    <n v="426"/>
    <n v="0.863849765258216"/>
    <n v="31.494252873563219"/>
    <n v="0.81690140845070425"/>
  </r>
  <r>
    <d v="2026-07-20T00:00:00"/>
    <x v="0"/>
    <x v="2"/>
    <x v="0"/>
    <x v="0"/>
    <n v="450"/>
    <n v="442"/>
    <n v="14"/>
    <n v="428"/>
    <n v="18"/>
    <n v="3.7499999999999999E-2"/>
    <n v="100"/>
    <n v="30800"/>
    <n v="42800"/>
    <n v="12000"/>
    <n v="0.98222222222222222"/>
    <n v="3.1674208144796379E-2"/>
    <n v="0.28037383177570091"/>
    <n v="71.962616822429908"/>
    <n v="462"/>
    <n v="0.95670995670995673"/>
    <n v="28.037383177570092"/>
    <n v="0.92640692640692646"/>
  </r>
  <r>
    <d v="2026-07-20T00:00:00"/>
    <x v="0"/>
    <x v="2"/>
    <x v="1"/>
    <x v="1"/>
    <n v="410"/>
    <n v="401"/>
    <n v="9"/>
    <n v="392"/>
    <n v="39"/>
    <n v="8.1250000000000003E-2"/>
    <n v="120"/>
    <n v="30800"/>
    <n v="47040"/>
    <n v="16240"/>
    <n v="0.97804878048780486"/>
    <n v="2.2443890274314215E-2"/>
    <n v="0.34523809523809523"/>
    <n v="78.571428571428569"/>
    <n v="441"/>
    <n v="0.90929705215419498"/>
    <n v="41.428571428571431"/>
    <n v="0.88888888888888884"/>
  </r>
  <r>
    <d v="2026-07-20T00:00:00"/>
    <x v="0"/>
    <x v="2"/>
    <x v="2"/>
    <x v="2"/>
    <n v="500"/>
    <n v="463"/>
    <n v="21"/>
    <n v="442"/>
    <n v="33"/>
    <n v="6.8750000000000006E-2"/>
    <n v="90"/>
    <n v="30800"/>
    <n v="39780"/>
    <n v="8980"/>
    <n v="0.92600000000000005"/>
    <n v="4.5356371490280781E-2"/>
    <n v="0.22574157868275516"/>
    <n v="69.68325791855203"/>
    <n v="447"/>
    <n v="1.0357941834451903"/>
    <n v="20.316742081447963"/>
    <n v="0.98881431767337813"/>
  </r>
  <r>
    <d v="2026-07-21T00:00:00"/>
    <x v="0"/>
    <x v="0"/>
    <x v="0"/>
    <x v="2"/>
    <n v="500"/>
    <n v="469"/>
    <n v="13"/>
    <n v="456"/>
    <n v="32"/>
    <n v="6.6666666666666666E-2"/>
    <n v="90"/>
    <n v="30800"/>
    <n v="41040"/>
    <n v="10240"/>
    <n v="0.93799999999999994"/>
    <n v="2.7718550106609809E-2"/>
    <n v="0.24951267056530213"/>
    <n v="67.543859649122808"/>
    <n v="448"/>
    <n v="1.046875"/>
    <n v="22.456140350877192"/>
    <n v="1.0178571428571428"/>
  </r>
  <r>
    <d v="2026-07-21T00:00:00"/>
    <x v="0"/>
    <x v="0"/>
    <x v="1"/>
    <x v="0"/>
    <n v="460"/>
    <n v="427"/>
    <n v="18"/>
    <n v="409"/>
    <n v="54"/>
    <n v="0.1125"/>
    <n v="100"/>
    <n v="30800"/>
    <n v="40900"/>
    <n v="10100"/>
    <n v="0.92826086956521736"/>
    <n v="4.2154566744730677E-2"/>
    <n v="0.24694376528117359"/>
    <n v="75.30562347188264"/>
    <n v="426"/>
    <n v="1.0023474178403755"/>
    <n v="24.69437652811736"/>
    <n v="0.960093896713615"/>
  </r>
  <r>
    <d v="2026-07-21T00:00:00"/>
    <x v="0"/>
    <x v="0"/>
    <x v="2"/>
    <x v="1"/>
    <n v="390"/>
    <n v="366"/>
    <n v="14"/>
    <n v="352"/>
    <n v="31"/>
    <n v="6.458333333333334E-2"/>
    <n v="120"/>
    <n v="30800"/>
    <n v="42240"/>
    <n v="11440"/>
    <n v="0.93846153846153846"/>
    <n v="3.825136612021858E-2"/>
    <n v="0.27083333333333331"/>
    <n v="87.5"/>
    <n v="449"/>
    <n v="0.81514476614699327"/>
    <n v="32.5"/>
    <n v="0.78396436525612467"/>
  </r>
  <r>
    <d v="2026-07-21T00:00:00"/>
    <x v="0"/>
    <x v="1"/>
    <x v="0"/>
    <x v="0"/>
    <n v="460"/>
    <n v="428"/>
    <n v="27"/>
    <n v="401"/>
    <n v="62"/>
    <n v="0.12916666666666668"/>
    <n v="100"/>
    <n v="30800"/>
    <n v="40100"/>
    <n v="9300"/>
    <n v="0.93043478260869561"/>
    <n v="6.3084112149532703E-2"/>
    <n v="0.23192019950124687"/>
    <n v="76.807980049875312"/>
    <n v="418"/>
    <n v="1.0239234449760766"/>
    <n v="23.192019950124688"/>
    <n v="0.95933014354066981"/>
  </r>
  <r>
    <d v="2026-07-21T00:00:00"/>
    <x v="0"/>
    <x v="1"/>
    <x v="1"/>
    <x v="1"/>
    <n v="410"/>
    <n v="368"/>
    <n v="19"/>
    <n v="349"/>
    <n v="53"/>
    <n v="0.11041666666666666"/>
    <n v="120"/>
    <n v="30800"/>
    <n v="41880"/>
    <n v="11080"/>
    <n v="0.89756097560975612"/>
    <n v="5.1630434782608696E-2"/>
    <n v="0.26456542502387775"/>
    <n v="88.252148997134668"/>
    <n v="427"/>
    <n v="0.86182669789227162"/>
    <n v="31.747851002865328"/>
    <n v="0.81733021077283374"/>
  </r>
  <r>
    <d v="2026-07-21T00:00:00"/>
    <x v="0"/>
    <x v="1"/>
    <x v="2"/>
    <x v="2"/>
    <n v="510"/>
    <n v="440"/>
    <n v="31"/>
    <n v="409"/>
    <n v="50"/>
    <n v="0.10416666666666667"/>
    <n v="90"/>
    <n v="30800"/>
    <n v="36810"/>
    <n v="6010"/>
    <n v="0.86274509803921573"/>
    <n v="7.045454545454545E-2"/>
    <n v="0.16327085031241512"/>
    <n v="75.30562347188264"/>
    <n v="430"/>
    <n v="1.0232558139534884"/>
    <n v="14.69437652811736"/>
    <n v="0.9511627906976744"/>
  </r>
  <r>
    <d v="2026-07-21T00:00:00"/>
    <x v="0"/>
    <x v="2"/>
    <x v="0"/>
    <x v="1"/>
    <n v="400"/>
    <n v="386"/>
    <n v="10"/>
    <n v="376"/>
    <n v="11"/>
    <n v="2.2916666666666665E-2"/>
    <n v="120"/>
    <n v="30800"/>
    <n v="45120"/>
    <n v="14320"/>
    <n v="0.96499999999999997"/>
    <n v="2.5906735751295335E-2"/>
    <n v="0.31737588652482268"/>
    <n v="81.914893617021278"/>
    <n v="469"/>
    <n v="0.82302771855010659"/>
    <n v="38.085106382978722"/>
    <n v="0.80170575692963753"/>
  </r>
  <r>
    <d v="2026-07-21T00:00:00"/>
    <x v="0"/>
    <x v="2"/>
    <x v="1"/>
    <x v="2"/>
    <n v="510"/>
    <n v="501"/>
    <n v="18"/>
    <n v="483"/>
    <n v="24"/>
    <n v="0.05"/>
    <n v="90"/>
    <n v="30800"/>
    <n v="43470"/>
    <n v="12670"/>
    <n v="0.98235294117647054"/>
    <n v="3.5928143712574849E-2"/>
    <n v="0.29146537842190018"/>
    <n v="63.768115942028984"/>
    <n v="456"/>
    <n v="1.0986842105263157"/>
    <n v="26.231884057971016"/>
    <n v="1.0592105263157894"/>
  </r>
  <r>
    <d v="2026-07-21T00:00:00"/>
    <x v="0"/>
    <x v="2"/>
    <x v="2"/>
    <x v="0"/>
    <n v="460"/>
    <n v="437"/>
    <n v="20"/>
    <n v="417"/>
    <n v="29"/>
    <n v="6.0416666666666667E-2"/>
    <n v="100"/>
    <n v="30800"/>
    <n v="41700"/>
    <n v="10900"/>
    <n v="0.95"/>
    <n v="4.5766590389016017E-2"/>
    <n v="0.26139088729016785"/>
    <n v="73.860911270983209"/>
    <n v="451"/>
    <n v="0.96895787139689582"/>
    <n v="26.139088729016787"/>
    <n v="0.92461197339246115"/>
  </r>
  <r>
    <d v="2026-07-22T00:00:00"/>
    <x v="0"/>
    <x v="0"/>
    <x v="0"/>
    <x v="0"/>
    <n v="450"/>
    <n v="434"/>
    <n v="22"/>
    <n v="412"/>
    <n v="37"/>
    <n v="7.7083333333333337E-2"/>
    <n v="100"/>
    <n v="30800"/>
    <n v="41200"/>
    <n v="10400"/>
    <n v="0.96444444444444444"/>
    <n v="5.0691244239631339E-2"/>
    <n v="0.25242718446601942"/>
    <n v="74.757281553398059"/>
    <n v="443"/>
    <n v="0.97968397291196385"/>
    <n v="25.242718446601941"/>
    <n v="0.93002257336343119"/>
  </r>
  <r>
    <d v="2026-07-22T00:00:00"/>
    <x v="0"/>
    <x v="0"/>
    <x v="1"/>
    <x v="1"/>
    <n v="400"/>
    <n v="379"/>
    <n v="14"/>
    <n v="365"/>
    <n v="38"/>
    <n v="7.9166666666666663E-2"/>
    <n v="120"/>
    <n v="30800"/>
    <n v="43800"/>
    <n v="13000"/>
    <n v="0.94750000000000001"/>
    <n v="3.6939313984168866E-2"/>
    <n v="0.29680365296803651"/>
    <n v="84.38356164383562"/>
    <n v="442"/>
    <n v="0.85746606334841624"/>
    <n v="35.61643835616438"/>
    <n v="0.82579185520361986"/>
  </r>
  <r>
    <d v="2026-07-22T00:00:00"/>
    <x v="0"/>
    <x v="0"/>
    <x v="2"/>
    <x v="2"/>
    <n v="520"/>
    <n v="465"/>
    <n v="23"/>
    <n v="442"/>
    <n v="34"/>
    <n v="7.0833333333333331E-2"/>
    <n v="90"/>
    <n v="30800"/>
    <n v="39780"/>
    <n v="8980"/>
    <n v="0.89423076923076927"/>
    <n v="4.9462365591397849E-2"/>
    <n v="0.22574157868275516"/>
    <n v="69.68325791855203"/>
    <n v="446"/>
    <n v="1.0426008968609866"/>
    <n v="20.316742081447963"/>
    <n v="0.99103139013452912"/>
  </r>
  <r>
    <d v="2026-07-22T00:00:00"/>
    <x v="0"/>
    <x v="1"/>
    <x v="0"/>
    <x v="1"/>
    <n v="400"/>
    <n v="361"/>
    <n v="14"/>
    <n v="347"/>
    <n v="46"/>
    <n v="9.583333333333334E-2"/>
    <n v="120"/>
    <n v="30800"/>
    <n v="41640"/>
    <n v="10840"/>
    <n v="0.90249999999999997"/>
    <n v="3.8781163434903045E-2"/>
    <n v="0.26032660902977905"/>
    <n v="88.760806916426517"/>
    <n v="434"/>
    <n v="0.83179723502304148"/>
    <n v="31.239193083573486"/>
    <n v="0.79953917050691248"/>
  </r>
  <r>
    <d v="2026-07-22T00:00:00"/>
    <x v="0"/>
    <x v="1"/>
    <x v="1"/>
    <x v="2"/>
    <n v="510"/>
    <n v="455"/>
    <n v="24"/>
    <n v="431"/>
    <n v="60"/>
    <n v="0.125"/>
    <n v="90"/>
    <n v="30800"/>
    <n v="38790"/>
    <n v="7990"/>
    <n v="0.89215686274509809"/>
    <n v="5.2747252747252747E-2"/>
    <n v="0.20598092291827791"/>
    <n v="71.461716937354993"/>
    <n v="420"/>
    <n v="1.0833333333333333"/>
    <n v="18.538283062645011"/>
    <n v="1.0261904761904761"/>
  </r>
  <r>
    <d v="2026-07-22T00:00:00"/>
    <x v="0"/>
    <x v="1"/>
    <x v="2"/>
    <x v="0"/>
    <n v="460"/>
    <n v="387"/>
    <n v="26"/>
    <n v="361"/>
    <n v="74"/>
    <n v="0.15416666666666667"/>
    <n v="100"/>
    <n v="30800"/>
    <n v="36100"/>
    <n v="5300"/>
    <n v="0.84130434782608698"/>
    <n v="6.7183462532299745E-2"/>
    <n v="0.14681440443213298"/>
    <n v="85.31855955678671"/>
    <n v="406"/>
    <n v="0.95320197044334976"/>
    <n v="14.681440443213296"/>
    <n v="0.88916256157635465"/>
  </r>
  <r>
    <d v="2026-07-22T00:00:00"/>
    <x v="0"/>
    <x v="2"/>
    <x v="0"/>
    <x v="2"/>
    <n v="520"/>
    <n v="525"/>
    <n v="16"/>
    <n v="509"/>
    <n v="18"/>
    <n v="3.7499999999999999E-2"/>
    <n v="90"/>
    <n v="30800"/>
    <n v="45810"/>
    <n v="15010"/>
    <n v="1.0096153846153846"/>
    <n v="3.0476190476190476E-2"/>
    <n v="0.327657716655752"/>
    <n v="60.510805500982322"/>
    <n v="462"/>
    <n v="1.1363636363636365"/>
    <n v="29.489194499017682"/>
    <n v="1.1017316017316017"/>
  </r>
  <r>
    <d v="2026-07-22T00:00:00"/>
    <x v="0"/>
    <x v="2"/>
    <x v="1"/>
    <x v="0"/>
    <n v="460"/>
    <n v="452"/>
    <n v="17"/>
    <n v="435"/>
    <n v="27"/>
    <n v="5.6250000000000001E-2"/>
    <n v="100"/>
    <n v="30800"/>
    <n v="43500"/>
    <n v="12700"/>
    <n v="0.9826086956521739"/>
    <n v="3.7610619469026552E-2"/>
    <n v="0.29195402298850576"/>
    <n v="70.804597701149419"/>
    <n v="453"/>
    <n v="0.99779249448123619"/>
    <n v="29.195402298850574"/>
    <n v="0.96026490066225167"/>
  </r>
  <r>
    <d v="2026-07-22T00:00:00"/>
    <x v="0"/>
    <x v="2"/>
    <x v="2"/>
    <x v="1"/>
    <n v="410"/>
    <n v="374"/>
    <n v="15"/>
    <n v="359"/>
    <n v="32"/>
    <n v="6.6666666666666666E-2"/>
    <n v="120"/>
    <n v="30800"/>
    <n v="43080"/>
    <n v="12280"/>
    <n v="0.91219512195121955"/>
    <n v="4.0106951871657755E-2"/>
    <n v="0.2850510677808728"/>
    <n v="85.793871866295262"/>
    <n v="448"/>
    <n v="0.8348214285714286"/>
    <n v="34.206128133704738"/>
    <n v="0.8013392857142857"/>
  </r>
  <r>
    <d v="2026-07-23T00:00:00"/>
    <x v="0"/>
    <x v="0"/>
    <x v="0"/>
    <x v="1"/>
    <n v="400"/>
    <n v="375"/>
    <n v="11"/>
    <n v="364"/>
    <n v="36"/>
    <n v="7.4999999999999997E-2"/>
    <n v="120"/>
    <n v="30800"/>
    <n v="43680"/>
    <n v="12880"/>
    <n v="0.9375"/>
    <n v="2.9333333333333333E-2"/>
    <n v="0.29487179487179488"/>
    <n v="84.615384615384613"/>
    <n v="444"/>
    <n v="0.84459459459459463"/>
    <n v="35.384615384615387"/>
    <n v="0.81981981981981977"/>
  </r>
  <r>
    <d v="2026-07-23T00:00:00"/>
    <x v="0"/>
    <x v="0"/>
    <x v="1"/>
    <x v="2"/>
    <n v="510"/>
    <n v="474"/>
    <n v="14"/>
    <n v="460"/>
    <n v="32"/>
    <n v="6.6666666666666666E-2"/>
    <n v="90"/>
    <n v="30800"/>
    <n v="41400"/>
    <n v="10600"/>
    <n v="0.92941176470588238"/>
    <n v="2.9535864978902954E-2"/>
    <n v="0.2560386473429952"/>
    <n v="66.956521739130437"/>
    <n v="448"/>
    <n v="1.0580357142857142"/>
    <n v="23.043478260869566"/>
    <n v="1.0267857142857142"/>
  </r>
  <r>
    <d v="2026-07-23T00:00:00"/>
    <x v="0"/>
    <x v="0"/>
    <x v="2"/>
    <x v="0"/>
    <n v="460"/>
    <n v="423"/>
    <n v="25"/>
    <n v="398"/>
    <n v="43"/>
    <n v="8.9583333333333334E-2"/>
    <n v="100"/>
    <n v="30800"/>
    <n v="39800"/>
    <n v="9000"/>
    <n v="0.91956521739130437"/>
    <n v="5.9101654846335699E-2"/>
    <n v="0.22613065326633167"/>
    <n v="77.386934673366838"/>
    <n v="437"/>
    <n v="0.96796338672768878"/>
    <n v="22.613065326633166"/>
    <n v="0.91075514874141872"/>
  </r>
  <r>
    <d v="2026-07-23T00:00:00"/>
    <x v="0"/>
    <x v="1"/>
    <x v="0"/>
    <x v="2"/>
    <n v="510"/>
    <n v="463"/>
    <n v="24"/>
    <n v="439"/>
    <n v="45"/>
    <n v="9.375E-2"/>
    <n v="90"/>
    <n v="30800"/>
    <n v="39510"/>
    <n v="8710"/>
    <n v="0.90784313725490196"/>
    <n v="5.183585313174946E-2"/>
    <n v="0.22045051885598582"/>
    <n v="70.159453302961282"/>
    <n v="435"/>
    <n v="1.0643678160919541"/>
    <n v="19.840546697038725"/>
    <n v="1.0091954022988505"/>
  </r>
  <r>
    <d v="2026-07-23T00:00:00"/>
    <x v="0"/>
    <x v="1"/>
    <x v="1"/>
    <x v="0"/>
    <n v="460"/>
    <n v="404"/>
    <n v="27"/>
    <n v="377"/>
    <n v="59"/>
    <n v="0.12291666666666666"/>
    <n v="100"/>
    <n v="30800"/>
    <n v="37700"/>
    <n v="6900"/>
    <n v="0.87826086956521743"/>
    <n v="6.6831683168316836E-2"/>
    <n v="0.1830238726790451"/>
    <n v="81.697612732095493"/>
    <n v="421"/>
    <n v="0.95961995249406173"/>
    <n v="18.302387267904511"/>
    <n v="0.89548693586698336"/>
  </r>
  <r>
    <d v="2026-07-23T00:00:00"/>
    <x v="0"/>
    <x v="1"/>
    <x v="2"/>
    <x v="1"/>
    <n v="390"/>
    <n v="350"/>
    <n v="22"/>
    <n v="328"/>
    <n v="63"/>
    <n v="0.13125000000000001"/>
    <n v="120"/>
    <n v="30800"/>
    <n v="39360"/>
    <n v="8560"/>
    <n v="0.89743589743589747"/>
    <n v="6.2857142857142861E-2"/>
    <n v="0.21747967479674796"/>
    <n v="93.902439024390247"/>
    <n v="417"/>
    <n v="0.83932853717026379"/>
    <n v="26.097560975609756"/>
    <n v="0.78657074340527577"/>
  </r>
  <r>
    <d v="2026-07-23T00:00:00"/>
    <x v="0"/>
    <x v="2"/>
    <x v="0"/>
    <x v="0"/>
    <n v="440"/>
    <n v="428"/>
    <n v="16"/>
    <n v="412"/>
    <n v="22"/>
    <n v="4.583333333333333E-2"/>
    <n v="100"/>
    <n v="30800"/>
    <n v="41200"/>
    <n v="10400"/>
    <n v="0.97272727272727277"/>
    <n v="3.7383177570093455E-2"/>
    <n v="0.25242718446601942"/>
    <n v="74.757281553398059"/>
    <n v="458"/>
    <n v="0.93449781659388642"/>
    <n v="25.242718446601941"/>
    <n v="0.89956331877729256"/>
  </r>
  <r>
    <d v="2026-07-23T00:00:00"/>
    <x v="0"/>
    <x v="2"/>
    <x v="1"/>
    <x v="1"/>
    <n v="400"/>
    <n v="390"/>
    <n v="14"/>
    <n v="376"/>
    <n v="26"/>
    <n v="5.4166666666666669E-2"/>
    <n v="120"/>
    <n v="30800"/>
    <n v="45120"/>
    <n v="14320"/>
    <n v="0.97499999999999998"/>
    <n v="3.5897435897435895E-2"/>
    <n v="0.31737588652482268"/>
    <n v="81.914893617021278"/>
    <n v="454"/>
    <n v="0.8590308370044053"/>
    <n v="38.085106382978722"/>
    <n v="0.82819383259911894"/>
  </r>
  <r>
    <d v="2026-07-23T00:00:00"/>
    <x v="0"/>
    <x v="2"/>
    <x v="2"/>
    <x v="2"/>
    <n v="520"/>
    <n v="493"/>
    <n v="17"/>
    <n v="476"/>
    <n v="36"/>
    <n v="7.4999999999999997E-2"/>
    <n v="90"/>
    <n v="30800"/>
    <n v="42840"/>
    <n v="12040"/>
    <n v="0.94807692307692304"/>
    <n v="3.4482758620689655E-2"/>
    <n v="0.28104575163398693"/>
    <n v="64.705882352941174"/>
    <n v="444"/>
    <n v="1.1103603603603605"/>
    <n v="25.294117647058822"/>
    <n v="1.072072072072072"/>
  </r>
  <r>
    <d v="2026-07-24T00:00:00"/>
    <x v="0"/>
    <x v="0"/>
    <x v="0"/>
    <x v="2"/>
    <n v="520"/>
    <n v="506"/>
    <n v="19"/>
    <n v="487"/>
    <n v="22"/>
    <n v="4.583333333333333E-2"/>
    <n v="90"/>
    <n v="30800"/>
    <n v="43830"/>
    <n v="13030"/>
    <n v="0.97307692307692306"/>
    <n v="3.7549407114624504E-2"/>
    <n v="0.297284964636094"/>
    <n v="63.244353182751539"/>
    <n v="458"/>
    <n v="1.1048034934497817"/>
    <n v="26.755646817248461"/>
    <n v="1.0633187772925765"/>
  </r>
  <r>
    <d v="2026-07-24T00:00:00"/>
    <x v="0"/>
    <x v="0"/>
    <x v="1"/>
    <x v="0"/>
    <n v="450"/>
    <n v="423"/>
    <n v="22"/>
    <n v="401"/>
    <n v="49"/>
    <n v="0.10208333333333333"/>
    <n v="100"/>
    <n v="30800"/>
    <n v="40100"/>
    <n v="9300"/>
    <n v="0.94"/>
    <n v="5.2009456264775412E-2"/>
    <n v="0.23192019950124687"/>
    <n v="76.807980049875312"/>
    <n v="431"/>
    <n v="0.9814385150812065"/>
    <n v="23.192019950124688"/>
    <n v="0.93039443155452439"/>
  </r>
  <r>
    <d v="2026-07-24T00:00:00"/>
    <x v="0"/>
    <x v="0"/>
    <x v="2"/>
    <x v="1"/>
    <n v="410"/>
    <n v="382"/>
    <n v="17"/>
    <n v="365"/>
    <n v="35"/>
    <n v="7.2916666666666671E-2"/>
    <n v="120"/>
    <n v="30800"/>
    <n v="43800"/>
    <n v="13000"/>
    <n v="0.93170731707317078"/>
    <n v="4.4502617801047119E-2"/>
    <n v="0.29680365296803651"/>
    <n v="84.38356164383562"/>
    <n v="445"/>
    <n v="0.85842696629213489"/>
    <n v="35.61643835616438"/>
    <n v="0.8202247191011236"/>
  </r>
  <r>
    <d v="2026-07-24T00:00:00"/>
    <x v="0"/>
    <x v="1"/>
    <x v="0"/>
    <x v="0"/>
    <n v="440"/>
    <n v="403"/>
    <n v="22"/>
    <n v="381"/>
    <n v="55"/>
    <n v="0.11458333333333333"/>
    <n v="100"/>
    <n v="30800"/>
    <n v="38100"/>
    <n v="7300"/>
    <n v="0.91590909090909089"/>
    <n v="5.4590570719602979E-2"/>
    <n v="0.19160104986876642"/>
    <n v="80.839895013123353"/>
    <n v="425"/>
    <n v="0.94823529411764707"/>
    <n v="19.16010498687664"/>
    <n v="0.89647058823529413"/>
  </r>
  <r>
    <d v="2026-07-24T00:00:00"/>
    <x v="0"/>
    <x v="1"/>
    <x v="1"/>
    <x v="1"/>
    <n v="400"/>
    <n v="365"/>
    <n v="16"/>
    <n v="349"/>
    <n v="52"/>
    <n v="0.10833333333333334"/>
    <n v="120"/>
    <n v="30800"/>
    <n v="41880"/>
    <n v="11080"/>
    <n v="0.91249999999999998"/>
    <n v="4.3835616438356165E-2"/>
    <n v="0.26456542502387775"/>
    <n v="88.252148997134668"/>
    <n v="428"/>
    <n v="0.85280373831775702"/>
    <n v="31.747851002865328"/>
    <n v="0.81542056074766356"/>
  </r>
  <r>
    <d v="2026-07-24T00:00:00"/>
    <x v="0"/>
    <x v="1"/>
    <x v="2"/>
    <x v="2"/>
    <n v="510"/>
    <n v="433"/>
    <n v="25"/>
    <n v="408"/>
    <n v="61"/>
    <n v="0.12708333333333333"/>
    <n v="90"/>
    <n v="30800"/>
    <n v="36720"/>
    <n v="5920"/>
    <n v="0.84901960784313724"/>
    <n v="5.7736720554272515E-2"/>
    <n v="0.16122004357298475"/>
    <n v="75.490196078431367"/>
    <n v="419"/>
    <n v="1.0334128878281623"/>
    <n v="14.509803921568627"/>
    <n v="0.97374701670644392"/>
  </r>
  <r>
    <d v="2026-07-24T00:00:00"/>
    <x v="0"/>
    <x v="2"/>
    <x v="0"/>
    <x v="1"/>
    <n v="400"/>
    <n v="402"/>
    <n v="11"/>
    <n v="391"/>
    <n v="18"/>
    <n v="3.7499999999999999E-2"/>
    <n v="120"/>
    <n v="30800"/>
    <n v="46920"/>
    <n v="16120"/>
    <n v="1.0049999999999999"/>
    <n v="2.736318407960199E-2"/>
    <n v="0.34356351236146632"/>
    <n v="78.772378516624045"/>
    <n v="462"/>
    <n v="0.87012987012987009"/>
    <n v="41.227621483375962"/>
    <n v="0.84632034632034636"/>
  </r>
  <r>
    <d v="2026-07-24T00:00:00"/>
    <x v="0"/>
    <x v="2"/>
    <x v="1"/>
    <x v="2"/>
    <n v="520"/>
    <n v="498"/>
    <n v="18"/>
    <n v="480"/>
    <n v="15"/>
    <n v="3.125E-2"/>
    <n v="90"/>
    <n v="30800"/>
    <n v="43200"/>
    <n v="12400"/>
    <n v="0.95769230769230773"/>
    <n v="3.614457831325301E-2"/>
    <n v="0.28703703703703703"/>
    <n v="64.166666666666671"/>
    <n v="465"/>
    <n v="1.0709677419354839"/>
    <n v="25.833333333333332"/>
    <n v="1.032258064516129"/>
  </r>
  <r>
    <d v="2026-07-24T00:00:00"/>
    <x v="0"/>
    <x v="2"/>
    <x v="2"/>
    <x v="0"/>
    <n v="470"/>
    <n v="431"/>
    <n v="25"/>
    <n v="406"/>
    <n v="49"/>
    <n v="0.10208333333333333"/>
    <n v="100"/>
    <n v="30800"/>
    <n v="40600"/>
    <n v="9800"/>
    <n v="0.91702127659574473"/>
    <n v="5.8004640371229696E-2"/>
    <n v="0.2413793103448276"/>
    <n v="75.862068965517238"/>
    <n v="431"/>
    <n v="1"/>
    <n v="24.137931034482758"/>
    <n v="0.94199535962877035"/>
  </r>
  <r>
    <d v="2026-07-25T00:00:00"/>
    <x v="0"/>
    <x v="0"/>
    <x v="0"/>
    <x v="0"/>
    <n v="470"/>
    <n v="464"/>
    <n v="23"/>
    <n v="441"/>
    <n v="34"/>
    <n v="7.0833333333333331E-2"/>
    <n v="100"/>
    <n v="30800"/>
    <n v="44100"/>
    <n v="13300"/>
    <n v="0.98723404255319147"/>
    <n v="4.9568965517241381E-2"/>
    <n v="0.30158730158730157"/>
    <n v="69.841269841269835"/>
    <n v="446"/>
    <n v="1.0403587443946187"/>
    <n v="30.158730158730158"/>
    <n v="0.9887892376681614"/>
  </r>
  <r>
    <d v="2026-07-25T00:00:00"/>
    <x v="0"/>
    <x v="0"/>
    <x v="1"/>
    <x v="1"/>
    <n v="410"/>
    <n v="377"/>
    <n v="13"/>
    <n v="364"/>
    <n v="39"/>
    <n v="8.1250000000000003E-2"/>
    <n v="120"/>
    <n v="30800"/>
    <n v="43680"/>
    <n v="12880"/>
    <n v="0.91951219512195126"/>
    <n v="3.4482758620689655E-2"/>
    <n v="0.29487179487179488"/>
    <n v="84.615384615384613"/>
    <n v="441"/>
    <n v="0.85487528344671204"/>
    <n v="35.384615384615387"/>
    <n v="0.82539682539682535"/>
  </r>
  <r>
    <d v="2026-07-25T00:00:00"/>
    <x v="0"/>
    <x v="0"/>
    <x v="2"/>
    <x v="2"/>
    <n v="510"/>
    <n v="474"/>
    <n v="22"/>
    <n v="452"/>
    <n v="46"/>
    <n v="9.583333333333334E-2"/>
    <n v="90"/>
    <n v="30800"/>
    <n v="40680"/>
    <n v="9880"/>
    <n v="0.92941176470588238"/>
    <n v="4.6413502109704644E-2"/>
    <n v="0.24287118977384464"/>
    <n v="68.141592920353986"/>
    <n v="434"/>
    <n v="1.0921658986175116"/>
    <n v="21.858407079646017"/>
    <n v="1.0414746543778801"/>
  </r>
  <r>
    <d v="2026-07-25T00:00:00"/>
    <x v="0"/>
    <x v="1"/>
    <x v="0"/>
    <x v="1"/>
    <n v="390"/>
    <n v="348"/>
    <n v="13"/>
    <n v="335"/>
    <n v="53"/>
    <n v="0.11041666666666666"/>
    <n v="120"/>
    <n v="30800"/>
    <n v="40200"/>
    <n v="9400"/>
    <n v="0.89230769230769236"/>
    <n v="3.7356321839080463E-2"/>
    <n v="0.23383084577114427"/>
    <n v="91.940298507462686"/>
    <n v="427"/>
    <n v="0.81498829039812648"/>
    <n v="28.059701492537314"/>
    <n v="0.78454332552693207"/>
  </r>
  <r>
    <d v="2026-07-25T00:00:00"/>
    <x v="0"/>
    <x v="1"/>
    <x v="1"/>
    <x v="2"/>
    <n v="520"/>
    <n v="459"/>
    <n v="22"/>
    <n v="437"/>
    <n v="52"/>
    <n v="0.10833333333333334"/>
    <n v="90"/>
    <n v="30800"/>
    <n v="39330"/>
    <n v="8530"/>
    <n v="0.88269230769230766"/>
    <n v="4.793028322440087E-2"/>
    <n v="0.21688278667683702"/>
    <n v="70.480549199084663"/>
    <n v="428"/>
    <n v="1.0724299065420562"/>
    <n v="19.519450800915333"/>
    <n v="1.0210280373831775"/>
  </r>
  <r>
    <d v="2026-07-25T00:00:00"/>
    <x v="0"/>
    <x v="1"/>
    <x v="2"/>
    <x v="0"/>
    <n v="460"/>
    <n v="389"/>
    <n v="26"/>
    <n v="363"/>
    <n v="55"/>
    <n v="0.11458333333333333"/>
    <n v="100"/>
    <n v="30800"/>
    <n v="36300"/>
    <n v="5500"/>
    <n v="0.84565217391304348"/>
    <n v="6.6838046272493568E-2"/>
    <n v="0.15151515151515152"/>
    <n v="84.848484848484844"/>
    <n v="425"/>
    <n v="0.91529411764705881"/>
    <n v="15.151515151515152"/>
    <n v="0.85411764705882354"/>
  </r>
  <r>
    <d v="2026-07-25T00:00:00"/>
    <x v="0"/>
    <x v="2"/>
    <x v="0"/>
    <x v="2"/>
    <n v="520"/>
    <n v="497"/>
    <n v="11"/>
    <n v="486"/>
    <n v="22"/>
    <n v="4.583333333333333E-2"/>
    <n v="90"/>
    <n v="30800"/>
    <n v="43740"/>
    <n v="12940"/>
    <n v="0.95576923076923082"/>
    <n v="2.2132796780684104E-2"/>
    <n v="0.2958390489254687"/>
    <n v="63.374485596707821"/>
    <n v="458"/>
    <n v="1.0851528384279476"/>
    <n v="26.625514403292183"/>
    <n v="1.0611353711790392"/>
  </r>
  <r>
    <d v="2026-07-25T00:00:00"/>
    <x v="0"/>
    <x v="2"/>
    <x v="1"/>
    <x v="0"/>
    <n v="450"/>
    <n v="432"/>
    <n v="22"/>
    <n v="410"/>
    <n v="44"/>
    <n v="9.166666666666666E-2"/>
    <n v="100"/>
    <n v="30800"/>
    <n v="41000"/>
    <n v="10200"/>
    <n v="0.96"/>
    <n v="5.0925925925925923E-2"/>
    <n v="0.24878048780487805"/>
    <n v="75.121951219512198"/>
    <n v="436"/>
    <n v="0.99082568807339455"/>
    <n v="24.878048780487806"/>
    <n v="0.94036697247706424"/>
  </r>
  <r>
    <d v="2026-07-25T00:00:00"/>
    <x v="0"/>
    <x v="2"/>
    <x v="2"/>
    <x v="1"/>
    <n v="400"/>
    <n v="381"/>
    <n v="11"/>
    <n v="370"/>
    <n v="36"/>
    <n v="7.4999999999999997E-2"/>
    <n v="120"/>
    <n v="30800"/>
    <n v="44400"/>
    <n v="13600"/>
    <n v="0.95250000000000001"/>
    <n v="2.8871391076115485E-2"/>
    <n v="0.30630630630630629"/>
    <n v="83.243243243243242"/>
    <n v="444"/>
    <n v="0.85810810810810811"/>
    <n v="36.756756756756758"/>
    <n v="0.83333333333333337"/>
  </r>
  <r>
    <d v="2026-07-26T00:00:00"/>
    <x v="0"/>
    <x v="0"/>
    <x v="0"/>
    <x v="1"/>
    <n v="390"/>
    <n v="373"/>
    <n v="10"/>
    <n v="363"/>
    <n v="26"/>
    <n v="5.4166666666666669E-2"/>
    <n v="120"/>
    <n v="30800"/>
    <n v="43560"/>
    <n v="12760"/>
    <n v="0.95641025641025645"/>
    <n v="2.6809651474530832E-2"/>
    <n v="0.29292929292929293"/>
    <n v="84.848484848484844"/>
    <n v="454"/>
    <n v="0.82158590308370039"/>
    <n v="35.151515151515149"/>
    <n v="0.79955947136563876"/>
  </r>
  <r>
    <d v="2026-07-26T00:00:00"/>
    <x v="0"/>
    <x v="0"/>
    <x v="1"/>
    <x v="2"/>
    <n v="510"/>
    <n v="475"/>
    <n v="17"/>
    <n v="458"/>
    <n v="27"/>
    <n v="5.6250000000000001E-2"/>
    <n v="90"/>
    <n v="30800"/>
    <n v="41220"/>
    <n v="10420"/>
    <n v="0.93137254901960786"/>
    <n v="3.5789473684210524E-2"/>
    <n v="0.25278990781174188"/>
    <n v="67.248908296943227"/>
    <n v="453"/>
    <n v="1.0485651214128036"/>
    <n v="22.751091703056769"/>
    <n v="1.011037527593819"/>
  </r>
  <r>
    <d v="2026-07-26T00:00:00"/>
    <x v="0"/>
    <x v="0"/>
    <x v="2"/>
    <x v="0"/>
    <n v="440"/>
    <n v="409"/>
    <n v="24"/>
    <n v="385"/>
    <n v="56"/>
    <n v="0.11666666666666667"/>
    <n v="100"/>
    <n v="30800"/>
    <n v="38500"/>
    <n v="7700"/>
    <n v="0.92954545454545456"/>
    <n v="5.8679706601466992E-2"/>
    <n v="0.2"/>
    <n v="80"/>
    <n v="424"/>
    <n v="0.964622641509434"/>
    <n v="20"/>
    <n v="0.90801886792452835"/>
  </r>
  <r>
    <d v="2026-07-26T00:00:00"/>
    <x v="0"/>
    <x v="1"/>
    <x v="0"/>
    <x v="2"/>
    <n v="480"/>
    <n v="429"/>
    <n v="25"/>
    <n v="404"/>
    <n v="45"/>
    <n v="9.375E-2"/>
    <n v="90"/>
    <n v="30800"/>
    <n v="36360"/>
    <n v="5560"/>
    <n v="0.89375000000000004"/>
    <n v="5.8275058275058272E-2"/>
    <n v="0.15291529152915292"/>
    <n v="76.237623762376231"/>
    <n v="435"/>
    <n v="0.98620689655172411"/>
    <n v="13.762376237623762"/>
    <n v="0.92873563218390809"/>
  </r>
  <r>
    <d v="2026-07-26T00:00:00"/>
    <x v="0"/>
    <x v="1"/>
    <x v="1"/>
    <x v="0"/>
    <n v="460"/>
    <n v="417"/>
    <n v="29"/>
    <n v="388"/>
    <n v="48"/>
    <n v="0.1"/>
    <n v="100"/>
    <n v="30800"/>
    <n v="38800"/>
    <n v="8000"/>
    <n v="0.90652173913043477"/>
    <n v="6.9544364508393283E-2"/>
    <n v="0.20618556701030927"/>
    <n v="79.381443298969074"/>
    <n v="432"/>
    <n v="0.96527777777777779"/>
    <n v="20.618556701030929"/>
    <n v="0.89814814814814814"/>
  </r>
  <r>
    <d v="2026-07-26T00:00:00"/>
    <x v="0"/>
    <x v="1"/>
    <x v="2"/>
    <x v="1"/>
    <n v="410"/>
    <n v="350"/>
    <n v="19"/>
    <n v="331"/>
    <n v="67"/>
    <n v="0.13958333333333334"/>
    <n v="120"/>
    <n v="30800"/>
    <n v="39720"/>
    <n v="8920"/>
    <n v="0.85365853658536583"/>
    <n v="5.4285714285714284E-2"/>
    <n v="0.22457200402819738"/>
    <n v="93.051359516616316"/>
    <n v="413"/>
    <n v="0.84745762711864403"/>
    <n v="26.948640483383684"/>
    <n v="0.801452784503632"/>
  </r>
  <r>
    <d v="2026-07-26T00:00:00"/>
    <x v="0"/>
    <x v="2"/>
    <x v="0"/>
    <x v="0"/>
    <n v="430"/>
    <n v="427"/>
    <n v="14"/>
    <n v="413"/>
    <n v="21"/>
    <n v="4.3749999999999997E-2"/>
    <n v="100"/>
    <n v="30800"/>
    <n v="41300"/>
    <n v="10500"/>
    <n v="0.99302325581395345"/>
    <n v="3.2786885245901641E-2"/>
    <n v="0.25423728813559321"/>
    <n v="74.576271186440678"/>
    <n v="459"/>
    <n v="0.93028322440087141"/>
    <n v="25.423728813559322"/>
    <n v="0.89978213507625271"/>
  </r>
  <r>
    <d v="2026-07-26T00:00:00"/>
    <x v="0"/>
    <x v="2"/>
    <x v="1"/>
    <x v="1"/>
    <n v="390"/>
    <n v="369"/>
    <n v="12"/>
    <n v="357"/>
    <n v="17"/>
    <n v="3.5416666666666666E-2"/>
    <n v="120"/>
    <n v="30800"/>
    <n v="42840"/>
    <n v="12040"/>
    <n v="0.94615384615384612"/>
    <n v="3.2520325203252036E-2"/>
    <n v="0.28104575163398693"/>
    <n v="86.274509803921575"/>
    <n v="463"/>
    <n v="0.79697624190064797"/>
    <n v="33.725490196078432"/>
    <n v="0.7710583153347732"/>
  </r>
  <r>
    <d v="2026-07-26T00:00:00"/>
    <x v="0"/>
    <x v="2"/>
    <x v="2"/>
    <x v="2"/>
    <n v="510"/>
    <n v="468"/>
    <n v="15"/>
    <n v="453"/>
    <n v="26"/>
    <n v="5.4166666666666669E-2"/>
    <n v="90"/>
    <n v="30800"/>
    <n v="40770"/>
    <n v="9970"/>
    <n v="0.91764705882352937"/>
    <n v="3.2051282051282048E-2"/>
    <n v="0.24454255580083395"/>
    <n v="67.99116997792494"/>
    <n v="454"/>
    <n v="1.0308370044052864"/>
    <n v="22.008830022075056"/>
    <n v="0.99779735682819382"/>
  </r>
  <r>
    <d v="2026-07-27T00:00:00"/>
    <x v="0"/>
    <x v="0"/>
    <x v="0"/>
    <x v="2"/>
    <n v="480"/>
    <n v="470"/>
    <n v="12"/>
    <n v="458"/>
    <n v="24"/>
    <n v="0.05"/>
    <n v="90"/>
    <n v="30800"/>
    <n v="41220"/>
    <n v="10420"/>
    <n v="0.97916666666666663"/>
    <n v="2.553191489361702E-2"/>
    <n v="0.25278990781174188"/>
    <n v="67.248908296943227"/>
    <n v="456"/>
    <n v="1.0307017543859649"/>
    <n v="22.751091703056769"/>
    <n v="1.0043859649122806"/>
  </r>
  <r>
    <d v="2026-07-27T00:00:00"/>
    <x v="0"/>
    <x v="0"/>
    <x v="1"/>
    <x v="0"/>
    <n v="450"/>
    <n v="413"/>
    <n v="19"/>
    <n v="394"/>
    <n v="34"/>
    <n v="7.0833333333333331E-2"/>
    <n v="100"/>
    <n v="30800"/>
    <n v="39400"/>
    <n v="8600"/>
    <n v="0.9177777777777778"/>
    <n v="4.6004842615012108E-2"/>
    <n v="0.21827411167512689"/>
    <n v="78.172588832487307"/>
    <n v="446"/>
    <n v="0.92600896860986548"/>
    <n v="21.82741116751269"/>
    <n v="0.88340807174887892"/>
  </r>
  <r>
    <d v="2026-07-27T00:00:00"/>
    <x v="0"/>
    <x v="0"/>
    <x v="2"/>
    <x v="1"/>
    <n v="400"/>
    <n v="373"/>
    <n v="15"/>
    <n v="358"/>
    <n v="55"/>
    <n v="0.11458333333333333"/>
    <n v="120"/>
    <n v="30800"/>
    <n v="42960"/>
    <n v="12160"/>
    <n v="0.9325"/>
    <n v="4.0214477211796246E-2"/>
    <n v="0.28305400372439476"/>
    <n v="86.033519553072622"/>
    <n v="425"/>
    <n v="0.87764705882352945"/>
    <n v="33.966480446927378"/>
    <n v="0.84235294117647064"/>
  </r>
  <r>
    <d v="2026-07-27T00:00:00"/>
    <x v="0"/>
    <x v="1"/>
    <x v="0"/>
    <x v="0"/>
    <n v="450"/>
    <n v="398"/>
    <n v="25"/>
    <n v="373"/>
    <n v="60"/>
    <n v="0.125"/>
    <n v="100"/>
    <n v="30800"/>
    <n v="37300"/>
    <n v="6500"/>
    <n v="0.88444444444444448"/>
    <n v="6.2814070351758788E-2"/>
    <n v="0.17426273458445041"/>
    <n v="82.573726541554961"/>
    <n v="420"/>
    <n v="0.94761904761904758"/>
    <n v="17.426273458445039"/>
    <n v="0.88809523809523805"/>
  </r>
  <r>
    <d v="2026-07-27T00:00:00"/>
    <x v="0"/>
    <x v="1"/>
    <x v="1"/>
    <x v="1"/>
    <n v="410"/>
    <n v="378"/>
    <n v="20"/>
    <n v="358"/>
    <n v="52"/>
    <n v="0.10833333333333334"/>
    <n v="120"/>
    <n v="30800"/>
    <n v="42960"/>
    <n v="12160"/>
    <n v="0.92195121951219516"/>
    <n v="5.2910052910052907E-2"/>
    <n v="0.28305400372439476"/>
    <n v="86.033519553072622"/>
    <n v="428"/>
    <n v="0.88317757009345799"/>
    <n v="33.966480446927378"/>
    <n v="0.83644859813084116"/>
  </r>
  <r>
    <d v="2026-07-27T00:00:00"/>
    <x v="0"/>
    <x v="1"/>
    <x v="2"/>
    <x v="2"/>
    <n v="510"/>
    <n v="428"/>
    <n v="30"/>
    <n v="398"/>
    <n v="56"/>
    <n v="0.11666666666666667"/>
    <n v="90"/>
    <n v="30800"/>
    <n v="35820"/>
    <n v="5020"/>
    <n v="0.83921568627450982"/>
    <n v="7.0093457943925228E-2"/>
    <n v="0.14014517029592408"/>
    <n v="77.386934673366838"/>
    <n v="424"/>
    <n v="1.0094339622641511"/>
    <n v="12.613065326633166"/>
    <n v="0.93867924528301883"/>
  </r>
  <r>
    <d v="2026-07-27T00:00:00"/>
    <x v="0"/>
    <x v="2"/>
    <x v="0"/>
    <x v="1"/>
    <n v="410"/>
    <n v="401"/>
    <n v="11"/>
    <n v="390"/>
    <n v="12"/>
    <n v="2.5000000000000001E-2"/>
    <n v="120"/>
    <n v="30800"/>
    <n v="46800"/>
    <n v="16000"/>
    <n v="0.97804878048780486"/>
    <n v="2.7431421446384038E-2"/>
    <n v="0.34188034188034189"/>
    <n v="78.974358974358978"/>
    <n v="468"/>
    <n v="0.85683760683760679"/>
    <n v="41.025641025641029"/>
    <n v="0.83333333333333337"/>
  </r>
  <r>
    <d v="2026-07-27T00:00:00"/>
    <x v="0"/>
    <x v="2"/>
    <x v="1"/>
    <x v="2"/>
    <n v="490"/>
    <n v="464"/>
    <n v="12"/>
    <n v="452"/>
    <n v="31"/>
    <n v="6.458333333333334E-2"/>
    <n v="90"/>
    <n v="30800"/>
    <n v="40680"/>
    <n v="9880"/>
    <n v="0.94693877551020411"/>
    <n v="2.5862068965517241E-2"/>
    <n v="0.24287118977384464"/>
    <n v="68.141592920353986"/>
    <n v="449"/>
    <n v="1.0334075723830736"/>
    <n v="21.858407079646017"/>
    <n v="1.0066815144766148"/>
  </r>
  <r>
    <d v="2026-07-27T00:00:00"/>
    <x v="0"/>
    <x v="2"/>
    <x v="2"/>
    <x v="0"/>
    <n v="450"/>
    <n v="428"/>
    <n v="21"/>
    <n v="407"/>
    <n v="47"/>
    <n v="9.7916666666666666E-2"/>
    <n v="100"/>
    <n v="30800"/>
    <n v="40700"/>
    <n v="9900"/>
    <n v="0.95111111111111113"/>
    <n v="4.9065420560747662E-2"/>
    <n v="0.24324324324324326"/>
    <n v="75.675675675675677"/>
    <n v="433"/>
    <n v="0.98845265588914555"/>
    <n v="24.324324324324323"/>
    <n v="0.93995381062355654"/>
  </r>
  <r>
    <d v="2026-07-28T00:00:00"/>
    <x v="0"/>
    <x v="0"/>
    <x v="0"/>
    <x v="0"/>
    <n v="440"/>
    <n v="421"/>
    <n v="18"/>
    <n v="403"/>
    <n v="45"/>
    <n v="9.375E-2"/>
    <n v="100"/>
    <n v="30800"/>
    <n v="40300"/>
    <n v="9500"/>
    <n v="0.95681818181818179"/>
    <n v="4.2755344418052253E-2"/>
    <n v="0.23573200992555832"/>
    <n v="76.426799007444174"/>
    <n v="435"/>
    <n v="0.96781609195402296"/>
    <n v="23.573200992555833"/>
    <n v="0.9264367816091954"/>
  </r>
  <r>
    <d v="2026-07-28T00:00:00"/>
    <x v="0"/>
    <x v="0"/>
    <x v="1"/>
    <x v="1"/>
    <n v="410"/>
    <n v="392"/>
    <n v="15"/>
    <n v="377"/>
    <n v="48"/>
    <n v="0.1"/>
    <n v="120"/>
    <n v="30800"/>
    <n v="45240"/>
    <n v="14440"/>
    <n v="0.95609756097560972"/>
    <n v="3.826530612244898E-2"/>
    <n v="0.31918656056587091"/>
    <n v="81.697612732095493"/>
    <n v="432"/>
    <n v="0.90740740740740744"/>
    <n v="38.302387267904507"/>
    <n v="0.87268518518518523"/>
  </r>
  <r>
    <d v="2026-07-28T00:00:00"/>
    <x v="0"/>
    <x v="0"/>
    <x v="2"/>
    <x v="2"/>
    <n v="500"/>
    <n v="470"/>
    <n v="21"/>
    <n v="449"/>
    <n v="40"/>
    <n v="8.3333333333333329E-2"/>
    <n v="90"/>
    <n v="30800"/>
    <n v="40410"/>
    <n v="9610"/>
    <n v="0.94"/>
    <n v="4.4680851063829789E-2"/>
    <n v="0.23781242266765651"/>
    <n v="68.596881959910917"/>
    <n v="440"/>
    <n v="1.0681818181818181"/>
    <n v="21.403118040089087"/>
    <n v="1.0204545454545455"/>
  </r>
  <r>
    <d v="2026-07-28T00:00:00"/>
    <x v="0"/>
    <x v="1"/>
    <x v="0"/>
    <x v="1"/>
    <n v="400"/>
    <n v="353"/>
    <n v="16"/>
    <n v="337"/>
    <n v="57"/>
    <n v="0.11874999999999999"/>
    <n v="120"/>
    <n v="30800"/>
    <n v="40440"/>
    <n v="9640"/>
    <n v="0.88249999999999995"/>
    <n v="4.5325779036827198E-2"/>
    <n v="0.23837784371909002"/>
    <n v="91.394658753709194"/>
    <n v="423"/>
    <n v="0.83451536643026003"/>
    <n v="28.605341246290802"/>
    <n v="0.79669030732860524"/>
  </r>
  <r>
    <d v="2026-07-28T00:00:00"/>
    <x v="0"/>
    <x v="1"/>
    <x v="1"/>
    <x v="2"/>
    <n v="490"/>
    <n v="429"/>
    <n v="26"/>
    <n v="403"/>
    <n v="40"/>
    <n v="8.3333333333333329E-2"/>
    <n v="90"/>
    <n v="30800"/>
    <n v="36270"/>
    <n v="5470"/>
    <n v="0.8755102040816326"/>
    <n v="6.0606060606060608E-2"/>
    <n v="0.15081334436173147"/>
    <n v="76.426799007444174"/>
    <n v="440"/>
    <n v="0.97499999999999998"/>
    <n v="13.573200992555831"/>
    <n v="0.91590909090909089"/>
  </r>
  <r>
    <d v="2026-07-28T00:00:00"/>
    <x v="0"/>
    <x v="1"/>
    <x v="2"/>
    <x v="0"/>
    <n v="460"/>
    <n v="387"/>
    <n v="27"/>
    <n v="360"/>
    <n v="77"/>
    <n v="0.16041666666666668"/>
    <n v="100"/>
    <n v="30800"/>
    <n v="36000"/>
    <n v="5200"/>
    <n v="0.84130434782608698"/>
    <n v="6.9767441860465115E-2"/>
    <n v="0.14444444444444443"/>
    <n v="85.555555555555557"/>
    <n v="403"/>
    <n v="0.96029776674937961"/>
    <n v="14.444444444444445"/>
    <n v="0.89330024813895781"/>
  </r>
  <r>
    <d v="2026-07-28T00:00:00"/>
    <x v="0"/>
    <x v="2"/>
    <x v="0"/>
    <x v="2"/>
    <n v="510"/>
    <n v="500"/>
    <n v="14"/>
    <n v="486"/>
    <n v="22"/>
    <n v="4.583333333333333E-2"/>
    <n v="90"/>
    <n v="30800"/>
    <n v="43740"/>
    <n v="12940"/>
    <n v="0.98039215686274506"/>
    <n v="2.8000000000000001E-2"/>
    <n v="0.2958390489254687"/>
    <n v="63.374485596707821"/>
    <n v="458"/>
    <n v="1.0917030567685591"/>
    <n v="26.625514403292183"/>
    <n v="1.0611353711790392"/>
  </r>
  <r>
    <d v="2026-07-28T00:00:00"/>
    <x v="0"/>
    <x v="2"/>
    <x v="1"/>
    <x v="0"/>
    <n v="440"/>
    <n v="415"/>
    <n v="17"/>
    <n v="398"/>
    <n v="43"/>
    <n v="8.9583333333333334E-2"/>
    <n v="100"/>
    <n v="30800"/>
    <n v="39800"/>
    <n v="9000"/>
    <n v="0.94318181818181823"/>
    <n v="4.0963855421686748E-2"/>
    <n v="0.22613065326633167"/>
    <n v="77.386934673366838"/>
    <n v="437"/>
    <n v="0.94965675057208243"/>
    <n v="22.613065326633166"/>
    <n v="0.91075514874141872"/>
  </r>
  <r>
    <d v="2026-07-28T00:00:00"/>
    <x v="0"/>
    <x v="2"/>
    <x v="2"/>
    <x v="1"/>
    <n v="410"/>
    <n v="389"/>
    <n v="17"/>
    <n v="372"/>
    <n v="42"/>
    <n v="8.7499999999999994E-2"/>
    <n v="120"/>
    <n v="30800"/>
    <n v="44640"/>
    <n v="13840"/>
    <n v="0.948780487804878"/>
    <n v="4.3701799485861184E-2"/>
    <n v="0.31003584229390679"/>
    <n v="82.795698924731184"/>
    <n v="438"/>
    <n v="0.88812785388127857"/>
    <n v="37.204301075268816"/>
    <n v="0.84931506849315064"/>
  </r>
  <r>
    <d v="2026-07-29T00:00:00"/>
    <x v="0"/>
    <x v="0"/>
    <x v="0"/>
    <x v="1"/>
    <n v="400"/>
    <n v="384"/>
    <n v="9"/>
    <n v="375"/>
    <n v="39"/>
    <n v="8.1250000000000003E-2"/>
    <n v="120"/>
    <n v="30800"/>
    <n v="45000"/>
    <n v="14200"/>
    <n v="0.96"/>
    <n v="2.34375E-2"/>
    <n v="0.31555555555555553"/>
    <n v="82.13333333333334"/>
    <n v="441"/>
    <n v="0.87074829931972786"/>
    <n v="37.866666666666667"/>
    <n v="0.85034013605442171"/>
  </r>
  <r>
    <d v="2026-07-29T00:00:00"/>
    <x v="0"/>
    <x v="0"/>
    <x v="1"/>
    <x v="2"/>
    <n v="490"/>
    <n v="452"/>
    <n v="19"/>
    <n v="433"/>
    <n v="31"/>
    <n v="6.458333333333334E-2"/>
    <n v="90"/>
    <n v="30800"/>
    <n v="38970"/>
    <n v="8170"/>
    <n v="0.92244897959183669"/>
    <n v="4.2035398230088498E-2"/>
    <n v="0.20964844752373621"/>
    <n v="71.131639722863738"/>
    <n v="449"/>
    <n v="1.0066815144766148"/>
    <n v="18.868360277136258"/>
    <n v="0.96436525612472157"/>
  </r>
  <r>
    <d v="2026-07-29T00:00:00"/>
    <x v="0"/>
    <x v="0"/>
    <x v="2"/>
    <x v="0"/>
    <n v="460"/>
    <n v="423"/>
    <n v="26"/>
    <n v="397"/>
    <n v="53"/>
    <n v="0.11041666666666666"/>
    <n v="100"/>
    <n v="30800"/>
    <n v="39700"/>
    <n v="8900"/>
    <n v="0.91956521739130437"/>
    <n v="6.1465721040189124E-2"/>
    <n v="0.22418136020151133"/>
    <n v="77.581863979848862"/>
    <n v="427"/>
    <n v="0.99063231850117095"/>
    <n v="22.418136020151135"/>
    <n v="0.92974238875878223"/>
  </r>
  <r>
    <d v="2026-07-29T00:00:00"/>
    <x v="0"/>
    <x v="1"/>
    <x v="0"/>
    <x v="2"/>
    <n v="500"/>
    <n v="457"/>
    <n v="19"/>
    <n v="438"/>
    <n v="52"/>
    <n v="0.10833333333333334"/>
    <n v="90"/>
    <n v="30800"/>
    <n v="39420"/>
    <n v="8620"/>
    <n v="0.91400000000000003"/>
    <n v="4.1575492341356671E-2"/>
    <n v="0.21867072552004058"/>
    <n v="70.319634703196343"/>
    <n v="428"/>
    <n v="1.0677570093457944"/>
    <n v="19.680365296803654"/>
    <n v="1.0233644859813085"/>
  </r>
  <r>
    <d v="2026-07-29T00:00:00"/>
    <x v="0"/>
    <x v="1"/>
    <x v="1"/>
    <x v="0"/>
    <n v="430"/>
    <n v="379"/>
    <n v="27"/>
    <n v="352"/>
    <n v="58"/>
    <n v="0.12083333333333333"/>
    <n v="100"/>
    <n v="30800"/>
    <n v="35200"/>
    <n v="4400"/>
    <n v="0.88139534883720927"/>
    <n v="7.1240105540897103E-2"/>
    <n v="0.125"/>
    <n v="87.5"/>
    <n v="422"/>
    <n v="0.8981042654028436"/>
    <n v="12.5"/>
    <n v="0.83412322274881512"/>
  </r>
  <r>
    <d v="2026-07-29T00:00:00"/>
    <x v="0"/>
    <x v="1"/>
    <x v="2"/>
    <x v="1"/>
    <n v="380"/>
    <n v="337"/>
    <n v="20"/>
    <n v="317"/>
    <n v="61"/>
    <n v="0.12708333333333333"/>
    <n v="120"/>
    <n v="30800"/>
    <n v="38040"/>
    <n v="7240"/>
    <n v="0.88684210526315788"/>
    <n v="5.9347181008902079E-2"/>
    <n v="0.19032597266035753"/>
    <n v="97.160883280757105"/>
    <n v="419"/>
    <n v="0.80429594272076377"/>
    <n v="22.839116719242902"/>
    <n v="0.75656324582338907"/>
  </r>
  <r>
    <d v="2026-07-29T00:00:00"/>
    <x v="0"/>
    <x v="2"/>
    <x v="0"/>
    <x v="0"/>
    <n v="440"/>
    <n v="433"/>
    <n v="13"/>
    <n v="420"/>
    <n v="38"/>
    <n v="7.9166666666666663E-2"/>
    <n v="100"/>
    <n v="30800"/>
    <n v="42000"/>
    <n v="11200"/>
    <n v="0.98409090909090913"/>
    <n v="3.0023094688221709E-2"/>
    <n v="0.26666666666666666"/>
    <n v="73.333333333333329"/>
    <n v="442"/>
    <n v="0.97963800904977372"/>
    <n v="26.666666666666668"/>
    <n v="0.95022624434389136"/>
  </r>
  <r>
    <d v="2026-07-29T00:00:00"/>
    <x v="0"/>
    <x v="2"/>
    <x v="1"/>
    <x v="1"/>
    <n v="390"/>
    <n v="375"/>
    <n v="9"/>
    <n v="366"/>
    <n v="28"/>
    <n v="5.8333333333333334E-2"/>
    <n v="120"/>
    <n v="30800"/>
    <n v="43920"/>
    <n v="13120"/>
    <n v="0.96153846153846156"/>
    <n v="2.4E-2"/>
    <n v="0.2987249544626594"/>
    <n v="84.15300546448087"/>
    <n v="452"/>
    <n v="0.82964601769911506"/>
    <n v="35.846994535519123"/>
    <n v="0.80973451327433632"/>
  </r>
  <r>
    <d v="2026-07-29T00:00:00"/>
    <x v="0"/>
    <x v="2"/>
    <x v="2"/>
    <x v="2"/>
    <n v="510"/>
    <n v="486"/>
    <n v="19"/>
    <n v="467"/>
    <n v="20"/>
    <n v="4.1666666666666664E-2"/>
    <n v="90"/>
    <n v="30800"/>
    <n v="42030"/>
    <n v="11230"/>
    <n v="0.95294117647058818"/>
    <n v="3.9094650205761319E-2"/>
    <n v="0.26719010230787532"/>
    <n v="65.952890792291214"/>
    <n v="460"/>
    <n v="1.0565217391304347"/>
    <n v="24.047109207708779"/>
    <n v="1.0152173913043478"/>
  </r>
  <r>
    <d v="2026-07-30T00:00:00"/>
    <x v="0"/>
    <x v="0"/>
    <x v="0"/>
    <x v="2"/>
    <n v="490"/>
    <n v="475"/>
    <n v="12"/>
    <n v="463"/>
    <n v="15"/>
    <n v="3.125E-2"/>
    <n v="90"/>
    <n v="30800"/>
    <n v="41670"/>
    <n v="10870"/>
    <n v="0.96938775510204078"/>
    <n v="2.5263157894736842E-2"/>
    <n v="0.26085913126949845"/>
    <n v="66.522678185745136"/>
    <n v="465"/>
    <n v="1.021505376344086"/>
    <n v="23.477321814254861"/>
    <n v="0.99569892473118282"/>
  </r>
  <r>
    <d v="2026-07-30T00:00:00"/>
    <x v="0"/>
    <x v="0"/>
    <x v="1"/>
    <x v="0"/>
    <n v="450"/>
    <n v="423"/>
    <n v="21"/>
    <n v="402"/>
    <n v="43"/>
    <n v="8.9583333333333334E-2"/>
    <n v="100"/>
    <n v="30800"/>
    <n v="40200"/>
    <n v="9400"/>
    <n v="0.94"/>
    <n v="4.9645390070921988E-2"/>
    <n v="0.23383084577114427"/>
    <n v="76.616915422885569"/>
    <n v="437"/>
    <n v="0.96796338672768878"/>
    <n v="23.383084577114428"/>
    <n v="0.919908466819222"/>
  </r>
  <r>
    <d v="2026-07-30T00:00:00"/>
    <x v="0"/>
    <x v="0"/>
    <x v="2"/>
    <x v="1"/>
    <n v="390"/>
    <n v="357"/>
    <n v="14"/>
    <n v="343"/>
    <n v="34"/>
    <n v="7.0833333333333331E-2"/>
    <n v="120"/>
    <n v="30800"/>
    <n v="41160"/>
    <n v="10360"/>
    <n v="0.91538461538461535"/>
    <n v="3.9215686274509803E-2"/>
    <n v="0.25170068027210885"/>
    <n v="89.795918367346943"/>
    <n v="446"/>
    <n v="0.80044843049327352"/>
    <n v="30.204081632653061"/>
    <n v="0.76905829596412556"/>
  </r>
  <r>
    <d v="2026-07-30T00:00:00"/>
    <x v="0"/>
    <x v="1"/>
    <x v="0"/>
    <x v="0"/>
    <n v="460"/>
    <n v="419"/>
    <n v="26"/>
    <n v="393"/>
    <n v="50"/>
    <n v="0.10416666666666667"/>
    <n v="100"/>
    <n v="30800"/>
    <n v="39300"/>
    <n v="8500"/>
    <n v="0.91086956521739126"/>
    <n v="6.205250596658711E-2"/>
    <n v="0.21628498727735368"/>
    <n v="78.371501272264638"/>
    <n v="430"/>
    <n v="0.97441860465116281"/>
    <n v="21.628498727735369"/>
    <n v="0.913953488372093"/>
  </r>
  <r>
    <d v="2026-07-30T00:00:00"/>
    <x v="0"/>
    <x v="1"/>
    <x v="1"/>
    <x v="1"/>
    <n v="390"/>
    <n v="360"/>
    <n v="16"/>
    <n v="344"/>
    <n v="49"/>
    <n v="0.10208333333333333"/>
    <n v="120"/>
    <n v="30800"/>
    <n v="41280"/>
    <n v="10480"/>
    <n v="0.92307692307692313"/>
    <n v="4.4444444444444446E-2"/>
    <n v="0.25387596899224807"/>
    <n v="89.534883720930239"/>
    <n v="431"/>
    <n v="0.83526682134570762"/>
    <n v="30.465116279069768"/>
    <n v="0.79814385150812062"/>
  </r>
  <r>
    <d v="2026-07-30T00:00:00"/>
    <x v="0"/>
    <x v="1"/>
    <x v="2"/>
    <x v="2"/>
    <n v="520"/>
    <n v="458"/>
    <n v="31"/>
    <n v="427"/>
    <n v="53"/>
    <n v="0.11041666666666666"/>
    <n v="90"/>
    <n v="30800"/>
    <n v="38430"/>
    <n v="7630"/>
    <n v="0.88076923076923075"/>
    <n v="6.768558951965066E-2"/>
    <n v="0.19854280510018216"/>
    <n v="72.131147540983605"/>
    <n v="427"/>
    <n v="1.0725995316159251"/>
    <n v="17.868852459016395"/>
    <n v="1"/>
  </r>
  <r>
    <d v="2026-07-30T00:00:00"/>
    <x v="0"/>
    <x v="2"/>
    <x v="0"/>
    <x v="1"/>
    <n v="390"/>
    <n v="380"/>
    <n v="8"/>
    <n v="372"/>
    <n v="14"/>
    <n v="2.9166666666666667E-2"/>
    <n v="120"/>
    <n v="30800"/>
    <n v="44640"/>
    <n v="13840"/>
    <n v="0.97435897435897434"/>
    <n v="2.1052631578947368E-2"/>
    <n v="0.31003584229390679"/>
    <n v="82.795698924731184"/>
    <n v="466"/>
    <n v="0.81545064377682408"/>
    <n v="37.204301075268816"/>
    <n v="0.79828326180257514"/>
  </r>
  <r>
    <d v="2026-07-30T00:00:00"/>
    <x v="0"/>
    <x v="2"/>
    <x v="1"/>
    <x v="2"/>
    <n v="500"/>
    <n v="474"/>
    <n v="15"/>
    <n v="459"/>
    <n v="33"/>
    <n v="6.8750000000000006E-2"/>
    <n v="90"/>
    <n v="30800"/>
    <n v="41310"/>
    <n v="10510"/>
    <n v="0.94799999999999995"/>
    <n v="3.1645569620253167E-2"/>
    <n v="0.25441781650931977"/>
    <n v="67.102396514161214"/>
    <n v="447"/>
    <n v="1.0604026845637584"/>
    <n v="22.897603485838779"/>
    <n v="1.0268456375838926"/>
  </r>
  <r>
    <d v="2026-07-30T00:00:00"/>
    <x v="0"/>
    <x v="2"/>
    <x v="2"/>
    <x v="0"/>
    <n v="430"/>
    <n v="411"/>
    <n v="18"/>
    <n v="393"/>
    <n v="28"/>
    <n v="5.8333333333333334E-2"/>
    <n v="100"/>
    <n v="30800"/>
    <n v="39300"/>
    <n v="8500"/>
    <n v="0.95581395348837206"/>
    <n v="4.3795620437956206E-2"/>
    <n v="0.21628498727735368"/>
    <n v="78.371501272264638"/>
    <n v="452"/>
    <n v="0.90929203539823011"/>
    <n v="21.628498727735369"/>
    <n v="0.86946902654867253"/>
  </r>
  <r>
    <d v="2026-07-31T00:00:00"/>
    <x v="0"/>
    <x v="0"/>
    <x v="0"/>
    <x v="0"/>
    <n v="470"/>
    <n v="459"/>
    <n v="21"/>
    <n v="438"/>
    <n v="41"/>
    <n v="8.5416666666666669E-2"/>
    <n v="100"/>
    <n v="30800"/>
    <n v="43800"/>
    <n v="13000"/>
    <n v="0.97659574468085109"/>
    <n v="4.5751633986928102E-2"/>
    <n v="0.29680365296803651"/>
    <n v="70.319634703196343"/>
    <n v="439"/>
    <n v="1.0455580865603644"/>
    <n v="29.680365296803654"/>
    <n v="0.99772209567198178"/>
  </r>
  <r>
    <d v="2026-07-31T00:00:00"/>
    <x v="0"/>
    <x v="0"/>
    <x v="1"/>
    <x v="1"/>
    <n v="410"/>
    <n v="385"/>
    <n v="10"/>
    <n v="375"/>
    <n v="25"/>
    <n v="5.2083333333333336E-2"/>
    <n v="120"/>
    <n v="30800"/>
    <n v="45000"/>
    <n v="14200"/>
    <n v="0.93902439024390238"/>
    <n v="2.5974025974025976E-2"/>
    <n v="0.31555555555555553"/>
    <n v="82.13333333333334"/>
    <n v="455"/>
    <n v="0.84615384615384615"/>
    <n v="37.866666666666667"/>
    <n v="0.82417582417582413"/>
  </r>
  <r>
    <d v="2026-07-31T00:00:00"/>
    <x v="0"/>
    <x v="0"/>
    <x v="2"/>
    <x v="2"/>
    <n v="490"/>
    <n v="461"/>
    <n v="20"/>
    <n v="441"/>
    <n v="48"/>
    <n v="0.1"/>
    <n v="90"/>
    <n v="30800"/>
    <n v="39690"/>
    <n v="8890"/>
    <n v="0.9408163265306122"/>
    <n v="4.3383947939262472E-2"/>
    <n v="0.22398589065255731"/>
    <n v="69.841269841269835"/>
    <n v="432"/>
    <n v="1.0671296296296295"/>
    <n v="20.158730158730158"/>
    <n v="1.0208333333333333"/>
  </r>
  <r>
    <d v="2026-07-31T00:00:00"/>
    <x v="0"/>
    <x v="1"/>
    <x v="0"/>
    <x v="1"/>
    <n v="390"/>
    <n v="361"/>
    <n v="15"/>
    <n v="346"/>
    <n v="54"/>
    <n v="0.1125"/>
    <n v="120"/>
    <n v="30800"/>
    <n v="41520"/>
    <n v="10720"/>
    <n v="0.92564102564102568"/>
    <n v="4.1551246537396121E-2"/>
    <n v="0.25818882466281312"/>
    <n v="89.017341040462426"/>
    <n v="426"/>
    <n v="0.84741784037558687"/>
    <n v="30.982658959537574"/>
    <n v="0.81220657276995301"/>
  </r>
  <r>
    <d v="2026-07-31T00:00:00"/>
    <x v="0"/>
    <x v="1"/>
    <x v="1"/>
    <x v="2"/>
    <n v="500"/>
    <n v="444"/>
    <n v="23"/>
    <n v="421"/>
    <n v="48"/>
    <n v="0.1"/>
    <n v="90"/>
    <n v="30800"/>
    <n v="37890"/>
    <n v="7090"/>
    <n v="0.88800000000000001"/>
    <n v="5.18018018018018E-2"/>
    <n v="0.18712061229875956"/>
    <n v="73.159144893111645"/>
    <n v="432"/>
    <n v="1.0277777777777777"/>
    <n v="16.840855106888363"/>
    <n v="0.97453703703703709"/>
  </r>
  <r>
    <d v="2026-07-31T00:00:00"/>
    <x v="0"/>
    <x v="1"/>
    <x v="2"/>
    <x v="0"/>
    <n v="440"/>
    <n v="371"/>
    <n v="28"/>
    <n v="343"/>
    <n v="57"/>
    <n v="0.11874999999999999"/>
    <n v="100"/>
    <n v="30800"/>
    <n v="34300"/>
    <n v="3500"/>
    <n v="0.84318181818181814"/>
    <n v="7.5471698113207544E-2"/>
    <n v="0.10204081632653061"/>
    <n v="89.795918367346943"/>
    <n v="423"/>
    <n v="0.87706855791962179"/>
    <n v="10.204081632653061"/>
    <n v="0.81087470449172572"/>
  </r>
  <r>
    <d v="2026-07-31T00:00:00"/>
    <x v="0"/>
    <x v="2"/>
    <x v="0"/>
    <x v="2"/>
    <n v="500"/>
    <n v="499"/>
    <n v="12"/>
    <n v="487"/>
    <n v="28"/>
    <n v="5.8333333333333334E-2"/>
    <n v="90"/>
    <n v="30800"/>
    <n v="43830"/>
    <n v="13030"/>
    <n v="0.998"/>
    <n v="2.4048096192384769E-2"/>
    <n v="0.297284964636094"/>
    <n v="63.244353182751539"/>
    <n v="452"/>
    <n v="1.1039823008849559"/>
    <n v="26.755646817248461"/>
    <n v="1.0774336283185841"/>
  </r>
  <r>
    <d v="2026-07-31T00:00:00"/>
    <x v="0"/>
    <x v="2"/>
    <x v="1"/>
    <x v="0"/>
    <n v="460"/>
    <n v="436"/>
    <n v="16"/>
    <n v="420"/>
    <n v="28"/>
    <n v="5.8333333333333334E-2"/>
    <n v="100"/>
    <n v="30800"/>
    <n v="42000"/>
    <n v="11200"/>
    <n v="0.94782608695652171"/>
    <n v="3.669724770642202E-2"/>
    <n v="0.26666666666666666"/>
    <n v="73.333333333333329"/>
    <n v="452"/>
    <n v="0.96460176991150437"/>
    <n v="26.666666666666668"/>
    <n v="0.92920353982300885"/>
  </r>
  <r>
    <d v="2026-07-31T00:00:00"/>
    <x v="0"/>
    <x v="2"/>
    <x v="2"/>
    <x v="1"/>
    <n v="400"/>
    <n v="380"/>
    <n v="14"/>
    <n v="366"/>
    <n v="28"/>
    <n v="5.8333333333333334E-2"/>
    <n v="120"/>
    <n v="30800"/>
    <n v="43920"/>
    <n v="13120"/>
    <n v="0.95"/>
    <n v="3.6842105263157891E-2"/>
    <n v="0.2987249544626594"/>
    <n v="84.15300546448087"/>
    <n v="452"/>
    <n v="0.84070796460176989"/>
    <n v="35.846994535519123"/>
    <n v="0.80973451327433632"/>
  </r>
  <r>
    <d v="2026-08-01T00:00:00"/>
    <x v="1"/>
    <x v="0"/>
    <x v="0"/>
    <x v="0"/>
    <n v="450"/>
    <n v="436"/>
    <n v="21"/>
    <n v="415"/>
    <n v="37"/>
    <n v="7.7083333333333337E-2"/>
    <n v="100"/>
    <n v="30800"/>
    <n v="41500"/>
    <n v="10700"/>
    <n v="0.96888888888888891"/>
    <n v="4.8165137614678902E-2"/>
    <n v="0.25783132530120484"/>
    <n v="74.216867469879517"/>
    <n v="443"/>
    <n v="0.98419864559819414"/>
    <n v="25.783132530120483"/>
    <n v="0.93679458239277658"/>
  </r>
  <r>
    <d v="2026-08-01T00:00:00"/>
    <x v="1"/>
    <x v="0"/>
    <x v="1"/>
    <x v="1"/>
    <n v="410"/>
    <n v="388"/>
    <n v="14"/>
    <n v="374"/>
    <n v="44"/>
    <n v="9.166666666666666E-2"/>
    <n v="120"/>
    <n v="30800"/>
    <n v="44880"/>
    <n v="14080"/>
    <n v="0.9463414634146341"/>
    <n v="3.608247422680412E-2"/>
    <n v="0.31372549019607843"/>
    <n v="82.352941176470594"/>
    <n v="436"/>
    <n v="0.88990825688073394"/>
    <n v="37.647058823529413"/>
    <n v="0.85779816513761464"/>
  </r>
  <r>
    <d v="2026-08-01T00:00:00"/>
    <x v="1"/>
    <x v="0"/>
    <x v="2"/>
    <x v="2"/>
    <n v="510"/>
    <n v="469"/>
    <n v="18"/>
    <n v="451"/>
    <n v="28"/>
    <n v="5.8333333333333334E-2"/>
    <n v="90"/>
    <n v="30800"/>
    <n v="40590"/>
    <n v="9790"/>
    <n v="0.91960784313725485"/>
    <n v="3.8379530916844352E-2"/>
    <n v="0.24119241192411925"/>
    <n v="68.292682926829272"/>
    <n v="452"/>
    <n v="1.0376106194690264"/>
    <n v="21.707317073170731"/>
    <n v="0.99778761061946908"/>
  </r>
  <r>
    <d v="2026-08-01T00:00:00"/>
    <x v="1"/>
    <x v="1"/>
    <x v="0"/>
    <x v="1"/>
    <n v="400"/>
    <n v="356"/>
    <n v="15"/>
    <n v="341"/>
    <n v="37"/>
    <n v="7.7083333333333337E-2"/>
    <n v="120"/>
    <n v="30800"/>
    <n v="40920"/>
    <n v="10120"/>
    <n v="0.89"/>
    <n v="4.2134831460674156E-2"/>
    <n v="0.24731182795698925"/>
    <n v="90.322580645161295"/>
    <n v="443"/>
    <n v="0.80361173814898423"/>
    <n v="29.677419354838708"/>
    <n v="0.76975169300225732"/>
  </r>
  <r>
    <d v="2026-08-01T00:00:00"/>
    <x v="1"/>
    <x v="1"/>
    <x v="1"/>
    <x v="2"/>
    <n v="500"/>
    <n v="441"/>
    <n v="24"/>
    <n v="417"/>
    <n v="39"/>
    <n v="8.1250000000000003E-2"/>
    <n v="90"/>
    <n v="30800"/>
    <n v="37530"/>
    <n v="6730"/>
    <n v="0.88200000000000001"/>
    <n v="5.4421768707482991E-2"/>
    <n v="0.17932320810018651"/>
    <n v="73.860911270983209"/>
    <n v="441"/>
    <n v="1"/>
    <n v="16.139088729016787"/>
    <n v="0.94557823129251706"/>
  </r>
  <r>
    <d v="2026-08-01T00:00:00"/>
    <x v="1"/>
    <x v="1"/>
    <x v="2"/>
    <x v="0"/>
    <n v="460"/>
    <n v="385"/>
    <n v="31"/>
    <n v="354"/>
    <n v="56"/>
    <n v="0.11666666666666667"/>
    <n v="100"/>
    <n v="30800"/>
    <n v="35400"/>
    <n v="4600"/>
    <n v="0.83695652173913049"/>
    <n v="8.0519480519480519E-2"/>
    <n v="0.12994350282485875"/>
    <n v="87.005649717514117"/>
    <n v="424"/>
    <n v="0.90801886792452835"/>
    <n v="12.994350282485875"/>
    <n v="0.83490566037735847"/>
  </r>
  <r>
    <d v="2026-08-01T00:00:00"/>
    <x v="1"/>
    <x v="2"/>
    <x v="0"/>
    <x v="2"/>
    <n v="500"/>
    <n v="483"/>
    <n v="13"/>
    <n v="470"/>
    <n v="28"/>
    <n v="5.8333333333333334E-2"/>
    <n v="90"/>
    <n v="30800"/>
    <n v="42300"/>
    <n v="11500"/>
    <n v="0.96599999999999997"/>
    <n v="2.6915113871635612E-2"/>
    <n v="0.27186761229314421"/>
    <n v="65.531914893617028"/>
    <n v="452"/>
    <n v="1.0685840707964602"/>
    <n v="24.468085106382979"/>
    <n v="1.0398230088495575"/>
  </r>
  <r>
    <d v="2026-08-01T00:00:00"/>
    <x v="1"/>
    <x v="2"/>
    <x v="1"/>
    <x v="0"/>
    <n v="450"/>
    <n v="442"/>
    <n v="20"/>
    <n v="422"/>
    <n v="32"/>
    <n v="6.6666666666666666E-2"/>
    <n v="100"/>
    <n v="30800"/>
    <n v="42200"/>
    <n v="11400"/>
    <n v="0.98222222222222222"/>
    <n v="4.5248868778280542E-2"/>
    <n v="0.27014218009478674"/>
    <n v="72.985781990521332"/>
    <n v="448"/>
    <n v="0.9866071428571429"/>
    <n v="27.014218009478672"/>
    <n v="0.9419642857142857"/>
  </r>
  <r>
    <d v="2026-08-01T00:00:00"/>
    <x v="1"/>
    <x v="2"/>
    <x v="2"/>
    <x v="1"/>
    <n v="400"/>
    <n v="365"/>
    <n v="10"/>
    <n v="355"/>
    <n v="26"/>
    <n v="5.4166666666666669E-2"/>
    <n v="120"/>
    <n v="30800"/>
    <n v="42600"/>
    <n v="11800"/>
    <n v="0.91249999999999998"/>
    <n v="2.7397260273972601E-2"/>
    <n v="0.27699530516431925"/>
    <n v="86.760563380281695"/>
    <n v="454"/>
    <n v="0.80396475770925113"/>
    <n v="33.239436619718312"/>
    <n v="0.7819383259911894"/>
  </r>
  <r>
    <d v="2026-08-02T00:00:00"/>
    <x v="1"/>
    <x v="0"/>
    <x v="0"/>
    <x v="1"/>
    <n v="420"/>
    <n v="389"/>
    <n v="12"/>
    <n v="377"/>
    <n v="19"/>
    <n v="3.9583333333333331E-2"/>
    <n v="120"/>
    <n v="30800"/>
    <n v="45240"/>
    <n v="14440"/>
    <n v="0.92619047619047623"/>
    <n v="3.0848329048843187E-2"/>
    <n v="0.31918656056587091"/>
    <n v="81.697612732095493"/>
    <n v="461"/>
    <n v="0.8438177874186551"/>
    <n v="38.302387267904507"/>
    <n v="0.81778741865509763"/>
  </r>
  <r>
    <d v="2026-08-02T00:00:00"/>
    <x v="1"/>
    <x v="0"/>
    <x v="1"/>
    <x v="2"/>
    <n v="510"/>
    <n v="495"/>
    <n v="19"/>
    <n v="476"/>
    <n v="39"/>
    <n v="8.1250000000000003E-2"/>
    <n v="90"/>
    <n v="30800"/>
    <n v="42840"/>
    <n v="12040"/>
    <n v="0.97058823529411764"/>
    <n v="3.8383838383838381E-2"/>
    <n v="0.28104575163398693"/>
    <n v="64.705882352941174"/>
    <n v="441"/>
    <n v="1.1224489795918366"/>
    <n v="25.294117647058822"/>
    <n v="1.0793650793650793"/>
  </r>
  <r>
    <d v="2026-08-02T00:00:00"/>
    <x v="1"/>
    <x v="0"/>
    <x v="2"/>
    <x v="0"/>
    <n v="450"/>
    <n v="422"/>
    <n v="23"/>
    <n v="399"/>
    <n v="60"/>
    <n v="0.125"/>
    <n v="100"/>
    <n v="30800"/>
    <n v="39900"/>
    <n v="9100"/>
    <n v="0.93777777777777782"/>
    <n v="5.4502369668246446E-2"/>
    <n v="0.22807017543859648"/>
    <n v="77.192982456140356"/>
    <n v="420"/>
    <n v="1.0047619047619047"/>
    <n v="22.807017543859651"/>
    <n v="0.95"/>
  </r>
  <r>
    <d v="2026-08-02T00:00:00"/>
    <x v="1"/>
    <x v="1"/>
    <x v="0"/>
    <x v="2"/>
    <n v="510"/>
    <n v="446"/>
    <n v="23"/>
    <n v="423"/>
    <n v="41"/>
    <n v="8.5416666666666669E-2"/>
    <n v="90"/>
    <n v="30800"/>
    <n v="38070"/>
    <n v="7270"/>
    <n v="0.87450980392156863"/>
    <n v="5.1569506726457402E-2"/>
    <n v="0.19096401365904911"/>
    <n v="72.813238770685572"/>
    <n v="439"/>
    <n v="1.0159453302961277"/>
    <n v="17.186761229314421"/>
    <n v="0.96355353075170846"/>
  </r>
  <r>
    <d v="2026-08-02T00:00:00"/>
    <x v="1"/>
    <x v="1"/>
    <x v="1"/>
    <x v="0"/>
    <n v="440"/>
    <n v="394"/>
    <n v="26"/>
    <n v="368"/>
    <n v="56"/>
    <n v="0.11666666666666667"/>
    <n v="100"/>
    <n v="30800"/>
    <n v="36800"/>
    <n v="6000"/>
    <n v="0.8954545454545455"/>
    <n v="6.5989847715736044E-2"/>
    <n v="0.16304347826086957"/>
    <n v="83.695652173913047"/>
    <n v="424"/>
    <n v="0.92924528301886788"/>
    <n v="16.304347826086957"/>
    <n v="0.86792452830188682"/>
  </r>
  <r>
    <d v="2026-08-02T00:00:00"/>
    <x v="1"/>
    <x v="1"/>
    <x v="2"/>
    <x v="1"/>
    <n v="410"/>
    <n v="356"/>
    <n v="19"/>
    <n v="337"/>
    <n v="51"/>
    <n v="0.10625"/>
    <n v="120"/>
    <n v="30800"/>
    <n v="40440"/>
    <n v="9640"/>
    <n v="0.86829268292682926"/>
    <n v="5.3370786516853931E-2"/>
    <n v="0.23837784371909002"/>
    <n v="91.394658753709194"/>
    <n v="429"/>
    <n v="0.82983682983682983"/>
    <n v="28.605341246290802"/>
    <n v="0.78554778554778559"/>
  </r>
  <r>
    <d v="2026-08-02T00:00:00"/>
    <x v="1"/>
    <x v="2"/>
    <x v="0"/>
    <x v="0"/>
    <n v="460"/>
    <n v="459"/>
    <n v="16"/>
    <n v="443"/>
    <n v="35"/>
    <n v="7.2916666666666671E-2"/>
    <n v="100"/>
    <n v="30800"/>
    <n v="44300"/>
    <n v="13500"/>
    <n v="0.99782608695652175"/>
    <n v="3.4858387799564274E-2"/>
    <n v="0.30474040632054178"/>
    <n v="69.525959367945831"/>
    <n v="445"/>
    <n v="1.0314606741573034"/>
    <n v="30.474040632054177"/>
    <n v="0.99550561797752812"/>
  </r>
  <r>
    <d v="2026-08-02T00:00:00"/>
    <x v="1"/>
    <x v="2"/>
    <x v="1"/>
    <x v="1"/>
    <n v="400"/>
    <n v="387"/>
    <n v="13"/>
    <n v="374"/>
    <n v="26"/>
    <n v="5.4166666666666669E-2"/>
    <n v="120"/>
    <n v="30800"/>
    <n v="44880"/>
    <n v="14080"/>
    <n v="0.96750000000000003"/>
    <n v="3.3591731266149873E-2"/>
    <n v="0.31372549019607843"/>
    <n v="82.352941176470594"/>
    <n v="454"/>
    <n v="0.85242290748898675"/>
    <n v="37.647058823529413"/>
    <n v="0.82378854625550657"/>
  </r>
  <r>
    <d v="2026-08-02T00:00:00"/>
    <x v="1"/>
    <x v="2"/>
    <x v="2"/>
    <x v="2"/>
    <n v="500"/>
    <n v="475"/>
    <n v="21"/>
    <n v="454"/>
    <n v="39"/>
    <n v="8.1250000000000003E-2"/>
    <n v="90"/>
    <n v="30800"/>
    <n v="40860"/>
    <n v="10060"/>
    <n v="0.95"/>
    <n v="4.4210526315789471E-2"/>
    <n v="0.24620655898188937"/>
    <n v="67.841409691629963"/>
    <n v="441"/>
    <n v="1.0770975056689343"/>
    <n v="22.158590308370044"/>
    <n v="1.0294784580498866"/>
  </r>
  <r>
    <d v="2026-08-03T00:00:00"/>
    <x v="1"/>
    <x v="0"/>
    <x v="0"/>
    <x v="2"/>
    <n v="480"/>
    <n v="461"/>
    <n v="15"/>
    <n v="446"/>
    <n v="13"/>
    <n v="2.7083333333333334E-2"/>
    <n v="90"/>
    <n v="30800"/>
    <n v="40140"/>
    <n v="9340"/>
    <n v="0.9604166666666667"/>
    <n v="3.2537960954446853E-2"/>
    <n v="0.23268560039860489"/>
    <n v="69.058295964125563"/>
    <n v="467"/>
    <n v="0.98715203426124198"/>
    <n v="20.941704035874441"/>
    <n v="0.95503211991434689"/>
  </r>
  <r>
    <d v="2026-08-03T00:00:00"/>
    <x v="1"/>
    <x v="0"/>
    <x v="1"/>
    <x v="0"/>
    <n v="440"/>
    <n v="426"/>
    <n v="20"/>
    <n v="406"/>
    <n v="54"/>
    <n v="0.1125"/>
    <n v="100"/>
    <n v="30800"/>
    <n v="40600"/>
    <n v="9800"/>
    <n v="0.96818181818181814"/>
    <n v="4.6948356807511735E-2"/>
    <n v="0.2413793103448276"/>
    <n v="75.862068965517238"/>
    <n v="426"/>
    <n v="1"/>
    <n v="24.137931034482758"/>
    <n v="0.95305164319248825"/>
  </r>
  <r>
    <d v="2026-08-03T00:00:00"/>
    <x v="1"/>
    <x v="0"/>
    <x v="2"/>
    <x v="1"/>
    <n v="390"/>
    <n v="367"/>
    <n v="13"/>
    <n v="354"/>
    <n v="40"/>
    <n v="8.3333333333333329E-2"/>
    <n v="120"/>
    <n v="30800"/>
    <n v="42480"/>
    <n v="11680"/>
    <n v="0.94102564102564101"/>
    <n v="3.5422343324250684E-2"/>
    <n v="0.27495291902071561"/>
    <n v="87.005649717514117"/>
    <n v="440"/>
    <n v="0.83409090909090911"/>
    <n v="32.994350282485875"/>
    <n v="0.80454545454545456"/>
  </r>
  <r>
    <d v="2026-08-03T00:00:00"/>
    <x v="1"/>
    <x v="1"/>
    <x v="0"/>
    <x v="0"/>
    <n v="450"/>
    <n v="406"/>
    <n v="27"/>
    <n v="379"/>
    <n v="57"/>
    <n v="0.11874999999999999"/>
    <n v="100"/>
    <n v="30800"/>
    <n v="37900"/>
    <n v="7100"/>
    <n v="0.90222222222222226"/>
    <n v="6.6502463054187194E-2"/>
    <n v="0.18733509234828497"/>
    <n v="81.266490765171497"/>
    <n v="423"/>
    <n v="0.95981087470449178"/>
    <n v="18.733509234828496"/>
    <n v="0.89598108747044913"/>
  </r>
  <r>
    <d v="2026-08-03T00:00:00"/>
    <x v="1"/>
    <x v="1"/>
    <x v="1"/>
    <x v="1"/>
    <n v="410"/>
    <n v="374"/>
    <n v="20"/>
    <n v="354"/>
    <n v="62"/>
    <n v="0.12916666666666668"/>
    <n v="120"/>
    <n v="30800"/>
    <n v="42480"/>
    <n v="11680"/>
    <n v="0.91219512195121955"/>
    <n v="5.3475935828877004E-2"/>
    <n v="0.27495291902071561"/>
    <n v="87.005649717514117"/>
    <n v="418"/>
    <n v="0.89473684210526316"/>
    <n v="32.994350282485875"/>
    <n v="0.84688995215311003"/>
  </r>
  <r>
    <d v="2026-08-03T00:00:00"/>
    <x v="1"/>
    <x v="1"/>
    <x v="2"/>
    <x v="2"/>
    <n v="490"/>
    <n v="412"/>
    <n v="27"/>
    <n v="385"/>
    <n v="63"/>
    <n v="0.13125000000000001"/>
    <n v="90"/>
    <n v="30800"/>
    <n v="34650"/>
    <n v="3850"/>
    <n v="0.84081632653061222"/>
    <n v="6.553398058252427E-2"/>
    <n v="0.1111111111111111"/>
    <n v="80"/>
    <n v="417"/>
    <n v="0.98800959232613905"/>
    <n v="10"/>
    <n v="0.9232613908872902"/>
  </r>
  <r>
    <d v="2026-08-03T00:00:00"/>
    <x v="1"/>
    <x v="2"/>
    <x v="0"/>
    <x v="1"/>
    <n v="410"/>
    <n v="387"/>
    <n v="8"/>
    <n v="379"/>
    <n v="33"/>
    <n v="6.8750000000000006E-2"/>
    <n v="120"/>
    <n v="30800"/>
    <n v="45480"/>
    <n v="14680"/>
    <n v="0.94390243902439019"/>
    <n v="2.0671834625322998E-2"/>
    <n v="0.3227792436235708"/>
    <n v="81.266490765171497"/>
    <n v="447"/>
    <n v="0.86577181208053688"/>
    <n v="38.733509234828496"/>
    <n v="0.84787472035794187"/>
  </r>
  <r>
    <d v="2026-08-03T00:00:00"/>
    <x v="1"/>
    <x v="2"/>
    <x v="1"/>
    <x v="2"/>
    <n v="520"/>
    <n v="503"/>
    <n v="18"/>
    <n v="485"/>
    <n v="26"/>
    <n v="5.4166666666666669E-2"/>
    <n v="90"/>
    <n v="30800"/>
    <n v="43650"/>
    <n v="12850"/>
    <n v="0.96730769230769231"/>
    <n v="3.5785288270377733E-2"/>
    <n v="0.29438717067583048"/>
    <n v="63.505154639175259"/>
    <n v="454"/>
    <n v="1.1079295154185023"/>
    <n v="26.494845360824741"/>
    <n v="1.0682819383259912"/>
  </r>
  <r>
    <d v="2026-08-03T00:00:00"/>
    <x v="1"/>
    <x v="2"/>
    <x v="2"/>
    <x v="0"/>
    <n v="450"/>
    <n v="414"/>
    <n v="23"/>
    <n v="391"/>
    <n v="43"/>
    <n v="8.9583333333333334E-2"/>
    <n v="100"/>
    <n v="30800"/>
    <n v="39100"/>
    <n v="8300"/>
    <n v="0.92"/>
    <n v="5.5555555555555552E-2"/>
    <n v="0.21227621483375958"/>
    <n v="78.772378516624045"/>
    <n v="437"/>
    <n v="0.94736842105263153"/>
    <n v="21.227621483375959"/>
    <n v="0.89473684210526316"/>
  </r>
  <r>
    <d v="2026-08-04T00:00:00"/>
    <x v="1"/>
    <x v="0"/>
    <x v="0"/>
    <x v="0"/>
    <n v="450"/>
    <n v="439"/>
    <n v="23"/>
    <n v="416"/>
    <n v="37"/>
    <n v="7.7083333333333337E-2"/>
    <n v="100"/>
    <n v="30800"/>
    <n v="41600"/>
    <n v="10800"/>
    <n v="0.97555555555555551"/>
    <n v="5.2391799544419138E-2"/>
    <n v="0.25961538461538464"/>
    <n v="74.038461538461533"/>
    <n v="443"/>
    <n v="0.99097065462753953"/>
    <n v="25.96153846153846"/>
    <n v="0.93905191873589167"/>
  </r>
  <r>
    <d v="2026-08-04T00:00:00"/>
    <x v="1"/>
    <x v="0"/>
    <x v="1"/>
    <x v="1"/>
    <n v="410"/>
    <n v="385"/>
    <n v="12"/>
    <n v="373"/>
    <n v="30"/>
    <n v="6.25E-2"/>
    <n v="120"/>
    <n v="30800"/>
    <n v="44760"/>
    <n v="13960"/>
    <n v="0.93902439024390238"/>
    <n v="3.1168831168831169E-2"/>
    <n v="0.31188561215370869"/>
    <n v="82.573726541554961"/>
    <n v="450"/>
    <n v="0.85555555555555551"/>
    <n v="37.426273458445039"/>
    <n v="0.8288888888888889"/>
  </r>
  <r>
    <d v="2026-08-04T00:00:00"/>
    <x v="1"/>
    <x v="0"/>
    <x v="2"/>
    <x v="2"/>
    <n v="510"/>
    <n v="453"/>
    <n v="19"/>
    <n v="434"/>
    <n v="46"/>
    <n v="9.583333333333334E-2"/>
    <n v="90"/>
    <n v="30800"/>
    <n v="39060"/>
    <n v="8260"/>
    <n v="0.88823529411764701"/>
    <n v="4.194260485651214E-2"/>
    <n v="0.21146953405017921"/>
    <n v="70.967741935483872"/>
    <n v="434"/>
    <n v="1.0437788018433181"/>
    <n v="19.032258064516128"/>
    <n v="1"/>
  </r>
  <r>
    <d v="2026-08-04T00:00:00"/>
    <x v="1"/>
    <x v="1"/>
    <x v="0"/>
    <x v="1"/>
    <n v="410"/>
    <n v="370"/>
    <n v="15"/>
    <n v="355"/>
    <n v="52"/>
    <n v="0.10833333333333334"/>
    <n v="120"/>
    <n v="30800"/>
    <n v="42600"/>
    <n v="11800"/>
    <n v="0.90243902439024393"/>
    <n v="4.0540540540540543E-2"/>
    <n v="0.27699530516431925"/>
    <n v="86.760563380281695"/>
    <n v="428"/>
    <n v="0.86448598130841126"/>
    <n v="33.239436619718312"/>
    <n v="0.82943925233644855"/>
  </r>
  <r>
    <d v="2026-08-04T00:00:00"/>
    <x v="1"/>
    <x v="1"/>
    <x v="1"/>
    <x v="2"/>
    <n v="490"/>
    <n v="444"/>
    <n v="23"/>
    <n v="421"/>
    <n v="54"/>
    <n v="0.1125"/>
    <n v="90"/>
    <n v="30800"/>
    <n v="37890"/>
    <n v="7090"/>
    <n v="0.90612244897959182"/>
    <n v="5.18018018018018E-2"/>
    <n v="0.18712061229875956"/>
    <n v="73.159144893111645"/>
    <n v="426"/>
    <n v="1.0422535211267605"/>
    <n v="16.840855106888363"/>
    <n v="0.98826291079812212"/>
  </r>
  <r>
    <d v="2026-08-04T00:00:00"/>
    <x v="1"/>
    <x v="1"/>
    <x v="2"/>
    <x v="0"/>
    <n v="460"/>
    <n v="384"/>
    <n v="31"/>
    <n v="353"/>
    <n v="68"/>
    <n v="0.14166666666666666"/>
    <n v="100"/>
    <n v="30800"/>
    <n v="35300"/>
    <n v="4500"/>
    <n v="0.83478260869565213"/>
    <n v="8.0729166666666671E-2"/>
    <n v="0.12747875354107649"/>
    <n v="87.252124645892351"/>
    <n v="412"/>
    <n v="0.93203883495145634"/>
    <n v="12.747875354107649"/>
    <n v="0.85679611650485432"/>
  </r>
  <r>
    <d v="2026-08-04T00:00:00"/>
    <x v="1"/>
    <x v="2"/>
    <x v="0"/>
    <x v="2"/>
    <n v="520"/>
    <n v="502"/>
    <n v="12"/>
    <n v="490"/>
    <n v="16"/>
    <n v="3.3333333333333333E-2"/>
    <n v="90"/>
    <n v="30800"/>
    <n v="44100"/>
    <n v="13300"/>
    <n v="0.9653846153846154"/>
    <n v="2.3904382470119521E-2"/>
    <n v="0.30158730158730157"/>
    <n v="62.857142857142854"/>
    <n v="464"/>
    <n v="1.0818965517241379"/>
    <n v="27.142857142857142"/>
    <n v="1.0560344827586208"/>
  </r>
  <r>
    <d v="2026-08-04T00:00:00"/>
    <x v="1"/>
    <x v="2"/>
    <x v="1"/>
    <x v="0"/>
    <n v="450"/>
    <n v="421"/>
    <n v="16"/>
    <n v="405"/>
    <n v="32"/>
    <n v="6.6666666666666666E-2"/>
    <n v="100"/>
    <n v="30800"/>
    <n v="40500"/>
    <n v="9700"/>
    <n v="0.93555555555555558"/>
    <n v="3.800475059382423E-2"/>
    <n v="0.23950617283950618"/>
    <n v="76.049382716049379"/>
    <n v="448"/>
    <n v="0.9397321428571429"/>
    <n v="23.950617283950617"/>
    <n v="0.9040178571428571"/>
  </r>
  <r>
    <d v="2026-08-04T00:00:00"/>
    <x v="1"/>
    <x v="2"/>
    <x v="2"/>
    <x v="1"/>
    <n v="410"/>
    <n v="385"/>
    <n v="15"/>
    <n v="370"/>
    <n v="27"/>
    <n v="5.6250000000000001E-2"/>
    <n v="120"/>
    <n v="30800"/>
    <n v="44400"/>
    <n v="13600"/>
    <n v="0.93902439024390238"/>
    <n v="3.896103896103896E-2"/>
    <n v="0.30630630630630629"/>
    <n v="83.243243243243242"/>
    <n v="453"/>
    <n v="0.84988962472406182"/>
    <n v="36.756756756756758"/>
    <n v="0.81677704194260481"/>
  </r>
  <r>
    <d v="2026-08-05T00:00:00"/>
    <x v="1"/>
    <x v="0"/>
    <x v="0"/>
    <x v="1"/>
    <n v="390"/>
    <n v="378"/>
    <n v="12"/>
    <n v="366"/>
    <n v="22"/>
    <n v="4.583333333333333E-2"/>
    <n v="120"/>
    <n v="30800"/>
    <n v="43920"/>
    <n v="13120"/>
    <n v="0.96923076923076923"/>
    <n v="3.1746031746031744E-2"/>
    <n v="0.2987249544626594"/>
    <n v="84.15300546448087"/>
    <n v="458"/>
    <n v="0.8253275109170306"/>
    <n v="35.846994535519123"/>
    <n v="0.79912663755458513"/>
  </r>
  <r>
    <d v="2026-08-05T00:00:00"/>
    <x v="1"/>
    <x v="0"/>
    <x v="1"/>
    <x v="2"/>
    <n v="500"/>
    <n v="454"/>
    <n v="14"/>
    <n v="440"/>
    <n v="28"/>
    <n v="5.8333333333333334E-2"/>
    <n v="90"/>
    <n v="30800"/>
    <n v="39600"/>
    <n v="8800"/>
    <n v="0.90800000000000003"/>
    <n v="3.0837004405286344E-2"/>
    <n v="0.22222222222222221"/>
    <n v="70"/>
    <n v="452"/>
    <n v="1.0044247787610618"/>
    <n v="20"/>
    <n v="0.97345132743362828"/>
  </r>
  <r>
    <d v="2026-08-05T00:00:00"/>
    <x v="1"/>
    <x v="0"/>
    <x v="2"/>
    <x v="0"/>
    <n v="460"/>
    <n v="419"/>
    <n v="25"/>
    <n v="394"/>
    <n v="52"/>
    <n v="0.10833333333333334"/>
    <n v="100"/>
    <n v="30800"/>
    <n v="39400"/>
    <n v="8600"/>
    <n v="0.91086956521739126"/>
    <n v="5.9665871121718374E-2"/>
    <n v="0.21827411167512689"/>
    <n v="78.172588832487307"/>
    <n v="428"/>
    <n v="0.9789719626168224"/>
    <n v="21.82741116751269"/>
    <n v="0.92056074766355145"/>
  </r>
  <r>
    <d v="2026-08-05T00:00:00"/>
    <x v="1"/>
    <x v="1"/>
    <x v="0"/>
    <x v="2"/>
    <n v="480"/>
    <n v="425"/>
    <n v="20"/>
    <n v="405"/>
    <n v="32"/>
    <n v="6.6666666666666666E-2"/>
    <n v="90"/>
    <n v="30800"/>
    <n v="36450"/>
    <n v="5650"/>
    <n v="0.88541666666666663"/>
    <n v="4.7058823529411764E-2"/>
    <n v="0.15500685871056241"/>
    <n v="76.049382716049379"/>
    <n v="448"/>
    <n v="0.9486607142857143"/>
    <n v="13.950617283950617"/>
    <n v="0.9040178571428571"/>
  </r>
  <r>
    <d v="2026-08-05T00:00:00"/>
    <x v="1"/>
    <x v="1"/>
    <x v="1"/>
    <x v="0"/>
    <n v="450"/>
    <n v="408"/>
    <n v="27"/>
    <n v="381"/>
    <n v="51"/>
    <n v="0.10625"/>
    <n v="100"/>
    <n v="30800"/>
    <n v="38100"/>
    <n v="7300"/>
    <n v="0.90666666666666662"/>
    <n v="6.6176470588235295E-2"/>
    <n v="0.19160104986876642"/>
    <n v="80.839895013123353"/>
    <n v="429"/>
    <n v="0.95104895104895104"/>
    <n v="19.16010498687664"/>
    <n v="0.88811188811188813"/>
  </r>
  <r>
    <d v="2026-08-05T00:00:00"/>
    <x v="1"/>
    <x v="1"/>
    <x v="2"/>
    <x v="1"/>
    <n v="400"/>
    <n v="332"/>
    <n v="20"/>
    <n v="312"/>
    <n v="56"/>
    <n v="0.11666666666666667"/>
    <n v="120"/>
    <n v="30800"/>
    <n v="37440"/>
    <n v="6640"/>
    <n v="0.83"/>
    <n v="6.0240963855421686E-2"/>
    <n v="0.17735042735042736"/>
    <n v="98.717948717948715"/>
    <n v="424"/>
    <n v="0.78301886792452835"/>
    <n v="21.282051282051281"/>
    <n v="0.73584905660377353"/>
  </r>
  <r>
    <d v="2026-08-05T00:00:00"/>
    <x v="1"/>
    <x v="2"/>
    <x v="0"/>
    <x v="0"/>
    <n v="440"/>
    <n v="413"/>
    <n v="15"/>
    <n v="398"/>
    <n v="33"/>
    <n v="6.8750000000000006E-2"/>
    <n v="100"/>
    <n v="30800"/>
    <n v="39800"/>
    <n v="9000"/>
    <n v="0.9386363636363636"/>
    <n v="3.6319612590799029E-2"/>
    <n v="0.22613065326633167"/>
    <n v="77.386934673366838"/>
    <n v="447"/>
    <n v="0.92393736017897088"/>
    <n v="22.613065326633166"/>
    <n v="0.89038031319910516"/>
  </r>
  <r>
    <d v="2026-08-05T00:00:00"/>
    <x v="1"/>
    <x v="2"/>
    <x v="1"/>
    <x v="1"/>
    <n v="390"/>
    <n v="378"/>
    <n v="10"/>
    <n v="368"/>
    <n v="28"/>
    <n v="5.8333333333333334E-2"/>
    <n v="120"/>
    <n v="30800"/>
    <n v="44160"/>
    <n v="13360"/>
    <n v="0.96923076923076923"/>
    <n v="2.6455026455026454E-2"/>
    <n v="0.30253623188405798"/>
    <n v="83.695652173913047"/>
    <n v="452"/>
    <n v="0.83628318584070793"/>
    <n v="36.304347826086953"/>
    <n v="0.81415929203539827"/>
  </r>
  <r>
    <d v="2026-08-05T00:00:00"/>
    <x v="1"/>
    <x v="2"/>
    <x v="2"/>
    <x v="2"/>
    <n v="520"/>
    <n v="484"/>
    <n v="21"/>
    <n v="463"/>
    <n v="34"/>
    <n v="7.0833333333333331E-2"/>
    <n v="90"/>
    <n v="30800"/>
    <n v="41670"/>
    <n v="10870"/>
    <n v="0.93076923076923079"/>
    <n v="4.3388429752066117E-2"/>
    <n v="0.26085913126949845"/>
    <n v="66.522678185745136"/>
    <n v="446"/>
    <n v="1.0852017937219731"/>
    <n v="23.477321814254861"/>
    <n v="1.0381165919282511"/>
  </r>
  <r>
    <d v="2026-08-06T00:00:00"/>
    <x v="1"/>
    <x v="0"/>
    <x v="0"/>
    <x v="2"/>
    <n v="480"/>
    <n v="465"/>
    <n v="11"/>
    <n v="454"/>
    <n v="25"/>
    <n v="5.2083333333333336E-2"/>
    <n v="90"/>
    <n v="30800"/>
    <n v="40860"/>
    <n v="10060"/>
    <n v="0.96875"/>
    <n v="2.3655913978494623E-2"/>
    <n v="0.24620655898188937"/>
    <n v="67.841409691629963"/>
    <n v="455"/>
    <n v="1.0219780219780219"/>
    <n v="22.158590308370044"/>
    <n v="0.99780219780219781"/>
  </r>
  <r>
    <d v="2026-08-06T00:00:00"/>
    <x v="1"/>
    <x v="0"/>
    <x v="1"/>
    <x v="0"/>
    <n v="440"/>
    <n v="400"/>
    <n v="21"/>
    <n v="379"/>
    <n v="41"/>
    <n v="8.5416666666666669E-2"/>
    <n v="100"/>
    <n v="30800"/>
    <n v="37900"/>
    <n v="7100"/>
    <n v="0.90909090909090906"/>
    <n v="5.2499999999999998E-2"/>
    <n v="0.18733509234828497"/>
    <n v="81.266490765171497"/>
    <n v="439"/>
    <n v="0.91116173120728927"/>
    <n v="18.733509234828496"/>
    <n v="0.86332574031890663"/>
  </r>
  <r>
    <d v="2026-08-06T00:00:00"/>
    <x v="1"/>
    <x v="0"/>
    <x v="2"/>
    <x v="1"/>
    <n v="410"/>
    <n v="375"/>
    <n v="17"/>
    <n v="358"/>
    <n v="54"/>
    <n v="0.1125"/>
    <n v="120"/>
    <n v="30800"/>
    <n v="42960"/>
    <n v="12160"/>
    <n v="0.91463414634146345"/>
    <n v="4.5333333333333337E-2"/>
    <n v="0.28305400372439476"/>
    <n v="86.033519553072622"/>
    <n v="426"/>
    <n v="0.88028169014084512"/>
    <n v="33.966480446927378"/>
    <n v="0.84037558685446012"/>
  </r>
  <r>
    <d v="2026-08-06T00:00:00"/>
    <x v="1"/>
    <x v="1"/>
    <x v="0"/>
    <x v="0"/>
    <n v="440"/>
    <n v="391"/>
    <n v="23"/>
    <n v="368"/>
    <n v="61"/>
    <n v="0.12708333333333333"/>
    <n v="100"/>
    <n v="30800"/>
    <n v="36800"/>
    <n v="6000"/>
    <n v="0.88863636363636367"/>
    <n v="5.8823529411764705E-2"/>
    <n v="0.16304347826086957"/>
    <n v="83.695652173913047"/>
    <n v="419"/>
    <n v="0.93317422434367536"/>
    <n v="16.304347826086957"/>
    <n v="0.87828162291169454"/>
  </r>
  <r>
    <d v="2026-08-06T00:00:00"/>
    <x v="1"/>
    <x v="1"/>
    <x v="1"/>
    <x v="1"/>
    <n v="410"/>
    <n v="368"/>
    <n v="22"/>
    <n v="346"/>
    <n v="58"/>
    <n v="0.12083333333333333"/>
    <n v="120"/>
    <n v="30800"/>
    <n v="41520"/>
    <n v="10720"/>
    <n v="0.89756097560975612"/>
    <n v="5.9782608695652176E-2"/>
    <n v="0.25818882466281312"/>
    <n v="89.017341040462426"/>
    <n v="422"/>
    <n v="0.87203791469194314"/>
    <n v="30.982658959537574"/>
    <n v="0.81990521327014221"/>
  </r>
  <r>
    <d v="2026-08-06T00:00:00"/>
    <x v="1"/>
    <x v="1"/>
    <x v="2"/>
    <x v="2"/>
    <n v="490"/>
    <n v="409"/>
    <n v="27"/>
    <n v="382"/>
    <n v="58"/>
    <n v="0.12083333333333333"/>
    <n v="90"/>
    <n v="30800"/>
    <n v="34380"/>
    <n v="3580"/>
    <n v="0.83469387755102042"/>
    <n v="6.6014669926650366E-2"/>
    <n v="0.10413030831879"/>
    <n v="80.6282722513089"/>
    <n v="422"/>
    <n v="0.96919431279620849"/>
    <n v="9.3717277486911001"/>
    <n v="0.90521327014218012"/>
  </r>
  <r>
    <d v="2026-08-06T00:00:00"/>
    <x v="1"/>
    <x v="2"/>
    <x v="0"/>
    <x v="1"/>
    <n v="390"/>
    <n v="367"/>
    <n v="6"/>
    <n v="361"/>
    <n v="11"/>
    <n v="2.2916666666666665E-2"/>
    <n v="120"/>
    <n v="30800"/>
    <n v="43320"/>
    <n v="12520"/>
    <n v="0.94102564102564101"/>
    <n v="1.6348773841961851E-2"/>
    <n v="0.28901200369344415"/>
    <n v="85.31855955678671"/>
    <n v="469"/>
    <n v="0.78251599147121531"/>
    <n v="34.681440443213297"/>
    <n v="0.76972281449893387"/>
  </r>
  <r>
    <d v="2026-08-06T00:00:00"/>
    <x v="1"/>
    <x v="2"/>
    <x v="1"/>
    <x v="2"/>
    <n v="520"/>
    <n v="498"/>
    <n v="19"/>
    <n v="479"/>
    <n v="29"/>
    <n v="6.0416666666666667E-2"/>
    <n v="90"/>
    <n v="30800"/>
    <n v="43110"/>
    <n v="12310"/>
    <n v="0.95769230769230773"/>
    <n v="3.8152610441767071E-2"/>
    <n v="0.28554859661331478"/>
    <n v="64.300626304801668"/>
    <n v="451"/>
    <n v="1.1042128603104213"/>
    <n v="25.699373695198329"/>
    <n v="1.0620842572062084"/>
  </r>
  <r>
    <d v="2026-08-06T00:00:00"/>
    <x v="1"/>
    <x v="2"/>
    <x v="2"/>
    <x v="0"/>
    <n v="440"/>
    <n v="415"/>
    <n v="19"/>
    <n v="396"/>
    <n v="39"/>
    <n v="8.1250000000000003E-2"/>
    <n v="100"/>
    <n v="30800"/>
    <n v="39600"/>
    <n v="8800"/>
    <n v="0.94318181818181823"/>
    <n v="4.5783132530120479E-2"/>
    <n v="0.22222222222222221"/>
    <n v="77.777777777777771"/>
    <n v="441"/>
    <n v="0.94104308390022673"/>
    <n v="22.222222222222221"/>
    <n v="0.89795918367346939"/>
  </r>
  <r>
    <d v="2026-08-07T00:00:00"/>
    <x v="1"/>
    <x v="0"/>
    <x v="0"/>
    <x v="0"/>
    <n v="460"/>
    <n v="430"/>
    <n v="16"/>
    <n v="414"/>
    <n v="34"/>
    <n v="7.0833333333333331E-2"/>
    <n v="100"/>
    <n v="30800"/>
    <n v="41400"/>
    <n v="10600"/>
    <n v="0.93478260869565222"/>
    <n v="3.7209302325581395E-2"/>
    <n v="0.2560386473429952"/>
    <n v="74.39613526570048"/>
    <n v="446"/>
    <n v="0.9641255605381166"/>
    <n v="25.603864734299517"/>
    <n v="0.9282511210762332"/>
  </r>
  <r>
    <d v="2026-08-07T00:00:00"/>
    <x v="1"/>
    <x v="0"/>
    <x v="1"/>
    <x v="1"/>
    <n v="410"/>
    <n v="390"/>
    <n v="15"/>
    <n v="375"/>
    <n v="37"/>
    <n v="7.7083333333333337E-2"/>
    <n v="120"/>
    <n v="30800"/>
    <n v="45000"/>
    <n v="14200"/>
    <n v="0.95121951219512191"/>
    <n v="3.8461538461538464E-2"/>
    <n v="0.31555555555555553"/>
    <n v="82.13333333333334"/>
    <n v="443"/>
    <n v="0.88036117381489842"/>
    <n v="37.866666666666667"/>
    <n v="0.84650112866817151"/>
  </r>
  <r>
    <d v="2026-08-07T00:00:00"/>
    <x v="1"/>
    <x v="0"/>
    <x v="2"/>
    <x v="2"/>
    <n v="520"/>
    <n v="471"/>
    <n v="21"/>
    <n v="450"/>
    <n v="42"/>
    <n v="8.7499999999999994E-2"/>
    <n v="90"/>
    <n v="30800"/>
    <n v="40500"/>
    <n v="9700"/>
    <n v="0.90576923076923077"/>
    <n v="4.4585987261146494E-2"/>
    <n v="0.23950617283950618"/>
    <n v="68.444444444444443"/>
    <n v="438"/>
    <n v="1.0753424657534247"/>
    <n v="21.555555555555557"/>
    <n v="1.0273972602739727"/>
  </r>
  <r>
    <d v="2026-08-07T00:00:00"/>
    <x v="1"/>
    <x v="1"/>
    <x v="0"/>
    <x v="1"/>
    <n v="410"/>
    <n v="373"/>
    <n v="15"/>
    <n v="358"/>
    <n v="55"/>
    <n v="0.11458333333333333"/>
    <n v="120"/>
    <n v="30800"/>
    <n v="42960"/>
    <n v="12160"/>
    <n v="0.90975609756097564"/>
    <n v="4.0214477211796246E-2"/>
    <n v="0.28305400372439476"/>
    <n v="86.033519553072622"/>
    <n v="425"/>
    <n v="0.87764705882352945"/>
    <n v="33.966480446927378"/>
    <n v="0.84235294117647064"/>
  </r>
  <r>
    <d v="2026-08-07T00:00:00"/>
    <x v="1"/>
    <x v="1"/>
    <x v="1"/>
    <x v="2"/>
    <n v="500"/>
    <n v="438"/>
    <n v="21"/>
    <n v="417"/>
    <n v="59"/>
    <n v="0.12291666666666666"/>
    <n v="90"/>
    <n v="30800"/>
    <n v="37530"/>
    <n v="6730"/>
    <n v="0.876"/>
    <n v="4.7945205479452052E-2"/>
    <n v="0.17932320810018651"/>
    <n v="73.860911270983209"/>
    <n v="421"/>
    <n v="1.0403800475059382"/>
    <n v="16.139088729016787"/>
    <n v="0.99049881235154391"/>
  </r>
  <r>
    <d v="2026-08-07T00:00:00"/>
    <x v="1"/>
    <x v="1"/>
    <x v="2"/>
    <x v="0"/>
    <n v="440"/>
    <n v="379"/>
    <n v="28"/>
    <n v="351"/>
    <n v="76"/>
    <n v="0.15833333333333333"/>
    <n v="100"/>
    <n v="30800"/>
    <n v="35100"/>
    <n v="4300"/>
    <n v="0.86136363636363633"/>
    <n v="7.3878627968337732E-2"/>
    <n v="0.12250712250712251"/>
    <n v="87.749287749287745"/>
    <n v="404"/>
    <n v="0.93811881188118806"/>
    <n v="12.250712250712251"/>
    <n v="0.86881188118811881"/>
  </r>
  <r>
    <d v="2026-08-07T00:00:00"/>
    <x v="1"/>
    <x v="2"/>
    <x v="0"/>
    <x v="2"/>
    <n v="490"/>
    <n v="460"/>
    <n v="15"/>
    <n v="445"/>
    <n v="16"/>
    <n v="3.3333333333333333E-2"/>
    <n v="90"/>
    <n v="30800"/>
    <n v="40050"/>
    <n v="9250"/>
    <n v="0.93877551020408168"/>
    <n v="3.2608695652173912E-2"/>
    <n v="0.23096129837702872"/>
    <n v="69.213483146067418"/>
    <n v="464"/>
    <n v="0.99137931034482762"/>
    <n v="20.786516853932586"/>
    <n v="0.95905172413793105"/>
  </r>
  <r>
    <d v="2026-08-07T00:00:00"/>
    <x v="1"/>
    <x v="2"/>
    <x v="1"/>
    <x v="0"/>
    <n v="470"/>
    <n v="443"/>
    <n v="22"/>
    <n v="421"/>
    <n v="23"/>
    <n v="4.791666666666667E-2"/>
    <n v="100"/>
    <n v="30800"/>
    <n v="42100"/>
    <n v="11300"/>
    <n v="0.94255319148936167"/>
    <n v="4.9661399548532728E-2"/>
    <n v="0.26840855106888362"/>
    <n v="73.159144893111645"/>
    <n v="457"/>
    <n v="0.96936542669584247"/>
    <n v="26.840855106888363"/>
    <n v="0.92122538293216627"/>
  </r>
  <r>
    <d v="2026-08-07T00:00:00"/>
    <x v="1"/>
    <x v="2"/>
    <x v="2"/>
    <x v="1"/>
    <n v="410"/>
    <n v="377"/>
    <n v="13"/>
    <n v="364"/>
    <n v="46"/>
    <n v="9.583333333333334E-2"/>
    <n v="120"/>
    <n v="30800"/>
    <n v="43680"/>
    <n v="12880"/>
    <n v="0.91951219512195126"/>
    <n v="3.4482758620689655E-2"/>
    <n v="0.29487179487179488"/>
    <n v="84.615384615384613"/>
    <n v="434"/>
    <n v="0.86866359447004604"/>
    <n v="35.384615384615387"/>
    <n v="0.83870967741935487"/>
  </r>
  <r>
    <d v="2026-08-08T00:00:00"/>
    <x v="1"/>
    <x v="0"/>
    <x v="0"/>
    <x v="1"/>
    <n v="390"/>
    <n v="357"/>
    <n v="12"/>
    <n v="345"/>
    <n v="39"/>
    <n v="8.1250000000000003E-2"/>
    <n v="120"/>
    <n v="30800"/>
    <n v="41400"/>
    <n v="10600"/>
    <n v="0.91538461538461535"/>
    <n v="3.3613445378151259E-2"/>
    <n v="0.2560386473429952"/>
    <n v="89.275362318840578"/>
    <n v="441"/>
    <n v="0.80952380952380953"/>
    <n v="30.724637681159422"/>
    <n v="0.78231292517006801"/>
  </r>
  <r>
    <d v="2026-08-08T00:00:00"/>
    <x v="1"/>
    <x v="0"/>
    <x v="1"/>
    <x v="2"/>
    <n v="480"/>
    <n v="436"/>
    <n v="18"/>
    <n v="418"/>
    <n v="31"/>
    <n v="6.458333333333334E-2"/>
    <n v="90"/>
    <n v="30800"/>
    <n v="37620"/>
    <n v="6820"/>
    <n v="0.90833333333333333"/>
    <n v="4.1284403669724773E-2"/>
    <n v="0.18128654970760233"/>
    <n v="73.684210526315795"/>
    <n v="449"/>
    <n v="0.97104677060133626"/>
    <n v="16.315789473684209"/>
    <n v="0.93095768374164811"/>
  </r>
  <r>
    <d v="2026-08-08T00:00:00"/>
    <x v="1"/>
    <x v="0"/>
    <x v="2"/>
    <x v="0"/>
    <n v="450"/>
    <n v="409"/>
    <n v="24"/>
    <n v="385"/>
    <n v="57"/>
    <n v="0.11874999999999999"/>
    <n v="100"/>
    <n v="30800"/>
    <n v="38500"/>
    <n v="7700"/>
    <n v="0.90888888888888886"/>
    <n v="5.8679706601466992E-2"/>
    <n v="0.2"/>
    <n v="80"/>
    <n v="423"/>
    <n v="0.96690307328605196"/>
    <n v="20"/>
    <n v="0.91016548463356972"/>
  </r>
  <r>
    <d v="2026-08-08T00:00:00"/>
    <x v="1"/>
    <x v="1"/>
    <x v="0"/>
    <x v="2"/>
    <n v="520"/>
    <n v="461"/>
    <n v="25"/>
    <n v="436"/>
    <n v="49"/>
    <n v="0.10208333333333333"/>
    <n v="90"/>
    <n v="30800"/>
    <n v="39240"/>
    <n v="8440"/>
    <n v="0.8865384615384615"/>
    <n v="5.4229934924078092E-2"/>
    <n v="0.21508664627930682"/>
    <n v="70.642201834862391"/>
    <n v="431"/>
    <n v="1.0696055684454757"/>
    <n v="19.357798165137616"/>
    <n v="1.011600928074246"/>
  </r>
  <r>
    <d v="2026-08-08T00:00:00"/>
    <x v="1"/>
    <x v="1"/>
    <x v="1"/>
    <x v="0"/>
    <n v="450"/>
    <n v="395"/>
    <n v="27"/>
    <n v="368"/>
    <n v="55"/>
    <n v="0.11458333333333333"/>
    <n v="100"/>
    <n v="30800"/>
    <n v="36800"/>
    <n v="6000"/>
    <n v="0.87777777777777777"/>
    <n v="6.8354430379746839E-2"/>
    <n v="0.16304347826086957"/>
    <n v="83.695652173913047"/>
    <n v="425"/>
    <n v="0.92941176470588238"/>
    <n v="16.304347826086957"/>
    <n v="0.86588235294117644"/>
  </r>
  <r>
    <d v="2026-08-08T00:00:00"/>
    <x v="1"/>
    <x v="1"/>
    <x v="2"/>
    <x v="1"/>
    <n v="380"/>
    <n v="318"/>
    <n v="19"/>
    <n v="299"/>
    <n v="66"/>
    <n v="0.13750000000000001"/>
    <n v="120"/>
    <n v="30800"/>
    <n v="35880"/>
    <n v="5080"/>
    <n v="0.83684210526315794"/>
    <n v="5.9748427672955975E-2"/>
    <n v="0.14158305462653289"/>
    <n v="103.01003344481606"/>
    <n v="414"/>
    <n v="0.76811594202898548"/>
    <n v="16.989966555183948"/>
    <n v="0.72222222222222221"/>
  </r>
  <r>
    <d v="2026-08-08T00:00:00"/>
    <x v="1"/>
    <x v="2"/>
    <x v="0"/>
    <x v="0"/>
    <n v="440"/>
    <n v="418"/>
    <n v="16"/>
    <n v="402"/>
    <n v="34"/>
    <n v="7.0833333333333331E-2"/>
    <n v="100"/>
    <n v="30800"/>
    <n v="40200"/>
    <n v="9400"/>
    <n v="0.95"/>
    <n v="3.8277511961722487E-2"/>
    <n v="0.23383084577114427"/>
    <n v="76.616915422885569"/>
    <n v="446"/>
    <n v="0.93721973094170408"/>
    <n v="23.383084577114428"/>
    <n v="0.90134529147982068"/>
  </r>
  <r>
    <d v="2026-08-08T00:00:00"/>
    <x v="1"/>
    <x v="2"/>
    <x v="1"/>
    <x v="1"/>
    <n v="410"/>
    <n v="404"/>
    <n v="9"/>
    <n v="395"/>
    <n v="21"/>
    <n v="4.3749999999999997E-2"/>
    <n v="120"/>
    <n v="30800"/>
    <n v="47400"/>
    <n v="16600"/>
    <n v="0.98536585365853657"/>
    <n v="2.2277227722772276E-2"/>
    <n v="0.35021097046413502"/>
    <n v="77.974683544303801"/>
    <n v="459"/>
    <n v="0.88017429193899777"/>
    <n v="42.025316455696199"/>
    <n v="0.86056644880174293"/>
  </r>
  <r>
    <d v="2026-08-08T00:00:00"/>
    <x v="1"/>
    <x v="2"/>
    <x v="2"/>
    <x v="2"/>
    <n v="500"/>
    <n v="474"/>
    <n v="18"/>
    <n v="456"/>
    <n v="20"/>
    <n v="4.1666666666666664E-2"/>
    <n v="90"/>
    <n v="30800"/>
    <n v="41040"/>
    <n v="10240"/>
    <n v="0.94799999999999995"/>
    <n v="3.7974683544303799E-2"/>
    <n v="0.24951267056530213"/>
    <n v="67.543859649122808"/>
    <n v="460"/>
    <n v="1.0304347826086957"/>
    <n v="22.456140350877192"/>
    <n v="0.99130434782608701"/>
  </r>
  <r>
    <d v="2026-08-09T00:00:00"/>
    <x v="1"/>
    <x v="0"/>
    <x v="0"/>
    <x v="2"/>
    <n v="520"/>
    <n v="506"/>
    <n v="18"/>
    <n v="488"/>
    <n v="35"/>
    <n v="7.2916666666666671E-2"/>
    <n v="90"/>
    <n v="30800"/>
    <n v="43920"/>
    <n v="13120"/>
    <n v="0.97307692307692306"/>
    <n v="3.5573122529644272E-2"/>
    <n v="0.2987249544626594"/>
    <n v="63.114754098360656"/>
    <n v="445"/>
    <n v="1.1370786516853932"/>
    <n v="26.885245901639344"/>
    <n v="1.0966292134831461"/>
  </r>
  <r>
    <d v="2026-08-09T00:00:00"/>
    <x v="1"/>
    <x v="0"/>
    <x v="1"/>
    <x v="0"/>
    <n v="450"/>
    <n v="414"/>
    <n v="19"/>
    <n v="395"/>
    <n v="35"/>
    <n v="7.2916666666666671E-2"/>
    <n v="100"/>
    <n v="30800"/>
    <n v="39500"/>
    <n v="8700"/>
    <n v="0.92"/>
    <n v="4.5893719806763288E-2"/>
    <n v="0.22025316455696203"/>
    <n v="77.974683544303801"/>
    <n v="445"/>
    <n v="0.93033707865168536"/>
    <n v="22.025316455696203"/>
    <n v="0.88764044943820219"/>
  </r>
  <r>
    <d v="2026-08-09T00:00:00"/>
    <x v="1"/>
    <x v="0"/>
    <x v="2"/>
    <x v="1"/>
    <n v="390"/>
    <n v="349"/>
    <n v="13"/>
    <n v="336"/>
    <n v="37"/>
    <n v="7.7083333333333337E-2"/>
    <n v="120"/>
    <n v="30800"/>
    <n v="40320"/>
    <n v="9520"/>
    <n v="0.89487179487179491"/>
    <n v="3.7249283667621778E-2"/>
    <n v="0.2361111111111111"/>
    <n v="91.666666666666671"/>
    <n v="443"/>
    <n v="0.78781038374717838"/>
    <n v="28.333333333333332"/>
    <n v="0.75846501128668176"/>
  </r>
  <r>
    <d v="2026-08-09T00:00:00"/>
    <x v="1"/>
    <x v="1"/>
    <x v="0"/>
    <x v="0"/>
    <n v="440"/>
    <n v="393"/>
    <n v="23"/>
    <n v="370"/>
    <n v="59"/>
    <n v="0.12291666666666666"/>
    <n v="100"/>
    <n v="30800"/>
    <n v="37000"/>
    <n v="6200"/>
    <n v="0.89318181818181819"/>
    <n v="5.8524173027989825E-2"/>
    <n v="0.16756756756756758"/>
    <n v="83.243243243243242"/>
    <n v="421"/>
    <n v="0.9334916864608076"/>
    <n v="16.756756756756758"/>
    <n v="0.87885985748218531"/>
  </r>
  <r>
    <d v="2026-08-09T00:00:00"/>
    <x v="1"/>
    <x v="1"/>
    <x v="1"/>
    <x v="1"/>
    <n v="400"/>
    <n v="365"/>
    <n v="16"/>
    <n v="349"/>
    <n v="45"/>
    <n v="9.375E-2"/>
    <n v="120"/>
    <n v="30800"/>
    <n v="41880"/>
    <n v="11080"/>
    <n v="0.91249999999999998"/>
    <n v="4.3835616438356165E-2"/>
    <n v="0.26456542502387775"/>
    <n v="88.252148997134668"/>
    <n v="435"/>
    <n v="0.83908045977011492"/>
    <n v="31.747851002865328"/>
    <n v="0.80229885057471262"/>
  </r>
  <r>
    <d v="2026-08-09T00:00:00"/>
    <x v="1"/>
    <x v="1"/>
    <x v="2"/>
    <x v="2"/>
    <n v="490"/>
    <n v="433"/>
    <n v="29"/>
    <n v="404"/>
    <n v="60"/>
    <n v="0.125"/>
    <n v="90"/>
    <n v="30800"/>
    <n v="36360"/>
    <n v="5560"/>
    <n v="0.88367346938775515"/>
    <n v="6.6974595842956119E-2"/>
    <n v="0.15291529152915292"/>
    <n v="76.237623762376231"/>
    <n v="420"/>
    <n v="1.0309523809523808"/>
    <n v="13.762376237623762"/>
    <n v="0.96190476190476193"/>
  </r>
  <r>
    <d v="2026-08-09T00:00:00"/>
    <x v="1"/>
    <x v="2"/>
    <x v="0"/>
    <x v="1"/>
    <n v="410"/>
    <n v="403"/>
    <n v="6"/>
    <n v="397"/>
    <n v="20"/>
    <n v="4.1666666666666664E-2"/>
    <n v="120"/>
    <n v="30800"/>
    <n v="47640"/>
    <n v="16840"/>
    <n v="0.98292682926829267"/>
    <n v="1.488833746898263E-2"/>
    <n v="0.35348446683459278"/>
    <n v="77.581863979848862"/>
    <n v="460"/>
    <n v="0.87608695652173918"/>
    <n v="42.418136020151131"/>
    <n v="0.86304347826086958"/>
  </r>
  <r>
    <d v="2026-08-09T00:00:00"/>
    <x v="1"/>
    <x v="2"/>
    <x v="1"/>
    <x v="2"/>
    <n v="480"/>
    <n v="457"/>
    <n v="14"/>
    <n v="443"/>
    <n v="16"/>
    <n v="3.3333333333333333E-2"/>
    <n v="90"/>
    <n v="30800"/>
    <n v="39870"/>
    <n v="9070"/>
    <n v="0.95208333333333328"/>
    <n v="3.0634573304157548E-2"/>
    <n v="0.2274893403561575"/>
    <n v="69.525959367945831"/>
    <n v="464"/>
    <n v="0.98491379310344829"/>
    <n v="20.474040632054177"/>
    <n v="0.95474137931034486"/>
  </r>
  <r>
    <d v="2026-08-09T00:00:00"/>
    <x v="1"/>
    <x v="2"/>
    <x v="2"/>
    <x v="0"/>
    <n v="460"/>
    <n v="416"/>
    <n v="24"/>
    <n v="392"/>
    <n v="41"/>
    <n v="8.5416666666666669E-2"/>
    <n v="100"/>
    <n v="30800"/>
    <n v="39200"/>
    <n v="8400"/>
    <n v="0.90434782608695652"/>
    <n v="5.7692307692307696E-2"/>
    <n v="0.21428571428571427"/>
    <n v="78.571428571428569"/>
    <n v="439"/>
    <n v="0.94760820045558092"/>
    <n v="21.428571428571427"/>
    <n v="0.8929384965831435"/>
  </r>
  <r>
    <d v="2026-08-10T00:00:00"/>
    <x v="1"/>
    <x v="0"/>
    <x v="0"/>
    <x v="0"/>
    <n v="460"/>
    <n v="421"/>
    <n v="16"/>
    <n v="405"/>
    <n v="27"/>
    <n v="5.6250000000000001E-2"/>
    <n v="100"/>
    <n v="30800"/>
    <n v="40500"/>
    <n v="9700"/>
    <n v="0.91521739130434787"/>
    <n v="3.800475059382423E-2"/>
    <n v="0.23950617283950618"/>
    <n v="76.049382716049379"/>
    <n v="453"/>
    <n v="0.92935982339955847"/>
    <n v="23.950617283950617"/>
    <n v="0.89403973509933776"/>
  </r>
  <r>
    <d v="2026-08-10T00:00:00"/>
    <x v="1"/>
    <x v="0"/>
    <x v="1"/>
    <x v="1"/>
    <n v="390"/>
    <n v="359"/>
    <n v="13"/>
    <n v="346"/>
    <n v="36"/>
    <n v="7.4999999999999997E-2"/>
    <n v="120"/>
    <n v="30800"/>
    <n v="41520"/>
    <n v="10720"/>
    <n v="0.92051282051282046"/>
    <n v="3.6211699164345405E-2"/>
    <n v="0.25818882466281312"/>
    <n v="89.017341040462426"/>
    <n v="444"/>
    <n v="0.80855855855855852"/>
    <n v="30.982658959537574"/>
    <n v="0.77927927927927931"/>
  </r>
  <r>
    <d v="2026-08-10T00:00:00"/>
    <x v="1"/>
    <x v="0"/>
    <x v="2"/>
    <x v="2"/>
    <n v="520"/>
    <n v="480"/>
    <n v="20"/>
    <n v="460"/>
    <n v="46"/>
    <n v="9.583333333333334E-2"/>
    <n v="90"/>
    <n v="30800"/>
    <n v="41400"/>
    <n v="10600"/>
    <n v="0.92307692307692313"/>
    <n v="4.1666666666666664E-2"/>
    <n v="0.2560386473429952"/>
    <n v="66.956521739130437"/>
    <n v="434"/>
    <n v="1.1059907834101383"/>
    <n v="23.043478260869566"/>
    <n v="1.0599078341013826"/>
  </r>
  <r>
    <d v="2026-08-10T00:00:00"/>
    <x v="1"/>
    <x v="1"/>
    <x v="0"/>
    <x v="1"/>
    <n v="390"/>
    <n v="351"/>
    <n v="17"/>
    <n v="334"/>
    <n v="38"/>
    <n v="7.9166666666666663E-2"/>
    <n v="120"/>
    <n v="30800"/>
    <n v="40080"/>
    <n v="9280"/>
    <n v="0.9"/>
    <n v="4.843304843304843E-2"/>
    <n v="0.2315369261477046"/>
    <n v="92.215568862275447"/>
    <n v="442"/>
    <n v="0.79411764705882348"/>
    <n v="27.78443113772455"/>
    <n v="0.75565610859728505"/>
  </r>
  <r>
    <d v="2026-08-10T00:00:00"/>
    <x v="1"/>
    <x v="1"/>
    <x v="1"/>
    <x v="2"/>
    <n v="510"/>
    <n v="453"/>
    <n v="25"/>
    <n v="428"/>
    <n v="43"/>
    <n v="8.9583333333333334E-2"/>
    <n v="90"/>
    <n v="30800"/>
    <n v="38520"/>
    <n v="7720"/>
    <n v="0.88823529411764701"/>
    <n v="5.518763796909492E-2"/>
    <n v="0.20041536863966772"/>
    <n v="71.962616822429908"/>
    <n v="437"/>
    <n v="1.0366132723112129"/>
    <n v="18.037383177570092"/>
    <n v="0.97940503432494275"/>
  </r>
  <r>
    <d v="2026-08-10T00:00:00"/>
    <x v="1"/>
    <x v="1"/>
    <x v="2"/>
    <x v="0"/>
    <n v="450"/>
    <n v="394"/>
    <n v="29"/>
    <n v="365"/>
    <n v="72"/>
    <n v="0.15"/>
    <n v="100"/>
    <n v="30800"/>
    <n v="36500"/>
    <n v="5700"/>
    <n v="0.87555555555555553"/>
    <n v="7.3604060913705582E-2"/>
    <n v="0.15616438356164383"/>
    <n v="84.38356164383562"/>
    <n v="408"/>
    <n v="0.96568627450980393"/>
    <n v="15.616438356164384"/>
    <n v="0.89460784313725494"/>
  </r>
  <r>
    <d v="2026-08-10T00:00:00"/>
    <x v="1"/>
    <x v="2"/>
    <x v="0"/>
    <x v="2"/>
    <n v="510"/>
    <n v="476"/>
    <n v="9"/>
    <n v="467"/>
    <n v="25"/>
    <n v="5.2083333333333336E-2"/>
    <n v="90"/>
    <n v="30800"/>
    <n v="42030"/>
    <n v="11230"/>
    <n v="0.93333333333333335"/>
    <n v="1.8907563025210083E-2"/>
    <n v="0.26719010230787532"/>
    <n v="65.952890792291214"/>
    <n v="455"/>
    <n v="1.0461538461538462"/>
    <n v="24.047109207708779"/>
    <n v="1.0263736263736263"/>
  </r>
  <r>
    <d v="2026-08-10T00:00:00"/>
    <x v="1"/>
    <x v="2"/>
    <x v="1"/>
    <x v="0"/>
    <n v="440"/>
    <n v="411"/>
    <n v="18"/>
    <n v="393"/>
    <n v="41"/>
    <n v="8.5416666666666669E-2"/>
    <n v="100"/>
    <n v="30800"/>
    <n v="39300"/>
    <n v="8500"/>
    <n v="0.93409090909090908"/>
    <n v="4.3795620437956206E-2"/>
    <n v="0.21628498727735368"/>
    <n v="78.371501272264638"/>
    <n v="439"/>
    <n v="0.9362186788154897"/>
    <n v="21.628498727735369"/>
    <n v="0.89521640091116172"/>
  </r>
  <r>
    <d v="2026-08-10T00:00:00"/>
    <x v="1"/>
    <x v="2"/>
    <x v="2"/>
    <x v="1"/>
    <n v="380"/>
    <n v="359"/>
    <n v="13"/>
    <n v="346"/>
    <n v="43"/>
    <n v="8.9583333333333334E-2"/>
    <n v="120"/>
    <n v="30800"/>
    <n v="41520"/>
    <n v="10720"/>
    <n v="0.94473684210526321"/>
    <n v="3.6211699164345405E-2"/>
    <n v="0.25818882466281312"/>
    <n v="89.017341040462426"/>
    <n v="437"/>
    <n v="0.82151029748283755"/>
    <n v="30.982658959537574"/>
    <n v="0.79176201372997712"/>
  </r>
  <r>
    <d v="2026-08-11T00:00:00"/>
    <x v="1"/>
    <x v="0"/>
    <x v="0"/>
    <x v="1"/>
    <n v="400"/>
    <n v="384"/>
    <n v="12"/>
    <n v="372"/>
    <n v="27"/>
    <n v="5.6250000000000001E-2"/>
    <n v="120"/>
    <n v="30800"/>
    <n v="44640"/>
    <n v="13840"/>
    <n v="0.96"/>
    <n v="3.125E-2"/>
    <n v="0.31003584229390679"/>
    <n v="82.795698924731184"/>
    <n v="453"/>
    <n v="0.84768211920529801"/>
    <n v="37.204301075268816"/>
    <n v="0.82119205298013243"/>
  </r>
  <r>
    <d v="2026-08-11T00:00:00"/>
    <x v="1"/>
    <x v="0"/>
    <x v="1"/>
    <x v="2"/>
    <n v="480"/>
    <n v="434"/>
    <n v="16"/>
    <n v="418"/>
    <n v="35"/>
    <n v="7.2916666666666671E-2"/>
    <n v="90"/>
    <n v="30800"/>
    <n v="37620"/>
    <n v="6820"/>
    <n v="0.90416666666666667"/>
    <n v="3.6866359447004608E-2"/>
    <n v="0.18128654970760233"/>
    <n v="73.684210526315795"/>
    <n v="445"/>
    <n v="0.97528089887640446"/>
    <n v="16.315789473684209"/>
    <n v="0.93932584269662922"/>
  </r>
  <r>
    <d v="2026-08-11T00:00:00"/>
    <x v="1"/>
    <x v="0"/>
    <x v="2"/>
    <x v="0"/>
    <n v="440"/>
    <n v="399"/>
    <n v="22"/>
    <n v="377"/>
    <n v="58"/>
    <n v="0.12083333333333333"/>
    <n v="100"/>
    <n v="30800"/>
    <n v="37700"/>
    <n v="6900"/>
    <n v="0.90681818181818186"/>
    <n v="5.5137844611528819E-2"/>
    <n v="0.1830238726790451"/>
    <n v="81.697612732095493"/>
    <n v="422"/>
    <n v="0.9454976303317536"/>
    <n v="18.302387267904511"/>
    <n v="0.89336492890995256"/>
  </r>
  <r>
    <d v="2026-08-11T00:00:00"/>
    <x v="1"/>
    <x v="1"/>
    <x v="0"/>
    <x v="2"/>
    <n v="510"/>
    <n v="465"/>
    <n v="27"/>
    <n v="438"/>
    <n v="35"/>
    <n v="7.2916666666666671E-2"/>
    <n v="90"/>
    <n v="30800"/>
    <n v="39420"/>
    <n v="8620"/>
    <n v="0.91176470588235292"/>
    <n v="5.8064516129032261E-2"/>
    <n v="0.21867072552004058"/>
    <n v="70.319634703196343"/>
    <n v="445"/>
    <n v="1.0449438202247192"/>
    <n v="19.680365296803654"/>
    <n v="0.98426966292134832"/>
  </r>
  <r>
    <d v="2026-08-11T00:00:00"/>
    <x v="1"/>
    <x v="1"/>
    <x v="1"/>
    <x v="0"/>
    <n v="450"/>
    <n v="386"/>
    <n v="24"/>
    <n v="362"/>
    <n v="51"/>
    <n v="0.10625"/>
    <n v="100"/>
    <n v="30800"/>
    <n v="36200"/>
    <n v="5400"/>
    <n v="0.85777777777777775"/>
    <n v="6.2176165803108807E-2"/>
    <n v="0.14917127071823205"/>
    <n v="85.082872928176798"/>
    <n v="429"/>
    <n v="0.89976689976689972"/>
    <n v="14.917127071823204"/>
    <n v="0.84382284382284378"/>
  </r>
  <r>
    <d v="2026-08-11T00:00:00"/>
    <x v="1"/>
    <x v="1"/>
    <x v="2"/>
    <x v="1"/>
    <n v="400"/>
    <n v="332"/>
    <n v="17"/>
    <n v="315"/>
    <n v="61"/>
    <n v="0.12708333333333333"/>
    <n v="120"/>
    <n v="30800"/>
    <n v="37800"/>
    <n v="7000"/>
    <n v="0.83"/>
    <n v="5.1204819277108432E-2"/>
    <n v="0.18518518518518517"/>
    <n v="97.777777777777771"/>
    <n v="419"/>
    <n v="0.79236276849642007"/>
    <n v="22.222222222222221"/>
    <n v="0.75178997613365151"/>
  </r>
  <r>
    <d v="2026-08-11T00:00:00"/>
    <x v="1"/>
    <x v="2"/>
    <x v="0"/>
    <x v="0"/>
    <n v="450"/>
    <n v="445"/>
    <n v="20"/>
    <n v="425"/>
    <n v="25"/>
    <n v="5.2083333333333336E-2"/>
    <n v="100"/>
    <n v="30800"/>
    <n v="42500"/>
    <n v="11700"/>
    <n v="0.98888888888888893"/>
    <n v="4.49438202247191E-2"/>
    <n v="0.2752941176470588"/>
    <n v="72.470588235294116"/>
    <n v="455"/>
    <n v="0.97802197802197799"/>
    <n v="27.529411764705884"/>
    <n v="0.93406593406593408"/>
  </r>
  <r>
    <d v="2026-08-11T00:00:00"/>
    <x v="1"/>
    <x v="2"/>
    <x v="1"/>
    <x v="1"/>
    <n v="410"/>
    <n v="382"/>
    <n v="8"/>
    <n v="374"/>
    <n v="33"/>
    <n v="6.8750000000000006E-2"/>
    <n v="120"/>
    <n v="30800"/>
    <n v="44880"/>
    <n v="14080"/>
    <n v="0.93170731707317078"/>
    <n v="2.0942408376963352E-2"/>
    <n v="0.31372549019607843"/>
    <n v="82.352941176470594"/>
    <n v="447"/>
    <n v="0.85458612975391501"/>
    <n v="37.647058823529413"/>
    <n v="0.83668903803131989"/>
  </r>
  <r>
    <d v="2026-08-11T00:00:00"/>
    <x v="1"/>
    <x v="2"/>
    <x v="2"/>
    <x v="2"/>
    <n v="500"/>
    <n v="455"/>
    <n v="14"/>
    <n v="441"/>
    <n v="30"/>
    <n v="6.25E-2"/>
    <n v="90"/>
    <n v="30800"/>
    <n v="39690"/>
    <n v="8890"/>
    <n v="0.91"/>
    <n v="3.0769230769230771E-2"/>
    <n v="0.22398589065255731"/>
    <n v="69.841269841269835"/>
    <n v="450"/>
    <n v="1.0111111111111111"/>
    <n v="20.158730158730158"/>
    <n v="0.98"/>
  </r>
  <r>
    <d v="2026-08-12T00:00:00"/>
    <x v="1"/>
    <x v="0"/>
    <x v="0"/>
    <x v="2"/>
    <n v="500"/>
    <n v="462"/>
    <n v="15"/>
    <n v="447"/>
    <n v="14"/>
    <n v="2.9166666666666667E-2"/>
    <n v="90"/>
    <n v="30800"/>
    <n v="40230"/>
    <n v="9430"/>
    <n v="0.92400000000000004"/>
    <n v="3.2467532467532464E-2"/>
    <n v="0.23440218742232166"/>
    <n v="68.903803131991054"/>
    <n v="466"/>
    <n v="0.99141630901287559"/>
    <n v="21.096196868008949"/>
    <n v="0.95922746781115875"/>
  </r>
  <r>
    <d v="2026-08-12T00:00:00"/>
    <x v="1"/>
    <x v="0"/>
    <x v="1"/>
    <x v="0"/>
    <n v="440"/>
    <n v="412"/>
    <n v="22"/>
    <n v="390"/>
    <n v="51"/>
    <n v="0.10625"/>
    <n v="100"/>
    <n v="30800"/>
    <n v="39000"/>
    <n v="8200"/>
    <n v="0.9363636363636364"/>
    <n v="5.3398058252427182E-2"/>
    <n v="0.21025641025641026"/>
    <n v="78.974358974358978"/>
    <n v="429"/>
    <n v="0.96037296037296038"/>
    <n v="21.025641025641026"/>
    <n v="0.90909090909090906"/>
  </r>
  <r>
    <d v="2026-08-12T00:00:00"/>
    <x v="1"/>
    <x v="0"/>
    <x v="2"/>
    <x v="1"/>
    <n v="390"/>
    <n v="339"/>
    <n v="12"/>
    <n v="327"/>
    <n v="35"/>
    <n v="7.2916666666666671E-2"/>
    <n v="120"/>
    <n v="30800"/>
    <n v="39240"/>
    <n v="8440"/>
    <n v="0.86923076923076925"/>
    <n v="3.5398230088495575E-2"/>
    <n v="0.21508664627930682"/>
    <n v="94.189602446483178"/>
    <n v="445"/>
    <n v="0.76179775280898876"/>
    <n v="25.810397553516818"/>
    <n v="0.73483146067415728"/>
  </r>
  <r>
    <d v="2026-08-12T00:00:00"/>
    <x v="1"/>
    <x v="1"/>
    <x v="0"/>
    <x v="0"/>
    <n v="460"/>
    <n v="417"/>
    <n v="25"/>
    <n v="392"/>
    <n v="53"/>
    <n v="0.11041666666666666"/>
    <n v="100"/>
    <n v="30800"/>
    <n v="39200"/>
    <n v="8400"/>
    <n v="0.90652173913043477"/>
    <n v="5.9952038369304558E-2"/>
    <n v="0.21428571428571427"/>
    <n v="78.571428571428569"/>
    <n v="427"/>
    <n v="0.97658079625292737"/>
    <n v="21.428571428571427"/>
    <n v="0.91803278688524592"/>
  </r>
  <r>
    <d v="2026-08-12T00:00:00"/>
    <x v="1"/>
    <x v="1"/>
    <x v="1"/>
    <x v="1"/>
    <n v="400"/>
    <n v="345"/>
    <n v="18"/>
    <n v="327"/>
    <n v="45"/>
    <n v="9.375E-2"/>
    <n v="120"/>
    <n v="30800"/>
    <n v="39240"/>
    <n v="8440"/>
    <n v="0.86250000000000004"/>
    <n v="5.2173913043478258E-2"/>
    <n v="0.21508664627930682"/>
    <n v="94.189602446483178"/>
    <n v="435"/>
    <n v="0.7931034482758621"/>
    <n v="25.810397553516818"/>
    <n v="0.75172413793103443"/>
  </r>
  <r>
    <d v="2026-08-12T00:00:00"/>
    <x v="1"/>
    <x v="1"/>
    <x v="2"/>
    <x v="2"/>
    <n v="500"/>
    <n v="433"/>
    <n v="26"/>
    <n v="407"/>
    <n v="63"/>
    <n v="0.13125000000000001"/>
    <n v="90"/>
    <n v="30800"/>
    <n v="36630"/>
    <n v="5830"/>
    <n v="0.86599999999999999"/>
    <n v="6.0046189376443418E-2"/>
    <n v="0.15915915915915915"/>
    <n v="75.675675675675677"/>
    <n v="417"/>
    <n v="1.0383693045563549"/>
    <n v="14.324324324324325"/>
    <n v="0.97601918465227822"/>
  </r>
  <r>
    <d v="2026-08-12T00:00:00"/>
    <x v="1"/>
    <x v="2"/>
    <x v="0"/>
    <x v="1"/>
    <n v="400"/>
    <n v="375"/>
    <n v="6"/>
    <n v="369"/>
    <n v="21"/>
    <n v="4.3749999999999997E-2"/>
    <n v="120"/>
    <n v="30800"/>
    <n v="44280"/>
    <n v="13480"/>
    <n v="0.9375"/>
    <n v="1.6E-2"/>
    <n v="0.30442637759710928"/>
    <n v="83.468834688346888"/>
    <n v="459"/>
    <n v="0.81699346405228757"/>
    <n v="36.531165311653119"/>
    <n v="0.80392156862745101"/>
  </r>
  <r>
    <d v="2026-08-12T00:00:00"/>
    <x v="1"/>
    <x v="2"/>
    <x v="1"/>
    <x v="2"/>
    <n v="500"/>
    <n v="471"/>
    <n v="12"/>
    <n v="459"/>
    <n v="31"/>
    <n v="6.458333333333334E-2"/>
    <n v="90"/>
    <n v="30800"/>
    <n v="41310"/>
    <n v="10510"/>
    <n v="0.94199999999999995"/>
    <n v="2.5477707006369428E-2"/>
    <n v="0.25441781650931977"/>
    <n v="67.102396514161214"/>
    <n v="449"/>
    <n v="1.0489977728285078"/>
    <n v="22.897603485838779"/>
    <n v="1.022271714922049"/>
  </r>
  <r>
    <d v="2026-08-12T00:00:00"/>
    <x v="1"/>
    <x v="2"/>
    <x v="2"/>
    <x v="0"/>
    <n v="450"/>
    <n v="401"/>
    <n v="17"/>
    <n v="384"/>
    <n v="50"/>
    <n v="0.10416666666666667"/>
    <n v="100"/>
    <n v="30800"/>
    <n v="38400"/>
    <n v="7600"/>
    <n v="0.89111111111111108"/>
    <n v="4.2394014962593519E-2"/>
    <n v="0.19791666666666666"/>
    <n v="80.208333333333329"/>
    <n v="430"/>
    <n v="0.93255813953488376"/>
    <n v="19.791666666666668"/>
    <n v="0.89302325581395348"/>
  </r>
  <r>
    <d v="2026-08-13T00:00:00"/>
    <x v="1"/>
    <x v="0"/>
    <x v="0"/>
    <x v="0"/>
    <n v="460"/>
    <n v="432"/>
    <n v="17"/>
    <n v="415"/>
    <n v="39"/>
    <n v="8.1250000000000003E-2"/>
    <n v="100"/>
    <n v="30800"/>
    <n v="41500"/>
    <n v="10700"/>
    <n v="0.93913043478260871"/>
    <n v="3.9351851851851853E-2"/>
    <n v="0.25783132530120484"/>
    <n v="74.216867469879517"/>
    <n v="441"/>
    <n v="0.97959183673469385"/>
    <n v="25.783132530120483"/>
    <n v="0.94104308390022673"/>
  </r>
  <r>
    <d v="2026-08-13T00:00:00"/>
    <x v="1"/>
    <x v="0"/>
    <x v="1"/>
    <x v="1"/>
    <n v="390"/>
    <n v="365"/>
    <n v="10"/>
    <n v="355"/>
    <n v="44"/>
    <n v="9.166666666666666E-2"/>
    <n v="120"/>
    <n v="30800"/>
    <n v="42600"/>
    <n v="11800"/>
    <n v="0.9358974358974359"/>
    <n v="2.7397260273972601E-2"/>
    <n v="0.27699530516431925"/>
    <n v="86.760563380281695"/>
    <n v="436"/>
    <n v="0.83715596330275233"/>
    <n v="33.239436619718312"/>
    <n v="0.81422018348623848"/>
  </r>
  <r>
    <d v="2026-08-13T00:00:00"/>
    <x v="1"/>
    <x v="0"/>
    <x v="2"/>
    <x v="2"/>
    <n v="500"/>
    <n v="450"/>
    <n v="20"/>
    <n v="430"/>
    <n v="41"/>
    <n v="8.5416666666666669E-2"/>
    <n v="90"/>
    <n v="30800"/>
    <n v="38700"/>
    <n v="7900"/>
    <n v="0.9"/>
    <n v="4.4444444444444446E-2"/>
    <n v="0.20413436692506459"/>
    <n v="71.627906976744185"/>
    <n v="439"/>
    <n v="1.0250569476082005"/>
    <n v="18.372093023255815"/>
    <n v="0.97949886104783601"/>
  </r>
  <r>
    <d v="2026-08-13T00:00:00"/>
    <x v="1"/>
    <x v="1"/>
    <x v="0"/>
    <x v="1"/>
    <n v="390"/>
    <n v="354"/>
    <n v="16"/>
    <n v="338"/>
    <n v="57"/>
    <n v="0.11874999999999999"/>
    <n v="120"/>
    <n v="30800"/>
    <n v="40560"/>
    <n v="9760"/>
    <n v="0.90769230769230769"/>
    <n v="4.519774011299435E-2"/>
    <n v="0.24063116370808679"/>
    <n v="91.124260355029591"/>
    <n v="423"/>
    <n v="0.83687943262411346"/>
    <n v="28.875739644970412"/>
    <n v="0.79905437352245867"/>
  </r>
  <r>
    <d v="2026-08-13T00:00:00"/>
    <x v="1"/>
    <x v="1"/>
    <x v="1"/>
    <x v="2"/>
    <n v="520"/>
    <n v="459"/>
    <n v="27"/>
    <n v="432"/>
    <n v="61"/>
    <n v="0.12708333333333333"/>
    <n v="90"/>
    <n v="30800"/>
    <n v="38880"/>
    <n v="8080"/>
    <n v="0.88269230769230766"/>
    <n v="5.8823529411764705E-2"/>
    <n v="0.20781893004115226"/>
    <n v="71.296296296296291"/>
    <n v="419"/>
    <n v="1.0954653937947494"/>
    <n v="18.703703703703702"/>
    <n v="1.0310262529832936"/>
  </r>
  <r>
    <d v="2026-08-13T00:00:00"/>
    <x v="1"/>
    <x v="1"/>
    <x v="2"/>
    <x v="0"/>
    <n v="430"/>
    <n v="364"/>
    <n v="30"/>
    <n v="334"/>
    <n v="78"/>
    <n v="0.16250000000000001"/>
    <n v="100"/>
    <n v="30800"/>
    <n v="33400"/>
    <n v="2600"/>
    <n v="0.84651162790697676"/>
    <n v="8.2417582417582416E-2"/>
    <n v="7.7844311377245512E-2"/>
    <n v="92.215568862275447"/>
    <n v="402"/>
    <n v="0.90547263681592038"/>
    <n v="7.7844311377245505"/>
    <n v="0.8308457711442786"/>
  </r>
  <r>
    <d v="2026-08-13T00:00:00"/>
    <x v="1"/>
    <x v="2"/>
    <x v="0"/>
    <x v="2"/>
    <n v="500"/>
    <n v="486"/>
    <n v="13"/>
    <n v="473"/>
    <n v="10"/>
    <n v="2.0833333333333332E-2"/>
    <n v="90"/>
    <n v="30800"/>
    <n v="42570"/>
    <n v="11770"/>
    <n v="0.97199999999999998"/>
    <n v="2.6748971193415638E-2"/>
    <n v="0.27648578811369506"/>
    <n v="65.116279069767444"/>
    <n v="470"/>
    <n v="1.0340425531914894"/>
    <n v="24.88372093023256"/>
    <n v="1.0063829787234042"/>
  </r>
  <r>
    <d v="2026-08-13T00:00:00"/>
    <x v="1"/>
    <x v="2"/>
    <x v="1"/>
    <x v="0"/>
    <n v="450"/>
    <n v="430"/>
    <n v="21"/>
    <n v="409"/>
    <n v="26"/>
    <n v="5.4166666666666669E-2"/>
    <n v="100"/>
    <n v="30800"/>
    <n v="40900"/>
    <n v="10100"/>
    <n v="0.9555555555555556"/>
    <n v="4.8837209302325581E-2"/>
    <n v="0.24694376528117359"/>
    <n v="75.30562347188264"/>
    <n v="454"/>
    <n v="0.94713656387665202"/>
    <n v="24.69437652811736"/>
    <n v="0.90088105726872247"/>
  </r>
  <r>
    <d v="2026-08-13T00:00:00"/>
    <x v="1"/>
    <x v="2"/>
    <x v="2"/>
    <x v="1"/>
    <n v="390"/>
    <n v="360"/>
    <n v="14"/>
    <n v="346"/>
    <n v="29"/>
    <n v="6.0416666666666667E-2"/>
    <n v="120"/>
    <n v="30800"/>
    <n v="41520"/>
    <n v="10720"/>
    <n v="0.92307692307692313"/>
    <n v="3.888888888888889E-2"/>
    <n v="0.25818882466281312"/>
    <n v="89.017341040462426"/>
    <n v="451"/>
    <n v="0.79822616407982261"/>
    <n v="30.982658959537574"/>
    <n v="0.76718403547671843"/>
  </r>
  <r>
    <d v="2026-08-14T00:00:00"/>
    <x v="1"/>
    <x v="0"/>
    <x v="0"/>
    <x v="1"/>
    <n v="400"/>
    <n v="373"/>
    <n v="10"/>
    <n v="363"/>
    <n v="24"/>
    <n v="0.05"/>
    <n v="120"/>
    <n v="30800"/>
    <n v="43560"/>
    <n v="12760"/>
    <n v="0.9325"/>
    <n v="2.6809651474530832E-2"/>
    <n v="0.29292929292929293"/>
    <n v="84.848484848484844"/>
    <n v="456"/>
    <n v="0.81798245614035092"/>
    <n v="35.151515151515149"/>
    <n v="0.79605263157894735"/>
  </r>
  <r>
    <d v="2026-08-14T00:00:00"/>
    <x v="1"/>
    <x v="0"/>
    <x v="1"/>
    <x v="2"/>
    <n v="500"/>
    <n v="467"/>
    <n v="17"/>
    <n v="450"/>
    <n v="43"/>
    <n v="8.9583333333333334E-2"/>
    <n v="90"/>
    <n v="30800"/>
    <n v="40500"/>
    <n v="9700"/>
    <n v="0.93400000000000005"/>
    <n v="3.6402569593147749E-2"/>
    <n v="0.23950617283950618"/>
    <n v="68.444444444444443"/>
    <n v="437"/>
    <n v="1.068649885583524"/>
    <n v="21.555555555555557"/>
    <n v="1.0297482837528604"/>
  </r>
  <r>
    <d v="2026-08-14T00:00:00"/>
    <x v="1"/>
    <x v="0"/>
    <x v="2"/>
    <x v="0"/>
    <n v="460"/>
    <n v="413"/>
    <n v="24"/>
    <n v="389"/>
    <n v="57"/>
    <n v="0.11874999999999999"/>
    <n v="100"/>
    <n v="30800"/>
    <n v="38900"/>
    <n v="8100"/>
    <n v="0.89782608695652177"/>
    <n v="5.8111380145278453E-2"/>
    <n v="0.20822622107969152"/>
    <n v="79.177377892030847"/>
    <n v="423"/>
    <n v="0.97635933806146569"/>
    <n v="20.822622107969153"/>
    <n v="0.91962174940898345"/>
  </r>
  <r>
    <d v="2026-08-14T00:00:00"/>
    <x v="1"/>
    <x v="1"/>
    <x v="0"/>
    <x v="2"/>
    <n v="500"/>
    <n v="438"/>
    <n v="20"/>
    <n v="418"/>
    <n v="48"/>
    <n v="0.1"/>
    <n v="90"/>
    <n v="30800"/>
    <n v="37620"/>
    <n v="6820"/>
    <n v="0.876"/>
    <n v="4.5662100456621002E-2"/>
    <n v="0.18128654970760233"/>
    <n v="73.684210526315795"/>
    <n v="432"/>
    <n v="1.0138888888888888"/>
    <n v="16.315789473684209"/>
    <n v="0.96759259259259256"/>
  </r>
  <r>
    <d v="2026-08-14T00:00:00"/>
    <x v="1"/>
    <x v="1"/>
    <x v="1"/>
    <x v="0"/>
    <n v="450"/>
    <n v="400"/>
    <n v="29"/>
    <n v="371"/>
    <n v="69"/>
    <n v="0.14374999999999999"/>
    <n v="100"/>
    <n v="30800"/>
    <n v="37100"/>
    <n v="6300"/>
    <n v="0.88888888888888884"/>
    <n v="7.2499999999999995E-2"/>
    <n v="0.16981132075471697"/>
    <n v="83.018867924528308"/>
    <n v="411"/>
    <n v="0.97323600973236013"/>
    <n v="16.981132075471699"/>
    <n v="0.902676399026764"/>
  </r>
  <r>
    <d v="2026-08-14T00:00:00"/>
    <x v="1"/>
    <x v="1"/>
    <x v="2"/>
    <x v="1"/>
    <n v="410"/>
    <n v="342"/>
    <n v="20"/>
    <n v="322"/>
    <n v="56"/>
    <n v="0.11666666666666667"/>
    <n v="120"/>
    <n v="30800"/>
    <n v="38640"/>
    <n v="7840"/>
    <n v="0.8341463414634146"/>
    <n v="5.8479532163742687E-2"/>
    <n v="0.20289855072463769"/>
    <n v="95.652173913043484"/>
    <n v="424"/>
    <n v="0.80660377358490565"/>
    <n v="24.347826086956523"/>
    <n v="0.75943396226415094"/>
  </r>
  <r>
    <d v="2026-08-14T00:00:00"/>
    <x v="1"/>
    <x v="2"/>
    <x v="0"/>
    <x v="0"/>
    <n v="450"/>
    <n v="423"/>
    <n v="19"/>
    <n v="404"/>
    <n v="24"/>
    <n v="0.05"/>
    <n v="100"/>
    <n v="30800"/>
    <n v="40400"/>
    <n v="9600"/>
    <n v="0.94"/>
    <n v="4.4917257683215132E-2"/>
    <n v="0.23762376237623761"/>
    <n v="76.237623762376231"/>
    <n v="456"/>
    <n v="0.92763157894736847"/>
    <n v="23.762376237623762"/>
    <n v="0.88596491228070173"/>
  </r>
  <r>
    <d v="2026-08-14T00:00:00"/>
    <x v="1"/>
    <x v="2"/>
    <x v="1"/>
    <x v="1"/>
    <n v="410"/>
    <n v="393"/>
    <n v="11"/>
    <n v="382"/>
    <n v="32"/>
    <n v="6.6666666666666666E-2"/>
    <n v="120"/>
    <n v="30800"/>
    <n v="45840"/>
    <n v="15040"/>
    <n v="0.95853658536585362"/>
    <n v="2.7989821882951654E-2"/>
    <n v="0.32809773123909247"/>
    <n v="80.6282722513089"/>
    <n v="448"/>
    <n v="0.8772321428571429"/>
    <n v="39.3717277486911"/>
    <n v="0.8526785714285714"/>
  </r>
  <r>
    <d v="2026-08-14T00:00:00"/>
    <x v="1"/>
    <x v="2"/>
    <x v="2"/>
    <x v="2"/>
    <n v="500"/>
    <n v="472"/>
    <n v="20"/>
    <n v="452"/>
    <n v="27"/>
    <n v="5.6250000000000001E-2"/>
    <n v="90"/>
    <n v="30800"/>
    <n v="40680"/>
    <n v="9880"/>
    <n v="0.94399999999999995"/>
    <n v="4.2372881355932202E-2"/>
    <n v="0.24287118977384464"/>
    <n v="68.141592920353986"/>
    <n v="453"/>
    <n v="1.0419426048565121"/>
    <n v="21.858407079646017"/>
    <n v="0.99779249448123619"/>
  </r>
  <r>
    <d v="2026-08-15T00:00:00"/>
    <x v="1"/>
    <x v="0"/>
    <x v="0"/>
    <x v="2"/>
    <n v="500"/>
    <n v="470"/>
    <n v="18"/>
    <n v="452"/>
    <n v="25"/>
    <n v="5.2083333333333336E-2"/>
    <n v="90"/>
    <n v="30800"/>
    <n v="40680"/>
    <n v="9880"/>
    <n v="0.94"/>
    <n v="3.8297872340425532E-2"/>
    <n v="0.24287118977384464"/>
    <n v="68.141592920353986"/>
    <n v="455"/>
    <n v="1.0329670329670331"/>
    <n v="21.858407079646017"/>
    <n v="0.99340659340659343"/>
  </r>
  <r>
    <d v="2026-08-15T00:00:00"/>
    <x v="1"/>
    <x v="0"/>
    <x v="1"/>
    <x v="0"/>
    <n v="470"/>
    <n v="444"/>
    <n v="20"/>
    <n v="424"/>
    <n v="39"/>
    <n v="8.1250000000000003E-2"/>
    <n v="100"/>
    <n v="30800"/>
    <n v="42400"/>
    <n v="11600"/>
    <n v="0.94468085106382982"/>
    <n v="4.5045045045045043E-2"/>
    <n v="0.27358490566037735"/>
    <n v="72.64150943396227"/>
    <n v="441"/>
    <n v="1.0068027210884354"/>
    <n v="27.358490566037737"/>
    <n v="0.96145124716553287"/>
  </r>
  <r>
    <d v="2026-08-15T00:00:00"/>
    <x v="1"/>
    <x v="0"/>
    <x v="2"/>
    <x v="1"/>
    <n v="400"/>
    <n v="357"/>
    <n v="13"/>
    <n v="344"/>
    <n v="46"/>
    <n v="9.583333333333334E-2"/>
    <n v="120"/>
    <n v="30800"/>
    <n v="41280"/>
    <n v="10480"/>
    <n v="0.89249999999999996"/>
    <n v="3.6414565826330535E-2"/>
    <n v="0.25387596899224807"/>
    <n v="89.534883720930239"/>
    <n v="434"/>
    <n v="0.82258064516129037"/>
    <n v="30.465116279069768"/>
    <n v="0.79262672811059909"/>
  </r>
  <r>
    <d v="2026-08-15T00:00:00"/>
    <x v="1"/>
    <x v="1"/>
    <x v="0"/>
    <x v="0"/>
    <n v="440"/>
    <n v="391"/>
    <n v="27"/>
    <n v="364"/>
    <n v="63"/>
    <n v="0.13125000000000001"/>
    <n v="100"/>
    <n v="30800"/>
    <n v="36400"/>
    <n v="5600"/>
    <n v="0.88863636363636367"/>
    <n v="6.9053708439897693E-2"/>
    <n v="0.15384615384615385"/>
    <n v="84.615384615384613"/>
    <n v="417"/>
    <n v="0.93764988009592332"/>
    <n v="15.384615384615385"/>
    <n v="0.87290167865707435"/>
  </r>
  <r>
    <d v="2026-08-15T00:00:00"/>
    <x v="1"/>
    <x v="1"/>
    <x v="1"/>
    <x v="1"/>
    <n v="390"/>
    <n v="345"/>
    <n v="18"/>
    <n v="327"/>
    <n v="50"/>
    <n v="0.10416666666666667"/>
    <n v="120"/>
    <n v="30800"/>
    <n v="39240"/>
    <n v="8440"/>
    <n v="0.88461538461538458"/>
    <n v="5.2173913043478258E-2"/>
    <n v="0.21508664627930682"/>
    <n v="94.189602446483178"/>
    <n v="430"/>
    <n v="0.80232558139534882"/>
    <n v="25.810397553516818"/>
    <n v="0.76046511627906976"/>
  </r>
  <r>
    <d v="2026-08-15T00:00:00"/>
    <x v="1"/>
    <x v="1"/>
    <x v="2"/>
    <x v="2"/>
    <n v="510"/>
    <n v="433"/>
    <n v="28"/>
    <n v="405"/>
    <n v="45"/>
    <n v="9.375E-2"/>
    <n v="90"/>
    <n v="30800"/>
    <n v="36450"/>
    <n v="5650"/>
    <n v="0.84901960784313724"/>
    <n v="6.4665127020785224E-2"/>
    <n v="0.15500685871056241"/>
    <n v="76.049382716049379"/>
    <n v="435"/>
    <n v="0.99540229885057474"/>
    <n v="13.950617283950617"/>
    <n v="0.93103448275862066"/>
  </r>
  <r>
    <d v="2026-08-15T00:00:00"/>
    <x v="1"/>
    <x v="2"/>
    <x v="0"/>
    <x v="1"/>
    <n v="400"/>
    <n v="388"/>
    <n v="6"/>
    <n v="382"/>
    <n v="34"/>
    <n v="7.0833333333333331E-2"/>
    <n v="120"/>
    <n v="30800"/>
    <n v="45840"/>
    <n v="15040"/>
    <n v="0.97"/>
    <n v="1.5463917525773196E-2"/>
    <n v="0.32809773123909247"/>
    <n v="80.6282722513089"/>
    <n v="446"/>
    <n v="0.8699551569506726"/>
    <n v="39.3717277486911"/>
    <n v="0.8565022421524664"/>
  </r>
  <r>
    <d v="2026-08-15T00:00:00"/>
    <x v="1"/>
    <x v="2"/>
    <x v="1"/>
    <x v="2"/>
    <n v="480"/>
    <n v="456"/>
    <n v="17"/>
    <n v="439"/>
    <n v="25"/>
    <n v="5.2083333333333336E-2"/>
    <n v="90"/>
    <n v="30800"/>
    <n v="39510"/>
    <n v="8710"/>
    <n v="0.95"/>
    <n v="3.7280701754385963E-2"/>
    <n v="0.22045051885598582"/>
    <n v="70.159453302961282"/>
    <n v="455"/>
    <n v="1.0021978021978022"/>
    <n v="19.840546697038725"/>
    <n v="0.96483516483516485"/>
  </r>
  <r>
    <d v="2026-08-15T00:00:00"/>
    <x v="1"/>
    <x v="2"/>
    <x v="2"/>
    <x v="0"/>
    <n v="470"/>
    <n v="441"/>
    <n v="22"/>
    <n v="419"/>
    <n v="34"/>
    <n v="7.0833333333333331E-2"/>
    <n v="100"/>
    <n v="30800"/>
    <n v="41900"/>
    <n v="11100"/>
    <n v="0.9382978723404255"/>
    <n v="4.9886621315192746E-2"/>
    <n v="0.2649164677804296"/>
    <n v="73.508353221957037"/>
    <n v="446"/>
    <n v="0.9887892376681614"/>
    <n v="26.491646778042959"/>
    <n v="0.9394618834080718"/>
  </r>
  <r>
    <d v="2026-08-16T00:00:00"/>
    <x v="1"/>
    <x v="0"/>
    <x v="0"/>
    <x v="0"/>
    <n v="440"/>
    <n v="415"/>
    <n v="21"/>
    <n v="394"/>
    <n v="25"/>
    <n v="5.2083333333333336E-2"/>
    <n v="100"/>
    <n v="30800"/>
    <n v="39400"/>
    <n v="8600"/>
    <n v="0.94318181818181823"/>
    <n v="5.0602409638554217E-2"/>
    <n v="0.21827411167512689"/>
    <n v="78.172588832487307"/>
    <n v="455"/>
    <n v="0.91208791208791207"/>
    <n v="21.82741116751269"/>
    <n v="0.86593406593406597"/>
  </r>
  <r>
    <d v="2026-08-16T00:00:00"/>
    <x v="1"/>
    <x v="0"/>
    <x v="1"/>
    <x v="1"/>
    <n v="400"/>
    <n v="371"/>
    <n v="14"/>
    <n v="357"/>
    <n v="26"/>
    <n v="5.4166666666666669E-2"/>
    <n v="120"/>
    <n v="30800"/>
    <n v="42840"/>
    <n v="12040"/>
    <n v="0.92749999999999999"/>
    <n v="3.7735849056603772E-2"/>
    <n v="0.28104575163398693"/>
    <n v="86.274509803921575"/>
    <n v="454"/>
    <n v="0.81718061674008813"/>
    <n v="33.725490196078432"/>
    <n v="0.78634361233480177"/>
  </r>
  <r>
    <d v="2026-08-16T00:00:00"/>
    <x v="1"/>
    <x v="0"/>
    <x v="2"/>
    <x v="2"/>
    <n v="500"/>
    <n v="458"/>
    <n v="24"/>
    <n v="434"/>
    <n v="27"/>
    <n v="5.6250000000000001E-2"/>
    <n v="90"/>
    <n v="30800"/>
    <n v="39060"/>
    <n v="8260"/>
    <n v="0.91600000000000004"/>
    <n v="5.2401746724890827E-2"/>
    <n v="0.21146953405017921"/>
    <n v="70.967741935483872"/>
    <n v="453"/>
    <n v="1.011037527593819"/>
    <n v="19.032258064516128"/>
    <n v="0.95805739514348787"/>
  </r>
  <r>
    <d v="2026-08-16T00:00:00"/>
    <x v="1"/>
    <x v="1"/>
    <x v="0"/>
    <x v="1"/>
    <n v="410"/>
    <n v="355"/>
    <n v="18"/>
    <n v="337"/>
    <n v="45"/>
    <n v="9.375E-2"/>
    <n v="120"/>
    <n v="30800"/>
    <n v="40440"/>
    <n v="9640"/>
    <n v="0.86585365853658536"/>
    <n v="5.0704225352112678E-2"/>
    <n v="0.23837784371909002"/>
    <n v="91.394658753709194"/>
    <n v="435"/>
    <n v="0.81609195402298851"/>
    <n v="28.605341246290802"/>
    <n v="0.77471264367816095"/>
  </r>
  <r>
    <d v="2026-08-16T00:00:00"/>
    <x v="1"/>
    <x v="1"/>
    <x v="1"/>
    <x v="2"/>
    <n v="480"/>
    <n v="422"/>
    <n v="21"/>
    <n v="401"/>
    <n v="48"/>
    <n v="0.1"/>
    <n v="90"/>
    <n v="30800"/>
    <n v="36090"/>
    <n v="5290"/>
    <n v="0.87916666666666665"/>
    <n v="4.9763033175355451E-2"/>
    <n v="0.14657799944582986"/>
    <n v="76.807980049875312"/>
    <n v="432"/>
    <n v="0.97685185185185186"/>
    <n v="13.192019950124688"/>
    <n v="0.9282407407407407"/>
  </r>
  <r>
    <d v="2026-08-16T00:00:00"/>
    <x v="1"/>
    <x v="1"/>
    <x v="2"/>
    <x v="0"/>
    <n v="450"/>
    <n v="384"/>
    <n v="29"/>
    <n v="355"/>
    <n v="58"/>
    <n v="0.12083333333333333"/>
    <n v="100"/>
    <n v="30800"/>
    <n v="35500"/>
    <n v="4700"/>
    <n v="0.85333333333333339"/>
    <n v="7.5520833333333329E-2"/>
    <n v="0.13239436619718309"/>
    <n v="86.760563380281695"/>
    <n v="422"/>
    <n v="0.90995260663507105"/>
    <n v="13.23943661971831"/>
    <n v="0.84123222748815163"/>
  </r>
  <r>
    <d v="2026-08-16T00:00:00"/>
    <x v="1"/>
    <x v="2"/>
    <x v="0"/>
    <x v="2"/>
    <n v="500"/>
    <n v="469"/>
    <n v="9"/>
    <n v="460"/>
    <n v="10"/>
    <n v="2.0833333333333332E-2"/>
    <n v="90"/>
    <n v="30800"/>
    <n v="41400"/>
    <n v="10600"/>
    <n v="0.93799999999999994"/>
    <n v="1.9189765458422176E-2"/>
    <n v="0.2560386473429952"/>
    <n v="66.956521739130437"/>
    <n v="470"/>
    <n v="0.99787234042553197"/>
    <n v="23.043478260869566"/>
    <n v="0.97872340425531912"/>
  </r>
  <r>
    <d v="2026-08-16T00:00:00"/>
    <x v="1"/>
    <x v="2"/>
    <x v="1"/>
    <x v="0"/>
    <n v="460"/>
    <n v="441"/>
    <n v="16"/>
    <n v="425"/>
    <n v="32"/>
    <n v="6.6666666666666666E-2"/>
    <n v="100"/>
    <n v="30800"/>
    <n v="42500"/>
    <n v="11700"/>
    <n v="0.95869565217391306"/>
    <n v="3.6281179138321996E-2"/>
    <n v="0.2752941176470588"/>
    <n v="72.470588235294116"/>
    <n v="448"/>
    <n v="0.984375"/>
    <n v="27.529411764705884"/>
    <n v="0.9486607142857143"/>
  </r>
  <r>
    <d v="2026-08-16T00:00:00"/>
    <x v="1"/>
    <x v="2"/>
    <x v="2"/>
    <x v="1"/>
    <n v="400"/>
    <n v="372"/>
    <n v="11"/>
    <n v="361"/>
    <n v="43"/>
    <n v="8.9583333333333334E-2"/>
    <n v="120"/>
    <n v="30800"/>
    <n v="43320"/>
    <n v="12520"/>
    <n v="0.93"/>
    <n v="2.9569892473118281E-2"/>
    <n v="0.28901200369344415"/>
    <n v="85.31855955678671"/>
    <n v="437"/>
    <n v="0.85125858123569798"/>
    <n v="34.681440443213297"/>
    <n v="0.82608695652173914"/>
  </r>
  <r>
    <d v="2026-08-17T00:00:00"/>
    <x v="1"/>
    <x v="0"/>
    <x v="0"/>
    <x v="1"/>
    <n v="410"/>
    <n v="384"/>
    <n v="8"/>
    <n v="376"/>
    <n v="39"/>
    <n v="8.1250000000000003E-2"/>
    <n v="120"/>
    <n v="30800"/>
    <n v="45120"/>
    <n v="14320"/>
    <n v="0.93658536585365859"/>
    <n v="2.0833333333333332E-2"/>
    <n v="0.31737588652482268"/>
    <n v="81.914893617021278"/>
    <n v="441"/>
    <n v="0.87074829931972786"/>
    <n v="38.085106382978722"/>
    <n v="0.85260770975056688"/>
  </r>
  <r>
    <d v="2026-08-17T00:00:00"/>
    <x v="1"/>
    <x v="0"/>
    <x v="1"/>
    <x v="2"/>
    <n v="490"/>
    <n v="442"/>
    <n v="15"/>
    <n v="427"/>
    <n v="27"/>
    <n v="5.6250000000000001E-2"/>
    <n v="90"/>
    <n v="30800"/>
    <n v="38430"/>
    <n v="7630"/>
    <n v="0.90204081632653066"/>
    <n v="3.3936651583710405E-2"/>
    <n v="0.19854280510018216"/>
    <n v="72.131147540983605"/>
    <n v="453"/>
    <n v="0.97571743929359822"/>
    <n v="17.868852459016395"/>
    <n v="0.94260485651214132"/>
  </r>
  <r>
    <d v="2026-08-17T00:00:00"/>
    <x v="1"/>
    <x v="0"/>
    <x v="2"/>
    <x v="0"/>
    <n v="440"/>
    <n v="387"/>
    <n v="24"/>
    <n v="363"/>
    <n v="46"/>
    <n v="9.583333333333334E-2"/>
    <n v="100"/>
    <n v="30800"/>
    <n v="36300"/>
    <n v="5500"/>
    <n v="0.87954545454545452"/>
    <n v="6.2015503875968991E-2"/>
    <n v="0.15151515151515152"/>
    <n v="84.848484848484844"/>
    <n v="434"/>
    <n v="0.89170506912442393"/>
    <n v="15.151515151515152"/>
    <n v="0.83640552995391704"/>
  </r>
  <r>
    <d v="2026-08-17T00:00:00"/>
    <x v="1"/>
    <x v="1"/>
    <x v="0"/>
    <x v="2"/>
    <n v="500"/>
    <n v="444"/>
    <n v="21"/>
    <n v="423"/>
    <n v="42"/>
    <n v="8.7499999999999994E-2"/>
    <n v="90"/>
    <n v="30800"/>
    <n v="38070"/>
    <n v="7270"/>
    <n v="0.88800000000000001"/>
    <n v="4.72972972972973E-2"/>
    <n v="0.19096401365904911"/>
    <n v="72.813238770685572"/>
    <n v="438"/>
    <n v="1.0136986301369864"/>
    <n v="17.186761229314421"/>
    <n v="0.96575342465753422"/>
  </r>
  <r>
    <d v="2026-08-17T00:00:00"/>
    <x v="1"/>
    <x v="1"/>
    <x v="1"/>
    <x v="0"/>
    <n v="430"/>
    <n v="366"/>
    <n v="23"/>
    <n v="343"/>
    <n v="60"/>
    <n v="0.125"/>
    <n v="100"/>
    <n v="30800"/>
    <n v="34300"/>
    <n v="3500"/>
    <n v="0.85116279069767442"/>
    <n v="6.2841530054644809E-2"/>
    <n v="0.10204081632653061"/>
    <n v="89.795918367346943"/>
    <n v="420"/>
    <n v="0.87142857142857144"/>
    <n v="10.204081632653061"/>
    <n v="0.81666666666666665"/>
  </r>
  <r>
    <d v="2026-08-17T00:00:00"/>
    <x v="1"/>
    <x v="1"/>
    <x v="2"/>
    <x v="1"/>
    <n v="410"/>
    <n v="356"/>
    <n v="23"/>
    <n v="333"/>
    <n v="71"/>
    <n v="0.14791666666666667"/>
    <n v="120"/>
    <n v="30800"/>
    <n v="39960"/>
    <n v="9160"/>
    <n v="0.86829268292682926"/>
    <n v="6.4606741573033713E-2"/>
    <n v="0.22922922922922923"/>
    <n v="92.492492492492488"/>
    <n v="409"/>
    <n v="0.8704156479217604"/>
    <n v="27.507507507507508"/>
    <n v="0.81418092909535456"/>
  </r>
  <r>
    <d v="2026-08-17T00:00:00"/>
    <x v="1"/>
    <x v="2"/>
    <x v="0"/>
    <x v="0"/>
    <n v="450"/>
    <n v="441"/>
    <n v="16"/>
    <n v="425"/>
    <n v="22"/>
    <n v="4.583333333333333E-2"/>
    <n v="100"/>
    <n v="30800"/>
    <n v="42500"/>
    <n v="11700"/>
    <n v="0.98"/>
    <n v="3.6281179138321996E-2"/>
    <n v="0.2752941176470588"/>
    <n v="72.470588235294116"/>
    <n v="458"/>
    <n v="0.96288209606986896"/>
    <n v="27.529411764705884"/>
    <n v="0.92794759825327511"/>
  </r>
  <r>
    <d v="2026-08-17T00:00:00"/>
    <x v="1"/>
    <x v="2"/>
    <x v="1"/>
    <x v="1"/>
    <n v="410"/>
    <n v="387"/>
    <n v="10"/>
    <n v="377"/>
    <n v="36"/>
    <n v="7.4999999999999997E-2"/>
    <n v="120"/>
    <n v="30800"/>
    <n v="45240"/>
    <n v="14440"/>
    <n v="0.94390243902439019"/>
    <n v="2.5839793281653745E-2"/>
    <n v="0.31918656056587091"/>
    <n v="81.697612732095493"/>
    <n v="444"/>
    <n v="0.8716216216216216"/>
    <n v="38.302387267904507"/>
    <n v="0.84909909909909909"/>
  </r>
  <r>
    <d v="2026-08-17T00:00:00"/>
    <x v="1"/>
    <x v="2"/>
    <x v="2"/>
    <x v="2"/>
    <n v="500"/>
    <n v="459"/>
    <n v="18"/>
    <n v="441"/>
    <n v="35"/>
    <n v="7.2916666666666671E-2"/>
    <n v="90"/>
    <n v="30800"/>
    <n v="39690"/>
    <n v="8890"/>
    <n v="0.91800000000000004"/>
    <n v="3.9215686274509803E-2"/>
    <n v="0.22398589065255731"/>
    <n v="69.841269841269835"/>
    <n v="445"/>
    <n v="1.0314606741573034"/>
    <n v="20.158730158730158"/>
    <n v="0.99101123595505614"/>
  </r>
  <r>
    <d v="2026-08-18T00:00:00"/>
    <x v="1"/>
    <x v="0"/>
    <x v="0"/>
    <x v="2"/>
    <n v="510"/>
    <n v="484"/>
    <n v="17"/>
    <n v="467"/>
    <n v="32"/>
    <n v="6.6666666666666666E-2"/>
    <n v="90"/>
    <n v="30800"/>
    <n v="42030"/>
    <n v="11230"/>
    <n v="0.94901960784313721"/>
    <n v="3.5123966942148761E-2"/>
    <n v="0.26719010230787532"/>
    <n v="65.952890792291214"/>
    <n v="448"/>
    <n v="1.0803571428571428"/>
    <n v="24.047109207708779"/>
    <n v="1.0424107142857142"/>
  </r>
  <r>
    <d v="2026-08-18T00:00:00"/>
    <x v="1"/>
    <x v="0"/>
    <x v="1"/>
    <x v="0"/>
    <n v="450"/>
    <n v="416"/>
    <n v="19"/>
    <n v="397"/>
    <n v="48"/>
    <n v="0.1"/>
    <n v="100"/>
    <n v="30800"/>
    <n v="39700"/>
    <n v="8900"/>
    <n v="0.9244444444444444"/>
    <n v="4.567307692307692E-2"/>
    <n v="0.22418136020151133"/>
    <n v="77.581863979848862"/>
    <n v="432"/>
    <n v="0.96296296296296291"/>
    <n v="22.418136020151135"/>
    <n v="0.91898148148148151"/>
  </r>
  <r>
    <d v="2026-08-18T00:00:00"/>
    <x v="1"/>
    <x v="0"/>
    <x v="2"/>
    <x v="1"/>
    <n v="390"/>
    <n v="350"/>
    <n v="14"/>
    <n v="336"/>
    <n v="49"/>
    <n v="0.10208333333333333"/>
    <n v="120"/>
    <n v="30800"/>
    <n v="40320"/>
    <n v="9520"/>
    <n v="0.89743589743589747"/>
    <n v="0.04"/>
    <n v="0.2361111111111111"/>
    <n v="91.666666666666671"/>
    <n v="431"/>
    <n v="0.81206496519721583"/>
    <n v="28.333333333333332"/>
    <n v="0.77958236658932711"/>
  </r>
  <r>
    <d v="2026-08-18T00:00:00"/>
    <x v="1"/>
    <x v="1"/>
    <x v="0"/>
    <x v="0"/>
    <n v="440"/>
    <n v="384"/>
    <n v="24"/>
    <n v="360"/>
    <n v="44"/>
    <n v="9.166666666666666E-2"/>
    <n v="100"/>
    <n v="30800"/>
    <n v="36000"/>
    <n v="5200"/>
    <n v="0.87272727272727268"/>
    <n v="6.25E-2"/>
    <n v="0.14444444444444443"/>
    <n v="85.555555555555557"/>
    <n v="436"/>
    <n v="0.88073394495412849"/>
    <n v="14.444444444444445"/>
    <n v="0.82568807339449546"/>
  </r>
  <r>
    <d v="2026-08-18T00:00:00"/>
    <x v="1"/>
    <x v="1"/>
    <x v="1"/>
    <x v="1"/>
    <n v="390"/>
    <n v="343"/>
    <n v="15"/>
    <n v="328"/>
    <n v="59"/>
    <n v="0.12291666666666666"/>
    <n v="120"/>
    <n v="30800"/>
    <n v="39360"/>
    <n v="8560"/>
    <n v="0.87948717948717947"/>
    <n v="4.3731778425655975E-2"/>
    <n v="0.21747967479674796"/>
    <n v="93.902439024390247"/>
    <n v="421"/>
    <n v="0.81472684085510694"/>
    <n v="26.097560975609756"/>
    <n v="0.77909738717339672"/>
  </r>
  <r>
    <d v="2026-08-18T00:00:00"/>
    <x v="1"/>
    <x v="1"/>
    <x v="2"/>
    <x v="2"/>
    <n v="510"/>
    <n v="429"/>
    <n v="27"/>
    <n v="402"/>
    <n v="58"/>
    <n v="0.12083333333333333"/>
    <n v="90"/>
    <n v="30800"/>
    <n v="36180"/>
    <n v="5380"/>
    <n v="0.8411764705882353"/>
    <n v="6.2937062937062943E-2"/>
    <n v="0.14870093974571585"/>
    <n v="76.616915422885569"/>
    <n v="422"/>
    <n v="1.0165876777251184"/>
    <n v="13.383084577114428"/>
    <n v="0.95260663507109"/>
  </r>
  <r>
    <d v="2026-08-18T00:00:00"/>
    <x v="1"/>
    <x v="2"/>
    <x v="0"/>
    <x v="1"/>
    <n v="390"/>
    <n v="371"/>
    <n v="10"/>
    <n v="361"/>
    <n v="33"/>
    <n v="6.8750000000000006E-2"/>
    <n v="120"/>
    <n v="30800"/>
    <n v="43320"/>
    <n v="12520"/>
    <n v="0.95128205128205123"/>
    <n v="2.6954177897574125E-2"/>
    <n v="0.28901200369344415"/>
    <n v="85.31855955678671"/>
    <n v="447"/>
    <n v="0.82997762863534674"/>
    <n v="34.681440443213297"/>
    <n v="0.80760626398210289"/>
  </r>
  <r>
    <d v="2026-08-18T00:00:00"/>
    <x v="1"/>
    <x v="2"/>
    <x v="1"/>
    <x v="2"/>
    <n v="500"/>
    <n v="481"/>
    <n v="17"/>
    <n v="464"/>
    <n v="30"/>
    <n v="6.25E-2"/>
    <n v="90"/>
    <n v="30800"/>
    <n v="41760"/>
    <n v="10960"/>
    <n v="0.96199999999999997"/>
    <n v="3.5343035343035345E-2"/>
    <n v="0.26245210727969348"/>
    <n v="66.379310344827587"/>
    <n v="450"/>
    <n v="1.068888888888889"/>
    <n v="23.620689655172413"/>
    <n v="1.0311111111111111"/>
  </r>
  <r>
    <d v="2026-08-18T00:00:00"/>
    <x v="1"/>
    <x v="2"/>
    <x v="2"/>
    <x v="0"/>
    <n v="430"/>
    <n v="389"/>
    <n v="17"/>
    <n v="372"/>
    <n v="29"/>
    <n v="6.0416666666666667E-2"/>
    <n v="100"/>
    <n v="30800"/>
    <n v="37200"/>
    <n v="6400"/>
    <n v="0.90465116279069768"/>
    <n v="4.3701799485861184E-2"/>
    <n v="0.17204301075268819"/>
    <n v="82.795698924731184"/>
    <n v="451"/>
    <n v="0.86252771618625279"/>
    <n v="17.204301075268816"/>
    <n v="0.82483370288248337"/>
  </r>
  <r>
    <d v="2026-08-19T00:00:00"/>
    <x v="1"/>
    <x v="0"/>
    <x v="0"/>
    <x v="0"/>
    <n v="470"/>
    <n v="438"/>
    <n v="18"/>
    <n v="420"/>
    <n v="28"/>
    <n v="5.8333333333333334E-2"/>
    <n v="100"/>
    <n v="30800"/>
    <n v="42000"/>
    <n v="11200"/>
    <n v="0.93191489361702129"/>
    <n v="4.1095890410958902E-2"/>
    <n v="0.26666666666666666"/>
    <n v="73.333333333333329"/>
    <n v="452"/>
    <n v="0.96902654867256632"/>
    <n v="26.666666666666668"/>
    <n v="0.92920353982300885"/>
  </r>
  <r>
    <d v="2026-08-19T00:00:00"/>
    <x v="1"/>
    <x v="0"/>
    <x v="1"/>
    <x v="1"/>
    <n v="410"/>
    <n v="390"/>
    <n v="14"/>
    <n v="376"/>
    <n v="38"/>
    <n v="7.9166666666666663E-2"/>
    <n v="120"/>
    <n v="30800"/>
    <n v="45120"/>
    <n v="14320"/>
    <n v="0.95121951219512191"/>
    <n v="3.5897435897435895E-2"/>
    <n v="0.31737588652482268"/>
    <n v="81.914893617021278"/>
    <n v="442"/>
    <n v="0.88235294117647056"/>
    <n v="38.085106382978722"/>
    <n v="0.85067873303167418"/>
  </r>
  <r>
    <d v="2026-08-19T00:00:00"/>
    <x v="1"/>
    <x v="0"/>
    <x v="2"/>
    <x v="2"/>
    <n v="520"/>
    <n v="461"/>
    <n v="23"/>
    <n v="438"/>
    <n v="38"/>
    <n v="7.9166666666666663E-2"/>
    <n v="90"/>
    <n v="30800"/>
    <n v="39420"/>
    <n v="8620"/>
    <n v="0.8865384615384615"/>
    <n v="4.9891540130151846E-2"/>
    <n v="0.21867072552004058"/>
    <n v="70.319634703196343"/>
    <n v="442"/>
    <n v="1.0429864253393666"/>
    <n v="19.680365296803654"/>
    <n v="0.99095022624434392"/>
  </r>
  <r>
    <d v="2026-08-19T00:00:00"/>
    <x v="1"/>
    <x v="1"/>
    <x v="0"/>
    <x v="1"/>
    <n v="390"/>
    <n v="355"/>
    <n v="18"/>
    <n v="337"/>
    <n v="40"/>
    <n v="8.3333333333333329E-2"/>
    <n v="120"/>
    <n v="30800"/>
    <n v="40440"/>
    <n v="9640"/>
    <n v="0.91025641025641024"/>
    <n v="5.0704225352112678E-2"/>
    <n v="0.23837784371909002"/>
    <n v="91.394658753709194"/>
    <n v="440"/>
    <n v="0.80681818181818177"/>
    <n v="28.605341246290802"/>
    <n v="0.76590909090909087"/>
  </r>
  <r>
    <d v="2026-08-19T00:00:00"/>
    <x v="1"/>
    <x v="1"/>
    <x v="1"/>
    <x v="2"/>
    <n v="510"/>
    <n v="433"/>
    <n v="27"/>
    <n v="406"/>
    <n v="50"/>
    <n v="0.10416666666666667"/>
    <n v="90"/>
    <n v="30800"/>
    <n v="36540"/>
    <n v="5740"/>
    <n v="0.84901960784313724"/>
    <n v="6.2355658198614321E-2"/>
    <n v="0.15708812260536398"/>
    <n v="75.862068965517238"/>
    <n v="430"/>
    <n v="1.0069767441860464"/>
    <n v="14.137931034482758"/>
    <n v="0.94418604651162785"/>
  </r>
  <r>
    <d v="2026-08-19T00:00:00"/>
    <x v="1"/>
    <x v="1"/>
    <x v="2"/>
    <x v="0"/>
    <n v="440"/>
    <n v="384"/>
    <n v="31"/>
    <n v="353"/>
    <n v="78"/>
    <n v="0.16250000000000001"/>
    <n v="100"/>
    <n v="30800"/>
    <n v="35300"/>
    <n v="4500"/>
    <n v="0.87272727272727268"/>
    <n v="8.0729166666666671E-2"/>
    <n v="0.12747875354107649"/>
    <n v="87.252124645892351"/>
    <n v="402"/>
    <n v="0.95522388059701491"/>
    <n v="12.747875354107649"/>
    <n v="0.87810945273631846"/>
  </r>
  <r>
    <d v="2026-08-19T00:00:00"/>
    <x v="1"/>
    <x v="2"/>
    <x v="0"/>
    <x v="2"/>
    <n v="520"/>
    <n v="494"/>
    <n v="15"/>
    <n v="479"/>
    <n v="18"/>
    <n v="3.7499999999999999E-2"/>
    <n v="90"/>
    <n v="30800"/>
    <n v="43110"/>
    <n v="12310"/>
    <n v="0.95"/>
    <n v="3.0364372469635626E-2"/>
    <n v="0.28554859661331478"/>
    <n v="64.300626304801668"/>
    <n v="462"/>
    <n v="1.0692640692640694"/>
    <n v="25.699373695198329"/>
    <n v="1.0367965367965368"/>
  </r>
  <r>
    <d v="2026-08-19T00:00:00"/>
    <x v="1"/>
    <x v="2"/>
    <x v="1"/>
    <x v="0"/>
    <n v="450"/>
    <n v="417"/>
    <n v="18"/>
    <n v="399"/>
    <n v="26"/>
    <n v="5.4166666666666669E-2"/>
    <n v="100"/>
    <n v="30800"/>
    <n v="39900"/>
    <n v="9100"/>
    <n v="0.92666666666666664"/>
    <n v="4.3165467625899283E-2"/>
    <n v="0.22807017543859648"/>
    <n v="77.192982456140356"/>
    <n v="454"/>
    <n v="0.91850220264317184"/>
    <n v="22.807017543859651"/>
    <n v="0.87885462555066074"/>
  </r>
  <r>
    <d v="2026-08-19T00:00:00"/>
    <x v="1"/>
    <x v="2"/>
    <x v="2"/>
    <x v="1"/>
    <n v="390"/>
    <n v="365"/>
    <n v="14"/>
    <n v="351"/>
    <n v="24"/>
    <n v="0.05"/>
    <n v="120"/>
    <n v="30800"/>
    <n v="42120"/>
    <n v="11320"/>
    <n v="0.9358974358974359"/>
    <n v="3.8356164383561646E-2"/>
    <n v="0.26875593542260207"/>
    <n v="87.749287749287745"/>
    <n v="456"/>
    <n v="0.80043859649122806"/>
    <n v="32.250712250712247"/>
    <n v="0.76973684210526316"/>
  </r>
  <r>
    <d v="2026-08-20T00:00:00"/>
    <x v="1"/>
    <x v="0"/>
    <x v="0"/>
    <x v="1"/>
    <n v="400"/>
    <n v="379"/>
    <n v="13"/>
    <n v="366"/>
    <n v="18"/>
    <n v="3.7499999999999999E-2"/>
    <n v="120"/>
    <n v="30800"/>
    <n v="43920"/>
    <n v="13120"/>
    <n v="0.94750000000000001"/>
    <n v="3.430079155672823E-2"/>
    <n v="0.2987249544626594"/>
    <n v="84.15300546448087"/>
    <n v="462"/>
    <n v="0.82034632034632038"/>
    <n v="35.846994535519123"/>
    <n v="0.79220779220779225"/>
  </r>
  <r>
    <d v="2026-08-20T00:00:00"/>
    <x v="1"/>
    <x v="0"/>
    <x v="1"/>
    <x v="2"/>
    <n v="490"/>
    <n v="440"/>
    <n v="13"/>
    <n v="427"/>
    <n v="39"/>
    <n v="8.1250000000000003E-2"/>
    <n v="90"/>
    <n v="30800"/>
    <n v="38430"/>
    <n v="7630"/>
    <n v="0.89795918367346939"/>
    <n v="2.9545454545454545E-2"/>
    <n v="0.19854280510018216"/>
    <n v="72.131147540983605"/>
    <n v="441"/>
    <n v="0.99773242630385484"/>
    <n v="17.868852459016395"/>
    <n v="0.96825396825396826"/>
  </r>
  <r>
    <d v="2026-08-20T00:00:00"/>
    <x v="1"/>
    <x v="0"/>
    <x v="2"/>
    <x v="0"/>
    <n v="460"/>
    <n v="398"/>
    <n v="24"/>
    <n v="374"/>
    <n v="48"/>
    <n v="0.1"/>
    <n v="100"/>
    <n v="30800"/>
    <n v="37400"/>
    <n v="6600"/>
    <n v="0.86521739130434783"/>
    <n v="6.030150753768844E-2"/>
    <n v="0.17647058823529413"/>
    <n v="82.352941176470594"/>
    <n v="432"/>
    <n v="0.92129629629629628"/>
    <n v="17.647058823529413"/>
    <n v="0.8657407407407407"/>
  </r>
  <r>
    <d v="2026-08-20T00:00:00"/>
    <x v="1"/>
    <x v="1"/>
    <x v="0"/>
    <x v="2"/>
    <n v="490"/>
    <n v="424"/>
    <n v="24"/>
    <n v="400"/>
    <n v="32"/>
    <n v="6.6666666666666666E-2"/>
    <n v="90"/>
    <n v="30800"/>
    <n v="36000"/>
    <n v="5200"/>
    <n v="0.86530612244897964"/>
    <n v="5.6603773584905662E-2"/>
    <n v="0.14444444444444443"/>
    <n v="77"/>
    <n v="448"/>
    <n v="0.9464285714285714"/>
    <n v="13"/>
    <n v="0.8928571428571429"/>
  </r>
  <r>
    <d v="2026-08-20T00:00:00"/>
    <x v="1"/>
    <x v="1"/>
    <x v="1"/>
    <x v="0"/>
    <n v="450"/>
    <n v="387"/>
    <n v="28"/>
    <n v="359"/>
    <n v="71"/>
    <n v="0.14791666666666667"/>
    <n v="100"/>
    <n v="30800"/>
    <n v="35900"/>
    <n v="5100"/>
    <n v="0.86"/>
    <n v="7.2351421188630485E-2"/>
    <n v="0.14206128133704735"/>
    <n v="85.793871866295262"/>
    <n v="409"/>
    <n v="0.94621026894865523"/>
    <n v="14.206128133704736"/>
    <n v="0.87775061124694376"/>
  </r>
  <r>
    <d v="2026-08-20T00:00:00"/>
    <x v="1"/>
    <x v="1"/>
    <x v="2"/>
    <x v="1"/>
    <n v="390"/>
    <n v="331"/>
    <n v="20"/>
    <n v="311"/>
    <n v="59"/>
    <n v="0.12291666666666666"/>
    <n v="120"/>
    <n v="30800"/>
    <n v="37320"/>
    <n v="6520"/>
    <n v="0.8487179487179487"/>
    <n v="6.0422960725075532E-2"/>
    <n v="0.17470525187566988"/>
    <n v="99.035369774919616"/>
    <n v="421"/>
    <n v="0.78622327790973867"/>
    <n v="20.964630225080384"/>
    <n v="0.73871733966745845"/>
  </r>
  <r>
    <d v="2026-08-20T00:00:00"/>
    <x v="1"/>
    <x v="2"/>
    <x v="0"/>
    <x v="0"/>
    <n v="440"/>
    <n v="410"/>
    <n v="17"/>
    <n v="393"/>
    <n v="22"/>
    <n v="4.583333333333333E-2"/>
    <n v="100"/>
    <n v="30800"/>
    <n v="39300"/>
    <n v="8500"/>
    <n v="0.93181818181818177"/>
    <n v="4.1463414634146344E-2"/>
    <n v="0.21628498727735368"/>
    <n v="78.371501272264638"/>
    <n v="458"/>
    <n v="0.89519650655021832"/>
    <n v="21.628498727735369"/>
    <n v="0.85807860262008728"/>
  </r>
  <r>
    <d v="2026-08-20T00:00:00"/>
    <x v="1"/>
    <x v="2"/>
    <x v="1"/>
    <x v="1"/>
    <n v="390"/>
    <n v="357"/>
    <n v="12"/>
    <n v="345"/>
    <n v="40"/>
    <n v="8.3333333333333329E-2"/>
    <n v="120"/>
    <n v="30800"/>
    <n v="41400"/>
    <n v="10600"/>
    <n v="0.91538461538461535"/>
    <n v="3.3613445378151259E-2"/>
    <n v="0.2560386473429952"/>
    <n v="89.275362318840578"/>
    <n v="440"/>
    <n v="0.8113636363636364"/>
    <n v="30.724637681159422"/>
    <n v="0.78409090909090906"/>
  </r>
  <r>
    <d v="2026-08-20T00:00:00"/>
    <x v="1"/>
    <x v="2"/>
    <x v="2"/>
    <x v="2"/>
    <n v="510"/>
    <n v="463"/>
    <n v="18"/>
    <n v="445"/>
    <n v="29"/>
    <n v="6.0416666666666667E-2"/>
    <n v="90"/>
    <n v="30800"/>
    <n v="40050"/>
    <n v="9250"/>
    <n v="0.90784313725490196"/>
    <n v="3.8876889848812095E-2"/>
    <n v="0.23096129837702872"/>
    <n v="69.213483146067418"/>
    <n v="451"/>
    <n v="1.0266075388026608"/>
    <n v="20.786516853932586"/>
    <n v="0.98669623059866962"/>
  </r>
  <r>
    <d v="2026-08-21T00:00:00"/>
    <x v="1"/>
    <x v="0"/>
    <x v="0"/>
    <x v="2"/>
    <n v="510"/>
    <n v="484"/>
    <n v="14"/>
    <n v="470"/>
    <n v="26"/>
    <n v="5.4166666666666669E-2"/>
    <n v="90"/>
    <n v="30800"/>
    <n v="42300"/>
    <n v="11500"/>
    <n v="0.94901960784313721"/>
    <n v="2.8925619834710745E-2"/>
    <n v="0.27186761229314421"/>
    <n v="65.531914893617028"/>
    <n v="454"/>
    <n v="1.0660792951541851"/>
    <n v="24.468085106382979"/>
    <n v="1.0352422907488987"/>
  </r>
  <r>
    <d v="2026-08-21T00:00:00"/>
    <x v="1"/>
    <x v="0"/>
    <x v="1"/>
    <x v="0"/>
    <n v="440"/>
    <n v="402"/>
    <n v="21"/>
    <n v="381"/>
    <n v="45"/>
    <n v="9.375E-2"/>
    <n v="100"/>
    <n v="30800"/>
    <n v="38100"/>
    <n v="7300"/>
    <n v="0.91363636363636369"/>
    <n v="5.2238805970149252E-2"/>
    <n v="0.19160104986876642"/>
    <n v="80.839895013123353"/>
    <n v="435"/>
    <n v="0.92413793103448272"/>
    <n v="19.16010498687664"/>
    <n v="0.87586206896551722"/>
  </r>
  <r>
    <d v="2026-08-21T00:00:00"/>
    <x v="1"/>
    <x v="0"/>
    <x v="2"/>
    <x v="1"/>
    <n v="410"/>
    <n v="361"/>
    <n v="16"/>
    <n v="345"/>
    <n v="45"/>
    <n v="9.375E-2"/>
    <n v="120"/>
    <n v="30800"/>
    <n v="41400"/>
    <n v="10600"/>
    <n v="0.88048780487804879"/>
    <n v="4.4321329639889197E-2"/>
    <n v="0.2560386473429952"/>
    <n v="89.275362318840578"/>
    <n v="435"/>
    <n v="0.8298850574712644"/>
    <n v="30.724637681159422"/>
    <n v="0.7931034482758621"/>
  </r>
  <r>
    <d v="2026-08-21T00:00:00"/>
    <x v="1"/>
    <x v="1"/>
    <x v="0"/>
    <x v="0"/>
    <n v="450"/>
    <n v="409"/>
    <n v="26"/>
    <n v="383"/>
    <n v="45"/>
    <n v="9.375E-2"/>
    <n v="100"/>
    <n v="30800"/>
    <n v="38300"/>
    <n v="7500"/>
    <n v="0.90888888888888886"/>
    <n v="6.3569682151589244E-2"/>
    <n v="0.195822454308094"/>
    <n v="80.417754569190606"/>
    <n v="435"/>
    <n v="0.94022988505747129"/>
    <n v="19.582245430809401"/>
    <n v="0.88045977011494247"/>
  </r>
  <r>
    <d v="2026-08-21T00:00:00"/>
    <x v="1"/>
    <x v="1"/>
    <x v="1"/>
    <x v="1"/>
    <n v="390"/>
    <n v="333"/>
    <n v="18"/>
    <n v="315"/>
    <n v="57"/>
    <n v="0.11874999999999999"/>
    <n v="120"/>
    <n v="30800"/>
    <n v="37800"/>
    <n v="7000"/>
    <n v="0.85384615384615381"/>
    <n v="5.4054054054054057E-2"/>
    <n v="0.18518518518518517"/>
    <n v="97.777777777777771"/>
    <n v="423"/>
    <n v="0.78723404255319152"/>
    <n v="22.222222222222221"/>
    <n v="0.74468085106382975"/>
  </r>
  <r>
    <d v="2026-08-21T00:00:00"/>
    <x v="1"/>
    <x v="1"/>
    <x v="2"/>
    <x v="2"/>
    <n v="480"/>
    <n v="410"/>
    <n v="24"/>
    <n v="386"/>
    <n v="52"/>
    <n v="0.10833333333333334"/>
    <n v="90"/>
    <n v="30800"/>
    <n v="34740"/>
    <n v="3940"/>
    <n v="0.85416666666666663"/>
    <n v="5.8536585365853662E-2"/>
    <n v="0.11341393206678181"/>
    <n v="79.792746113989637"/>
    <n v="428"/>
    <n v="0.95794392523364491"/>
    <n v="10.207253886010363"/>
    <n v="0.90186915887850472"/>
  </r>
  <r>
    <d v="2026-08-21T00:00:00"/>
    <x v="1"/>
    <x v="2"/>
    <x v="0"/>
    <x v="1"/>
    <n v="410"/>
    <n v="393"/>
    <n v="11"/>
    <n v="382"/>
    <n v="16"/>
    <n v="3.3333333333333333E-2"/>
    <n v="120"/>
    <n v="30800"/>
    <n v="45840"/>
    <n v="15040"/>
    <n v="0.95853658536585362"/>
    <n v="2.7989821882951654E-2"/>
    <n v="0.32809773123909247"/>
    <n v="80.6282722513089"/>
    <n v="464"/>
    <n v="0.84698275862068961"/>
    <n v="39.3717277486911"/>
    <n v="0.82327586206896552"/>
  </r>
  <r>
    <d v="2026-08-21T00:00:00"/>
    <x v="1"/>
    <x v="2"/>
    <x v="1"/>
    <x v="2"/>
    <n v="510"/>
    <n v="482"/>
    <n v="15"/>
    <n v="467"/>
    <n v="22"/>
    <n v="4.583333333333333E-2"/>
    <n v="90"/>
    <n v="30800"/>
    <n v="42030"/>
    <n v="11230"/>
    <n v="0.94509803921568625"/>
    <n v="3.1120331950207469E-2"/>
    <n v="0.26719010230787532"/>
    <n v="65.952890792291214"/>
    <n v="458"/>
    <n v="1.0524017467248907"/>
    <n v="24.047109207708779"/>
    <n v="1.0196506550218341"/>
  </r>
  <r>
    <d v="2026-08-21T00:00:00"/>
    <x v="1"/>
    <x v="2"/>
    <x v="2"/>
    <x v="0"/>
    <n v="470"/>
    <n v="415"/>
    <n v="24"/>
    <n v="391"/>
    <n v="51"/>
    <n v="0.10625"/>
    <n v="100"/>
    <n v="30800"/>
    <n v="39100"/>
    <n v="8300"/>
    <n v="0.88297872340425532"/>
    <n v="5.7831325301204821E-2"/>
    <n v="0.21227621483375958"/>
    <n v="78.772378516624045"/>
    <n v="429"/>
    <n v="0.96736596736596736"/>
    <n v="21.227621483375959"/>
    <n v="0.91142191142191142"/>
  </r>
  <r>
    <d v="2026-08-22T00:00:00"/>
    <x v="1"/>
    <x v="0"/>
    <x v="0"/>
    <x v="0"/>
    <n v="460"/>
    <n v="435"/>
    <n v="22"/>
    <n v="413"/>
    <n v="45"/>
    <n v="9.375E-2"/>
    <n v="100"/>
    <n v="30800"/>
    <n v="41300"/>
    <n v="10500"/>
    <n v="0.94565217391304346"/>
    <n v="5.057471264367816E-2"/>
    <n v="0.25423728813559321"/>
    <n v="74.576271186440678"/>
    <n v="435"/>
    <n v="1"/>
    <n v="25.423728813559322"/>
    <n v="0.94942528735632181"/>
  </r>
  <r>
    <d v="2026-08-22T00:00:00"/>
    <x v="1"/>
    <x v="0"/>
    <x v="1"/>
    <x v="1"/>
    <n v="410"/>
    <n v="375"/>
    <n v="11"/>
    <n v="364"/>
    <n v="35"/>
    <n v="7.2916666666666671E-2"/>
    <n v="120"/>
    <n v="30800"/>
    <n v="43680"/>
    <n v="12880"/>
    <n v="0.91463414634146345"/>
    <n v="2.9333333333333333E-2"/>
    <n v="0.29487179487179488"/>
    <n v="84.615384615384613"/>
    <n v="445"/>
    <n v="0.84269662921348309"/>
    <n v="35.384615384615387"/>
    <n v="0.81797752808988766"/>
  </r>
  <r>
    <d v="2026-08-22T00:00:00"/>
    <x v="1"/>
    <x v="0"/>
    <x v="2"/>
    <x v="2"/>
    <n v="500"/>
    <n v="447"/>
    <n v="19"/>
    <n v="428"/>
    <n v="34"/>
    <n v="7.0833333333333331E-2"/>
    <n v="90"/>
    <n v="30800"/>
    <n v="38520"/>
    <n v="7720"/>
    <n v="0.89400000000000002"/>
    <n v="4.2505592841163314E-2"/>
    <n v="0.20041536863966772"/>
    <n v="71.962616822429908"/>
    <n v="446"/>
    <n v="1.0022421524663676"/>
    <n v="18.037383177570092"/>
    <n v="0.95964125560538116"/>
  </r>
  <r>
    <d v="2026-08-22T00:00:00"/>
    <x v="1"/>
    <x v="1"/>
    <x v="0"/>
    <x v="1"/>
    <n v="400"/>
    <n v="352"/>
    <n v="14"/>
    <n v="338"/>
    <n v="59"/>
    <n v="0.12291666666666666"/>
    <n v="120"/>
    <n v="30800"/>
    <n v="40560"/>
    <n v="9760"/>
    <n v="0.88"/>
    <n v="3.9772727272727272E-2"/>
    <n v="0.24063116370808679"/>
    <n v="91.124260355029591"/>
    <n v="421"/>
    <n v="0.83610451306413303"/>
    <n v="28.875739644970412"/>
    <n v="0.80285035629453683"/>
  </r>
  <r>
    <d v="2026-08-22T00:00:00"/>
    <x v="1"/>
    <x v="1"/>
    <x v="1"/>
    <x v="2"/>
    <n v="510"/>
    <n v="439"/>
    <n v="22"/>
    <n v="417"/>
    <n v="48"/>
    <n v="0.1"/>
    <n v="90"/>
    <n v="30800"/>
    <n v="37530"/>
    <n v="6730"/>
    <n v="0.86078431372549025"/>
    <n v="5.011389521640091E-2"/>
    <n v="0.17932320810018651"/>
    <n v="73.860911270983209"/>
    <n v="432"/>
    <n v="1.0162037037037037"/>
    <n v="16.139088729016787"/>
    <n v="0.96527777777777779"/>
  </r>
  <r>
    <d v="2026-08-22T00:00:00"/>
    <x v="1"/>
    <x v="1"/>
    <x v="2"/>
    <x v="0"/>
    <n v="430"/>
    <n v="371"/>
    <n v="29"/>
    <n v="342"/>
    <n v="54"/>
    <n v="0.1125"/>
    <n v="100"/>
    <n v="30800"/>
    <n v="34200"/>
    <n v="3400"/>
    <n v="0.86279069767441863"/>
    <n v="7.8167115902964962E-2"/>
    <n v="9.9415204678362568E-2"/>
    <n v="90.058479532163744"/>
    <n v="426"/>
    <n v="0.87089201877934275"/>
    <n v="9.9415204678362574"/>
    <n v="0.80281690140845074"/>
  </r>
  <r>
    <d v="2026-08-22T00:00:00"/>
    <x v="1"/>
    <x v="2"/>
    <x v="0"/>
    <x v="2"/>
    <n v="500"/>
    <n v="478"/>
    <n v="14"/>
    <n v="464"/>
    <n v="14"/>
    <n v="2.9166666666666667E-2"/>
    <n v="90"/>
    <n v="30800"/>
    <n v="41760"/>
    <n v="10960"/>
    <n v="0.95599999999999996"/>
    <n v="2.9288702928870293E-2"/>
    <n v="0.26245210727969348"/>
    <n v="66.379310344827587"/>
    <n v="466"/>
    <n v="1.0257510729613735"/>
    <n v="23.620689655172413"/>
    <n v="0.99570815450643779"/>
  </r>
  <r>
    <d v="2026-08-22T00:00:00"/>
    <x v="1"/>
    <x v="2"/>
    <x v="1"/>
    <x v="0"/>
    <n v="440"/>
    <n v="407"/>
    <n v="18"/>
    <n v="389"/>
    <n v="29"/>
    <n v="6.0416666666666667E-2"/>
    <n v="100"/>
    <n v="30800"/>
    <n v="38900"/>
    <n v="8100"/>
    <n v="0.92500000000000004"/>
    <n v="4.4226044226044224E-2"/>
    <n v="0.20822622107969152"/>
    <n v="79.177377892030847"/>
    <n v="451"/>
    <n v="0.90243902439024393"/>
    <n v="20.822622107969153"/>
    <n v="0.86252771618625279"/>
  </r>
  <r>
    <d v="2026-08-22T00:00:00"/>
    <x v="1"/>
    <x v="2"/>
    <x v="2"/>
    <x v="1"/>
    <n v="400"/>
    <n v="375"/>
    <n v="12"/>
    <n v="363"/>
    <n v="47"/>
    <n v="9.7916666666666666E-2"/>
    <n v="120"/>
    <n v="30800"/>
    <n v="43560"/>
    <n v="12760"/>
    <n v="0.9375"/>
    <n v="3.2000000000000001E-2"/>
    <n v="0.29292929292929293"/>
    <n v="84.848484848484844"/>
    <n v="433"/>
    <n v="0.86605080831408776"/>
    <n v="35.151515151515149"/>
    <n v="0.8383371824480369"/>
  </r>
  <r>
    <d v="2026-08-23T00:00:00"/>
    <x v="1"/>
    <x v="0"/>
    <x v="0"/>
    <x v="1"/>
    <n v="410"/>
    <n v="385"/>
    <n v="11"/>
    <n v="374"/>
    <n v="23"/>
    <n v="4.791666666666667E-2"/>
    <n v="120"/>
    <n v="30800"/>
    <n v="44880"/>
    <n v="14080"/>
    <n v="0.93902439024390238"/>
    <n v="2.8571428571428571E-2"/>
    <n v="0.31372549019607843"/>
    <n v="82.352941176470594"/>
    <n v="457"/>
    <n v="0.84245076586433265"/>
    <n v="37.647058823529413"/>
    <n v="0.8183807439824945"/>
  </r>
  <r>
    <d v="2026-08-23T00:00:00"/>
    <x v="1"/>
    <x v="0"/>
    <x v="1"/>
    <x v="2"/>
    <n v="490"/>
    <n v="458"/>
    <n v="17"/>
    <n v="441"/>
    <n v="37"/>
    <n v="7.7083333333333337E-2"/>
    <n v="90"/>
    <n v="30800"/>
    <n v="39690"/>
    <n v="8890"/>
    <n v="0.9346938775510204"/>
    <n v="3.7117903930131008E-2"/>
    <n v="0.22398589065255731"/>
    <n v="69.841269841269835"/>
    <n v="443"/>
    <n v="1.0338600451467268"/>
    <n v="20.158730158730158"/>
    <n v="0.99548532731376971"/>
  </r>
  <r>
    <d v="2026-08-23T00:00:00"/>
    <x v="1"/>
    <x v="0"/>
    <x v="2"/>
    <x v="0"/>
    <n v="470"/>
    <n v="419"/>
    <n v="26"/>
    <n v="393"/>
    <n v="38"/>
    <n v="7.9166666666666663E-2"/>
    <n v="100"/>
    <n v="30800"/>
    <n v="39300"/>
    <n v="8500"/>
    <n v="0.89148936170212767"/>
    <n v="6.205250596658711E-2"/>
    <n v="0.21628498727735368"/>
    <n v="78.371501272264638"/>
    <n v="442"/>
    <n v="0.94796380090497734"/>
    <n v="21.628498727735369"/>
    <n v="0.88914027149321262"/>
  </r>
  <r>
    <d v="2026-08-23T00:00:00"/>
    <x v="1"/>
    <x v="1"/>
    <x v="0"/>
    <x v="2"/>
    <n v="480"/>
    <n v="408"/>
    <n v="18"/>
    <n v="390"/>
    <n v="51"/>
    <n v="0.10625"/>
    <n v="90"/>
    <n v="30800"/>
    <n v="35100"/>
    <n v="4300"/>
    <n v="0.85"/>
    <n v="4.4117647058823532E-2"/>
    <n v="0.12250712250712251"/>
    <n v="78.974358974358978"/>
    <n v="429"/>
    <n v="0.95104895104895104"/>
    <n v="11.025641025641026"/>
    <n v="0.90909090909090906"/>
  </r>
  <r>
    <d v="2026-08-23T00:00:00"/>
    <x v="1"/>
    <x v="1"/>
    <x v="1"/>
    <x v="0"/>
    <n v="430"/>
    <n v="365"/>
    <n v="23"/>
    <n v="342"/>
    <n v="62"/>
    <n v="0.12916666666666668"/>
    <n v="100"/>
    <n v="30800"/>
    <n v="34200"/>
    <n v="3400"/>
    <n v="0.84883720930232553"/>
    <n v="6.3013698630136991E-2"/>
    <n v="9.9415204678362568E-2"/>
    <n v="90.058479532163744"/>
    <n v="418"/>
    <n v="0.87320574162679421"/>
    <n v="9.9415204678362574"/>
    <n v="0.81818181818181823"/>
  </r>
  <r>
    <d v="2026-08-23T00:00:00"/>
    <x v="1"/>
    <x v="1"/>
    <x v="2"/>
    <x v="1"/>
    <n v="390"/>
    <n v="331"/>
    <n v="22"/>
    <n v="309"/>
    <n v="64"/>
    <n v="0.13333333333333333"/>
    <n v="120"/>
    <n v="30800"/>
    <n v="37080"/>
    <n v="6280"/>
    <n v="0.8487179487179487"/>
    <n v="6.6465256797583083E-2"/>
    <n v="0.16936353829557713"/>
    <n v="99.676375404530745"/>
    <n v="416"/>
    <n v="0.79567307692307687"/>
    <n v="20.323624595469255"/>
    <n v="0.74278846153846156"/>
  </r>
  <r>
    <d v="2026-08-23T00:00:00"/>
    <x v="1"/>
    <x v="2"/>
    <x v="0"/>
    <x v="0"/>
    <n v="450"/>
    <n v="414"/>
    <n v="16"/>
    <n v="398"/>
    <n v="15"/>
    <n v="3.125E-2"/>
    <n v="100"/>
    <n v="30800"/>
    <n v="39800"/>
    <n v="9000"/>
    <n v="0.92"/>
    <n v="3.864734299516908E-2"/>
    <n v="0.22613065326633167"/>
    <n v="77.386934673366838"/>
    <n v="465"/>
    <n v="0.89032258064516134"/>
    <n v="22.613065326633166"/>
    <n v="0.8559139784946237"/>
  </r>
  <r>
    <d v="2026-08-23T00:00:00"/>
    <x v="1"/>
    <x v="2"/>
    <x v="1"/>
    <x v="1"/>
    <n v="400"/>
    <n v="371"/>
    <n v="13"/>
    <n v="358"/>
    <n v="17"/>
    <n v="3.5416666666666666E-2"/>
    <n v="120"/>
    <n v="30800"/>
    <n v="42960"/>
    <n v="12160"/>
    <n v="0.92749999999999999"/>
    <n v="3.5040431266846361E-2"/>
    <n v="0.28305400372439476"/>
    <n v="86.033519553072622"/>
    <n v="463"/>
    <n v="0.80129589632829379"/>
    <n v="33.966480446927378"/>
    <n v="0.77321814254859611"/>
  </r>
  <r>
    <d v="2026-08-23T00:00:00"/>
    <x v="1"/>
    <x v="2"/>
    <x v="2"/>
    <x v="2"/>
    <n v="510"/>
    <n v="470"/>
    <n v="21"/>
    <n v="449"/>
    <n v="23"/>
    <n v="4.791666666666667E-2"/>
    <n v="90"/>
    <n v="30800"/>
    <n v="40410"/>
    <n v="9610"/>
    <n v="0.92156862745098034"/>
    <n v="4.4680851063829789E-2"/>
    <n v="0.23781242266765651"/>
    <n v="68.596881959910917"/>
    <n v="457"/>
    <n v="1.0284463894967177"/>
    <n v="21.403118040089087"/>
    <n v="0.98249452954048144"/>
  </r>
  <r>
    <d v="2026-08-24T00:00:00"/>
    <x v="1"/>
    <x v="0"/>
    <x v="0"/>
    <x v="2"/>
    <n v="520"/>
    <n v="485"/>
    <n v="14"/>
    <n v="471"/>
    <n v="32"/>
    <n v="6.6666666666666666E-2"/>
    <n v="90"/>
    <n v="30800"/>
    <n v="42390"/>
    <n v="11590"/>
    <n v="0.93269230769230771"/>
    <n v="2.88659793814433E-2"/>
    <n v="0.27341354092946452"/>
    <n v="65.392781316348191"/>
    <n v="448"/>
    <n v="1.0825892857142858"/>
    <n v="24.607218683651805"/>
    <n v="1.0513392857142858"/>
  </r>
  <r>
    <d v="2026-08-24T00:00:00"/>
    <x v="1"/>
    <x v="0"/>
    <x v="1"/>
    <x v="0"/>
    <n v="440"/>
    <n v="401"/>
    <n v="22"/>
    <n v="379"/>
    <n v="32"/>
    <n v="6.6666666666666666E-2"/>
    <n v="100"/>
    <n v="30800"/>
    <n v="37900"/>
    <n v="7100"/>
    <n v="0.91136363636363638"/>
    <n v="5.4862842892768077E-2"/>
    <n v="0.18733509234828497"/>
    <n v="81.266490765171497"/>
    <n v="448"/>
    <n v="0.8950892857142857"/>
    <n v="18.733509234828496"/>
    <n v="0.8459821428571429"/>
  </r>
  <r>
    <d v="2026-08-24T00:00:00"/>
    <x v="1"/>
    <x v="0"/>
    <x v="2"/>
    <x v="1"/>
    <n v="410"/>
    <n v="364"/>
    <n v="13"/>
    <n v="351"/>
    <n v="53"/>
    <n v="0.11041666666666666"/>
    <n v="120"/>
    <n v="30800"/>
    <n v="42120"/>
    <n v="11320"/>
    <n v="0.8878048780487805"/>
    <n v="3.5714285714285712E-2"/>
    <n v="0.26875593542260207"/>
    <n v="87.749287749287745"/>
    <n v="427"/>
    <n v="0.85245901639344257"/>
    <n v="32.250712250712247"/>
    <n v="0.82201405152224827"/>
  </r>
  <r>
    <d v="2026-08-24T00:00:00"/>
    <x v="1"/>
    <x v="1"/>
    <x v="0"/>
    <x v="0"/>
    <n v="440"/>
    <n v="396"/>
    <n v="22"/>
    <n v="374"/>
    <n v="61"/>
    <n v="0.12708333333333333"/>
    <n v="100"/>
    <n v="30800"/>
    <n v="37400"/>
    <n v="6600"/>
    <n v="0.9"/>
    <n v="5.5555555555555552E-2"/>
    <n v="0.17647058823529413"/>
    <n v="82.352941176470594"/>
    <n v="419"/>
    <n v="0.94510739856801906"/>
    <n v="17.647058823529413"/>
    <n v="0.89260143198090691"/>
  </r>
  <r>
    <d v="2026-08-24T00:00:00"/>
    <x v="1"/>
    <x v="1"/>
    <x v="1"/>
    <x v="1"/>
    <n v="390"/>
    <n v="337"/>
    <n v="17"/>
    <n v="320"/>
    <n v="44"/>
    <n v="9.166666666666666E-2"/>
    <n v="120"/>
    <n v="30800"/>
    <n v="38400"/>
    <n v="7600"/>
    <n v="0.86410256410256414"/>
    <n v="5.0445103857566766E-2"/>
    <n v="0.19791666666666666"/>
    <n v="96.25"/>
    <n v="436"/>
    <n v="0.77293577981651373"/>
    <n v="23.75"/>
    <n v="0.73394495412844041"/>
  </r>
  <r>
    <d v="2026-08-24T00:00:00"/>
    <x v="1"/>
    <x v="1"/>
    <x v="2"/>
    <x v="2"/>
    <n v="480"/>
    <n v="394"/>
    <n v="25"/>
    <n v="369"/>
    <n v="57"/>
    <n v="0.11874999999999999"/>
    <n v="90"/>
    <n v="30800"/>
    <n v="33210"/>
    <n v="2410"/>
    <n v="0.8208333333333333"/>
    <n v="6.3451776649746189E-2"/>
    <n v="7.2568503462812406E-2"/>
    <n v="83.468834688346888"/>
    <n v="423"/>
    <n v="0.9314420803782506"/>
    <n v="6.5311653116531163"/>
    <n v="0.87234042553191493"/>
  </r>
  <r>
    <d v="2026-08-24T00:00:00"/>
    <x v="1"/>
    <x v="2"/>
    <x v="0"/>
    <x v="1"/>
    <n v="410"/>
    <n v="391"/>
    <n v="11"/>
    <n v="380"/>
    <n v="13"/>
    <n v="2.7083333333333334E-2"/>
    <n v="120"/>
    <n v="30800"/>
    <n v="45600"/>
    <n v="14800"/>
    <n v="0.95365853658536581"/>
    <n v="2.8132992327365727E-2"/>
    <n v="0.32456140350877194"/>
    <n v="81.05263157894737"/>
    <n v="467"/>
    <n v="0.83725910064239828"/>
    <n v="38.94736842105263"/>
    <n v="0.8137044967880086"/>
  </r>
  <r>
    <d v="2026-08-24T00:00:00"/>
    <x v="1"/>
    <x v="2"/>
    <x v="1"/>
    <x v="2"/>
    <n v="520"/>
    <n v="481"/>
    <n v="18"/>
    <n v="463"/>
    <n v="34"/>
    <n v="7.0833333333333331E-2"/>
    <n v="90"/>
    <n v="30800"/>
    <n v="41670"/>
    <n v="10870"/>
    <n v="0.92500000000000004"/>
    <n v="3.7422037422037424E-2"/>
    <n v="0.26085913126949845"/>
    <n v="66.522678185745136"/>
    <n v="446"/>
    <n v="1.0784753363228698"/>
    <n v="23.477321814254861"/>
    <n v="1.0381165919282511"/>
  </r>
  <r>
    <d v="2026-08-24T00:00:00"/>
    <x v="1"/>
    <x v="2"/>
    <x v="2"/>
    <x v="0"/>
    <n v="450"/>
    <n v="397"/>
    <n v="18"/>
    <n v="379"/>
    <n v="36"/>
    <n v="7.4999999999999997E-2"/>
    <n v="100"/>
    <n v="30800"/>
    <n v="37900"/>
    <n v="7100"/>
    <n v="0.88222222222222224"/>
    <n v="4.534005037783375E-2"/>
    <n v="0.18733509234828497"/>
    <n v="81.266490765171497"/>
    <n v="444"/>
    <n v="0.89414414414414412"/>
    <n v="18.733509234828496"/>
    <n v="0.85360360360360366"/>
  </r>
  <r>
    <d v="2026-08-25T00:00:00"/>
    <x v="1"/>
    <x v="0"/>
    <x v="0"/>
    <x v="0"/>
    <n v="450"/>
    <n v="406"/>
    <n v="21"/>
    <n v="385"/>
    <n v="33"/>
    <n v="6.8750000000000006E-2"/>
    <n v="100"/>
    <n v="30800"/>
    <n v="38500"/>
    <n v="7700"/>
    <n v="0.90222222222222226"/>
    <n v="5.1724137931034482E-2"/>
    <n v="0.2"/>
    <n v="80"/>
    <n v="447"/>
    <n v="0.90827740492170017"/>
    <n v="20"/>
    <n v="0.86129753914988816"/>
  </r>
  <r>
    <d v="2026-08-25T00:00:00"/>
    <x v="1"/>
    <x v="0"/>
    <x v="1"/>
    <x v="1"/>
    <n v="410"/>
    <n v="379"/>
    <n v="14"/>
    <n v="365"/>
    <n v="47"/>
    <n v="9.7916666666666666E-2"/>
    <n v="120"/>
    <n v="30800"/>
    <n v="43800"/>
    <n v="13000"/>
    <n v="0.92439024390243907"/>
    <n v="3.6939313984168866E-2"/>
    <n v="0.29680365296803651"/>
    <n v="84.38356164383562"/>
    <n v="433"/>
    <n v="0.87528868360277134"/>
    <n v="35.61643835616438"/>
    <n v="0.84295612009237875"/>
  </r>
  <r>
    <d v="2026-08-25T00:00:00"/>
    <x v="1"/>
    <x v="0"/>
    <x v="2"/>
    <x v="2"/>
    <n v="520"/>
    <n v="457"/>
    <n v="21"/>
    <n v="436"/>
    <n v="44"/>
    <n v="9.166666666666666E-2"/>
    <n v="90"/>
    <n v="30800"/>
    <n v="39240"/>
    <n v="8440"/>
    <n v="0.87884615384615383"/>
    <n v="4.5951859956236324E-2"/>
    <n v="0.21508664627930682"/>
    <n v="70.642201834862391"/>
    <n v="436"/>
    <n v="1.048165137614679"/>
    <n v="19.357798165137616"/>
    <n v="1"/>
  </r>
  <r>
    <d v="2026-08-25T00:00:00"/>
    <x v="1"/>
    <x v="1"/>
    <x v="0"/>
    <x v="1"/>
    <n v="410"/>
    <n v="362"/>
    <n v="16"/>
    <n v="346"/>
    <n v="59"/>
    <n v="0.12291666666666666"/>
    <n v="120"/>
    <n v="30800"/>
    <n v="41520"/>
    <n v="10720"/>
    <n v="0.88292682926829269"/>
    <n v="4.4198895027624308E-2"/>
    <n v="0.25818882466281312"/>
    <n v="89.017341040462426"/>
    <n v="421"/>
    <n v="0.85985748218527314"/>
    <n v="30.982658959537574"/>
    <n v="0.82185273159144889"/>
  </r>
  <r>
    <d v="2026-08-25T00:00:00"/>
    <x v="1"/>
    <x v="1"/>
    <x v="1"/>
    <x v="2"/>
    <n v="510"/>
    <n v="450"/>
    <n v="22"/>
    <n v="428"/>
    <n v="61"/>
    <n v="0.12708333333333333"/>
    <n v="90"/>
    <n v="30800"/>
    <n v="38520"/>
    <n v="7720"/>
    <n v="0.88235294117647056"/>
    <n v="4.8888888888888891E-2"/>
    <n v="0.20041536863966772"/>
    <n v="71.962616822429908"/>
    <n v="419"/>
    <n v="1.0739856801909309"/>
    <n v="18.037383177570092"/>
    <n v="1.0214797136038185"/>
  </r>
  <r>
    <d v="2026-08-25T00:00:00"/>
    <x v="1"/>
    <x v="1"/>
    <x v="2"/>
    <x v="0"/>
    <n v="430"/>
    <n v="360"/>
    <n v="29"/>
    <n v="331"/>
    <n v="64"/>
    <n v="0.13333333333333333"/>
    <n v="100"/>
    <n v="30800"/>
    <n v="33100"/>
    <n v="2300"/>
    <n v="0.83720930232558144"/>
    <n v="8.0555555555555561E-2"/>
    <n v="6.9486404833836862E-2"/>
    <n v="93.051359516616316"/>
    <n v="416"/>
    <n v="0.86538461538461542"/>
    <n v="6.9486404833836861"/>
    <n v="0.79567307692307687"/>
  </r>
  <r>
    <d v="2026-08-25T00:00:00"/>
    <x v="1"/>
    <x v="2"/>
    <x v="0"/>
    <x v="2"/>
    <n v="510"/>
    <n v="498"/>
    <n v="12"/>
    <n v="486"/>
    <n v="29"/>
    <n v="6.0416666666666667E-2"/>
    <n v="90"/>
    <n v="30800"/>
    <n v="43740"/>
    <n v="12940"/>
    <n v="0.97647058823529409"/>
    <n v="2.4096385542168676E-2"/>
    <n v="0.2958390489254687"/>
    <n v="63.374485596707821"/>
    <n v="451"/>
    <n v="1.1042128603104213"/>
    <n v="26.625514403292183"/>
    <n v="1.0776053215077606"/>
  </r>
  <r>
    <d v="2026-08-25T00:00:00"/>
    <x v="1"/>
    <x v="2"/>
    <x v="1"/>
    <x v="0"/>
    <n v="430"/>
    <n v="398"/>
    <n v="20"/>
    <n v="378"/>
    <n v="37"/>
    <n v="7.7083333333333337E-2"/>
    <n v="100"/>
    <n v="30800"/>
    <n v="37800"/>
    <n v="7000"/>
    <n v="0.92558139534883721"/>
    <n v="5.0251256281407038E-2"/>
    <n v="0.18518518518518517"/>
    <n v="81.481481481481481"/>
    <n v="443"/>
    <n v="0.89841986455981937"/>
    <n v="18.518518518518519"/>
    <n v="0.85327313769751689"/>
  </r>
  <r>
    <d v="2026-08-25T00:00:00"/>
    <x v="1"/>
    <x v="2"/>
    <x v="2"/>
    <x v="1"/>
    <n v="400"/>
    <n v="375"/>
    <n v="13"/>
    <n v="362"/>
    <n v="44"/>
    <n v="9.166666666666666E-2"/>
    <n v="120"/>
    <n v="30800"/>
    <n v="43440"/>
    <n v="12640"/>
    <n v="0.9375"/>
    <n v="3.4666666666666665E-2"/>
    <n v="0.29097605893186002"/>
    <n v="85.082872928176798"/>
    <n v="436"/>
    <n v="0.86009174311926606"/>
    <n v="34.917127071823202"/>
    <n v="0.83027522935779818"/>
  </r>
  <r>
    <d v="2026-08-26T00:00:00"/>
    <x v="1"/>
    <x v="0"/>
    <x v="0"/>
    <x v="1"/>
    <n v="410"/>
    <n v="371"/>
    <n v="11"/>
    <n v="360"/>
    <n v="25"/>
    <n v="5.2083333333333336E-2"/>
    <n v="120"/>
    <n v="30800"/>
    <n v="43200"/>
    <n v="12400"/>
    <n v="0.90487804878048783"/>
    <n v="2.9649595687331536E-2"/>
    <n v="0.28703703703703703"/>
    <n v="85.555555555555557"/>
    <n v="455"/>
    <n v="0.81538461538461537"/>
    <n v="34.444444444444443"/>
    <n v="0.79120879120879117"/>
  </r>
  <r>
    <d v="2026-08-26T00:00:00"/>
    <x v="1"/>
    <x v="0"/>
    <x v="1"/>
    <x v="2"/>
    <n v="480"/>
    <n v="432"/>
    <n v="17"/>
    <n v="415"/>
    <n v="40"/>
    <n v="8.3333333333333329E-2"/>
    <n v="90"/>
    <n v="30800"/>
    <n v="37350"/>
    <n v="6550"/>
    <n v="0.9"/>
    <n v="3.9351851851851853E-2"/>
    <n v="0.1753681392235609"/>
    <n v="74.216867469879517"/>
    <n v="440"/>
    <n v="0.98181818181818181"/>
    <n v="15.783132530120483"/>
    <n v="0.94318181818181823"/>
  </r>
  <r>
    <d v="2026-08-26T00:00:00"/>
    <x v="1"/>
    <x v="0"/>
    <x v="2"/>
    <x v="0"/>
    <n v="460"/>
    <n v="404"/>
    <n v="20"/>
    <n v="384"/>
    <n v="36"/>
    <n v="7.4999999999999997E-2"/>
    <n v="100"/>
    <n v="30800"/>
    <n v="38400"/>
    <n v="7600"/>
    <n v="0.87826086956521743"/>
    <n v="4.9504950495049507E-2"/>
    <n v="0.19791666666666666"/>
    <n v="80.208333333333329"/>
    <n v="444"/>
    <n v="0.90990990990990994"/>
    <n v="19.791666666666668"/>
    <n v="0.86486486486486491"/>
  </r>
  <r>
    <d v="2026-08-26T00:00:00"/>
    <x v="1"/>
    <x v="1"/>
    <x v="0"/>
    <x v="2"/>
    <n v="500"/>
    <n v="448"/>
    <n v="20"/>
    <n v="428"/>
    <n v="33"/>
    <n v="6.8750000000000006E-2"/>
    <n v="90"/>
    <n v="30800"/>
    <n v="38520"/>
    <n v="7720"/>
    <n v="0.89600000000000002"/>
    <n v="4.4642857142857144E-2"/>
    <n v="0.20041536863966772"/>
    <n v="71.962616822429908"/>
    <n v="447"/>
    <n v="1.0022371364653244"/>
    <n v="18.037383177570092"/>
    <n v="0.95749440715883671"/>
  </r>
  <r>
    <d v="2026-08-26T00:00:00"/>
    <x v="1"/>
    <x v="1"/>
    <x v="1"/>
    <x v="0"/>
    <n v="450"/>
    <n v="393"/>
    <n v="26"/>
    <n v="367"/>
    <n v="51"/>
    <n v="0.10625"/>
    <n v="100"/>
    <n v="30800"/>
    <n v="36700"/>
    <n v="5900"/>
    <n v="0.87333333333333329"/>
    <n v="6.6157760814249358E-2"/>
    <n v="0.16076294277929154"/>
    <n v="83.923705722070849"/>
    <n v="429"/>
    <n v="0.91608391608391604"/>
    <n v="16.076294277929154"/>
    <n v="0.85547785547785549"/>
  </r>
  <r>
    <d v="2026-08-26T00:00:00"/>
    <x v="1"/>
    <x v="1"/>
    <x v="2"/>
    <x v="1"/>
    <n v="390"/>
    <n v="329"/>
    <n v="20"/>
    <n v="309"/>
    <n v="59"/>
    <n v="0.12291666666666666"/>
    <n v="120"/>
    <n v="30800"/>
    <n v="37080"/>
    <n v="6280"/>
    <n v="0.84358974358974359"/>
    <n v="6.0790273556231005E-2"/>
    <n v="0.16936353829557713"/>
    <n v="99.676375404530745"/>
    <n v="421"/>
    <n v="0.78147268408551074"/>
    <n v="20.323624595469255"/>
    <n v="0.73396674584323041"/>
  </r>
  <r>
    <d v="2026-08-26T00:00:00"/>
    <x v="1"/>
    <x v="2"/>
    <x v="0"/>
    <x v="0"/>
    <n v="430"/>
    <n v="406"/>
    <n v="17"/>
    <n v="389"/>
    <n v="38"/>
    <n v="7.9166666666666663E-2"/>
    <n v="100"/>
    <n v="30800"/>
    <n v="38900"/>
    <n v="8100"/>
    <n v="0.94418604651162785"/>
    <n v="4.1871921182266007E-2"/>
    <n v="0.20822622107969152"/>
    <n v="79.177377892030847"/>
    <n v="442"/>
    <n v="0.91855203619909498"/>
    <n v="20.822622107969153"/>
    <n v="0.88009049773755654"/>
  </r>
  <r>
    <d v="2026-08-26T00:00:00"/>
    <x v="1"/>
    <x v="2"/>
    <x v="1"/>
    <x v="1"/>
    <n v="410"/>
    <n v="397"/>
    <n v="11"/>
    <n v="386"/>
    <n v="22"/>
    <n v="4.583333333333333E-2"/>
    <n v="120"/>
    <n v="30800"/>
    <n v="46320"/>
    <n v="15520"/>
    <n v="0.96829268292682924"/>
    <n v="2.7707808564231738E-2"/>
    <n v="0.33506044905008636"/>
    <n v="79.792746113989637"/>
    <n v="458"/>
    <n v="0.86681222707423577"/>
    <n v="40.207253886010363"/>
    <n v="0.84279475982532748"/>
  </r>
  <r>
    <d v="2026-08-26T00:00:00"/>
    <x v="1"/>
    <x v="2"/>
    <x v="2"/>
    <x v="2"/>
    <n v="490"/>
    <n v="439"/>
    <n v="15"/>
    <n v="424"/>
    <n v="22"/>
    <n v="4.583333333333333E-2"/>
    <n v="90"/>
    <n v="30800"/>
    <n v="38160"/>
    <n v="7360"/>
    <n v="0.89591836734693875"/>
    <n v="3.4168564920273349E-2"/>
    <n v="0.19287211740041929"/>
    <n v="72.64150943396227"/>
    <n v="458"/>
    <n v="0.95851528384279472"/>
    <n v="17.358490566037737"/>
    <n v="0.92576419213973804"/>
  </r>
  <r>
    <d v="2026-08-27T00:00:00"/>
    <x v="1"/>
    <x v="0"/>
    <x v="0"/>
    <x v="2"/>
    <n v="490"/>
    <n v="449"/>
    <n v="13"/>
    <n v="436"/>
    <n v="15"/>
    <n v="3.125E-2"/>
    <n v="90"/>
    <n v="30800"/>
    <n v="39240"/>
    <n v="8440"/>
    <n v="0.91632653061224489"/>
    <n v="2.8953229398663696E-2"/>
    <n v="0.21508664627930682"/>
    <n v="70.642201834862391"/>
    <n v="465"/>
    <n v="0.96559139784946235"/>
    <n v="19.357798165137616"/>
    <n v="0.93763440860215053"/>
  </r>
  <r>
    <d v="2026-08-27T00:00:00"/>
    <x v="1"/>
    <x v="0"/>
    <x v="1"/>
    <x v="0"/>
    <n v="440"/>
    <n v="398"/>
    <n v="20"/>
    <n v="378"/>
    <n v="49"/>
    <n v="0.10208333333333333"/>
    <n v="100"/>
    <n v="30800"/>
    <n v="37800"/>
    <n v="7000"/>
    <n v="0.90454545454545454"/>
    <n v="5.0251256281407038E-2"/>
    <n v="0.18518518518518517"/>
    <n v="81.481481481481481"/>
    <n v="431"/>
    <n v="0.92343387470997684"/>
    <n v="18.518518518518519"/>
    <n v="0.87703016241299303"/>
  </r>
  <r>
    <d v="2026-08-27T00:00:00"/>
    <x v="1"/>
    <x v="0"/>
    <x v="2"/>
    <x v="1"/>
    <n v="390"/>
    <n v="338"/>
    <n v="13"/>
    <n v="325"/>
    <n v="43"/>
    <n v="8.9583333333333334E-2"/>
    <n v="120"/>
    <n v="30800"/>
    <n v="39000"/>
    <n v="8200"/>
    <n v="0.8666666666666667"/>
    <n v="3.8461538461538464E-2"/>
    <n v="0.21025641025641026"/>
    <n v="94.769230769230774"/>
    <n v="437"/>
    <n v="0.77345537757437066"/>
    <n v="25.23076923076923"/>
    <n v="0.74370709382151035"/>
  </r>
  <r>
    <d v="2026-08-27T00:00:00"/>
    <x v="1"/>
    <x v="1"/>
    <x v="0"/>
    <x v="0"/>
    <n v="460"/>
    <n v="401"/>
    <n v="27"/>
    <n v="374"/>
    <n v="55"/>
    <n v="0.11458333333333333"/>
    <n v="100"/>
    <n v="30800"/>
    <n v="37400"/>
    <n v="6600"/>
    <n v="0.87173913043478257"/>
    <n v="6.7331670822942641E-2"/>
    <n v="0.17647058823529413"/>
    <n v="82.352941176470594"/>
    <n v="425"/>
    <n v="0.94352941176470584"/>
    <n v="17.647058823529413"/>
    <n v="0.88"/>
  </r>
  <r>
    <d v="2026-08-27T00:00:00"/>
    <x v="1"/>
    <x v="1"/>
    <x v="1"/>
    <x v="1"/>
    <n v="400"/>
    <n v="356"/>
    <n v="19"/>
    <n v="337"/>
    <n v="62"/>
    <n v="0.12916666666666668"/>
    <n v="120"/>
    <n v="30800"/>
    <n v="40440"/>
    <n v="9640"/>
    <n v="0.89"/>
    <n v="5.3370786516853931E-2"/>
    <n v="0.23837784371909002"/>
    <n v="91.394658753709194"/>
    <n v="418"/>
    <n v="0.85167464114832536"/>
    <n v="28.605341246290802"/>
    <n v="0.80622009569377995"/>
  </r>
  <r>
    <d v="2026-08-27T00:00:00"/>
    <x v="1"/>
    <x v="1"/>
    <x v="2"/>
    <x v="2"/>
    <n v="490"/>
    <n v="415"/>
    <n v="27"/>
    <n v="388"/>
    <n v="59"/>
    <n v="0.12291666666666666"/>
    <n v="90"/>
    <n v="30800"/>
    <n v="34920"/>
    <n v="4120"/>
    <n v="0.84693877551020413"/>
    <n v="6.5060240963855417E-2"/>
    <n v="0.11798396334478808"/>
    <n v="79.381443298969074"/>
    <n v="421"/>
    <n v="0.98574821852731587"/>
    <n v="10.618556701030927"/>
    <n v="0.92161520190023749"/>
  </r>
  <r>
    <d v="2026-08-27T00:00:00"/>
    <x v="1"/>
    <x v="2"/>
    <x v="0"/>
    <x v="1"/>
    <n v="390"/>
    <n v="368"/>
    <n v="7"/>
    <n v="361"/>
    <n v="33"/>
    <n v="6.8750000000000006E-2"/>
    <n v="120"/>
    <n v="30800"/>
    <n v="43320"/>
    <n v="12520"/>
    <n v="0.94358974358974357"/>
    <n v="1.9021739130434784E-2"/>
    <n v="0.28901200369344415"/>
    <n v="85.31855955678671"/>
    <n v="447"/>
    <n v="0.8232662192393736"/>
    <n v="34.681440443213297"/>
    <n v="0.80760626398210289"/>
  </r>
  <r>
    <d v="2026-08-27T00:00:00"/>
    <x v="1"/>
    <x v="2"/>
    <x v="1"/>
    <x v="2"/>
    <n v="500"/>
    <n v="472"/>
    <n v="13"/>
    <n v="459"/>
    <n v="24"/>
    <n v="0.05"/>
    <n v="90"/>
    <n v="30800"/>
    <n v="41310"/>
    <n v="10510"/>
    <n v="0.94399999999999995"/>
    <n v="2.7542372881355932E-2"/>
    <n v="0.25441781650931977"/>
    <n v="67.102396514161214"/>
    <n v="456"/>
    <n v="1.0350877192982457"/>
    <n v="22.897603485838779"/>
    <n v="1.006578947368421"/>
  </r>
  <r>
    <d v="2026-08-27T00:00:00"/>
    <x v="1"/>
    <x v="2"/>
    <x v="2"/>
    <x v="0"/>
    <n v="460"/>
    <n v="416"/>
    <n v="19"/>
    <n v="397"/>
    <n v="46"/>
    <n v="9.583333333333334E-2"/>
    <n v="100"/>
    <n v="30800"/>
    <n v="39700"/>
    <n v="8900"/>
    <n v="0.90434782608695652"/>
    <n v="4.567307692307692E-2"/>
    <n v="0.22418136020151133"/>
    <n v="77.581863979848862"/>
    <n v="434"/>
    <n v="0.95852534562211977"/>
    <n v="22.418136020151135"/>
    <n v="0.91474654377880182"/>
  </r>
  <r>
    <d v="2026-08-28T00:00:00"/>
    <x v="1"/>
    <x v="0"/>
    <x v="0"/>
    <x v="0"/>
    <n v="450"/>
    <n v="420"/>
    <n v="20"/>
    <n v="400"/>
    <n v="40"/>
    <n v="8.3333333333333329E-2"/>
    <n v="100"/>
    <n v="30800"/>
    <n v="40000"/>
    <n v="9200"/>
    <n v="0.93333333333333335"/>
    <n v="4.7619047619047616E-2"/>
    <n v="0.23"/>
    <n v="77"/>
    <n v="440"/>
    <n v="0.95454545454545459"/>
    <n v="23"/>
    <n v="0.90909090909090906"/>
  </r>
  <r>
    <d v="2026-08-28T00:00:00"/>
    <x v="1"/>
    <x v="0"/>
    <x v="1"/>
    <x v="1"/>
    <n v="410"/>
    <n v="376"/>
    <n v="14"/>
    <n v="362"/>
    <n v="39"/>
    <n v="8.1250000000000003E-2"/>
    <n v="120"/>
    <n v="30800"/>
    <n v="43440"/>
    <n v="12640"/>
    <n v="0.91707317073170735"/>
    <n v="3.7234042553191488E-2"/>
    <n v="0.29097605893186002"/>
    <n v="85.082872928176798"/>
    <n v="441"/>
    <n v="0.85260770975056688"/>
    <n v="34.917127071823202"/>
    <n v="0.82086167800453513"/>
  </r>
  <r>
    <d v="2026-08-28T00:00:00"/>
    <x v="1"/>
    <x v="0"/>
    <x v="2"/>
    <x v="2"/>
    <n v="510"/>
    <n v="441"/>
    <n v="22"/>
    <n v="419"/>
    <n v="39"/>
    <n v="8.1250000000000003E-2"/>
    <n v="90"/>
    <n v="30800"/>
    <n v="37710"/>
    <n v="6910"/>
    <n v="0.86470588235294121"/>
    <n v="4.9886621315192746E-2"/>
    <n v="0.18324051975603289"/>
    <n v="73.508353221957037"/>
    <n v="441"/>
    <n v="1"/>
    <n v="16.491646778042959"/>
    <n v="0.95011337868480727"/>
  </r>
  <r>
    <d v="2026-08-28T00:00:00"/>
    <x v="1"/>
    <x v="1"/>
    <x v="0"/>
    <x v="1"/>
    <n v="400"/>
    <n v="355"/>
    <n v="15"/>
    <n v="340"/>
    <n v="57"/>
    <n v="0.11874999999999999"/>
    <n v="120"/>
    <n v="30800"/>
    <n v="40800"/>
    <n v="10000"/>
    <n v="0.88749999999999996"/>
    <n v="4.2253521126760563E-2"/>
    <n v="0.24509803921568626"/>
    <n v="90.588235294117652"/>
    <n v="423"/>
    <n v="0.83924349881796689"/>
    <n v="29.411764705882351"/>
    <n v="0.80378250591016553"/>
  </r>
  <r>
    <d v="2026-08-28T00:00:00"/>
    <x v="1"/>
    <x v="1"/>
    <x v="1"/>
    <x v="2"/>
    <n v="510"/>
    <n v="453"/>
    <n v="22"/>
    <n v="431"/>
    <n v="57"/>
    <n v="0.11874999999999999"/>
    <n v="90"/>
    <n v="30800"/>
    <n v="38790"/>
    <n v="7990"/>
    <n v="0.88823529411764701"/>
    <n v="4.856512141280353E-2"/>
    <n v="0.20598092291827791"/>
    <n v="71.461716937354993"/>
    <n v="423"/>
    <n v="1.0709219858156029"/>
    <n v="18.538283062645011"/>
    <n v="1.0189125295508275"/>
  </r>
  <r>
    <d v="2026-08-28T00:00:00"/>
    <x v="1"/>
    <x v="1"/>
    <x v="2"/>
    <x v="0"/>
    <n v="450"/>
    <n v="379"/>
    <n v="31"/>
    <n v="348"/>
    <n v="76"/>
    <n v="0.15833333333333333"/>
    <n v="100"/>
    <n v="30800"/>
    <n v="34800"/>
    <n v="4000"/>
    <n v="0.84222222222222221"/>
    <n v="8.1794195250659632E-2"/>
    <n v="0.11494252873563218"/>
    <n v="88.505747126436788"/>
    <n v="404"/>
    <n v="0.93811881188118806"/>
    <n v="11.494252873563218"/>
    <n v="0.86138613861386137"/>
  </r>
  <r>
    <d v="2026-08-28T00:00:00"/>
    <x v="1"/>
    <x v="2"/>
    <x v="0"/>
    <x v="2"/>
    <n v="500"/>
    <n v="484"/>
    <n v="11"/>
    <n v="473"/>
    <n v="22"/>
    <n v="4.583333333333333E-2"/>
    <n v="90"/>
    <n v="30800"/>
    <n v="42570"/>
    <n v="11770"/>
    <n v="0.96799999999999997"/>
    <n v="2.2727272727272728E-2"/>
    <n v="0.27648578811369506"/>
    <n v="65.116279069767444"/>
    <n v="458"/>
    <n v="1.0567685589519651"/>
    <n v="24.88372093023256"/>
    <n v="1.0327510917030567"/>
  </r>
  <r>
    <d v="2026-08-28T00:00:00"/>
    <x v="1"/>
    <x v="2"/>
    <x v="1"/>
    <x v="0"/>
    <n v="450"/>
    <n v="412"/>
    <n v="19"/>
    <n v="393"/>
    <n v="43"/>
    <n v="8.9583333333333334E-2"/>
    <n v="100"/>
    <n v="30800"/>
    <n v="39300"/>
    <n v="8500"/>
    <n v="0.91555555555555557"/>
    <n v="4.6116504854368932E-2"/>
    <n v="0.21628498727735368"/>
    <n v="78.371501272264638"/>
    <n v="437"/>
    <n v="0.94279176201372994"/>
    <n v="21.628498727735369"/>
    <n v="0.89931350114416475"/>
  </r>
  <r>
    <d v="2026-08-28T00:00:00"/>
    <x v="1"/>
    <x v="2"/>
    <x v="2"/>
    <x v="1"/>
    <n v="400"/>
    <n v="368"/>
    <n v="10"/>
    <n v="358"/>
    <n v="43"/>
    <n v="8.9583333333333334E-2"/>
    <n v="120"/>
    <n v="30800"/>
    <n v="42960"/>
    <n v="12160"/>
    <n v="0.92"/>
    <n v="2.717391304347826E-2"/>
    <n v="0.28305400372439476"/>
    <n v="86.033519553072622"/>
    <n v="437"/>
    <n v="0.84210526315789469"/>
    <n v="33.966480446927378"/>
    <n v="0.81922196796338675"/>
  </r>
  <r>
    <d v="2026-08-29T00:00:00"/>
    <x v="1"/>
    <x v="0"/>
    <x v="0"/>
    <x v="1"/>
    <n v="400"/>
    <n v="383"/>
    <n v="10"/>
    <n v="373"/>
    <n v="31"/>
    <n v="6.458333333333334E-2"/>
    <n v="120"/>
    <n v="30800"/>
    <n v="44760"/>
    <n v="13960"/>
    <n v="0.95750000000000002"/>
    <n v="2.6109660574412531E-2"/>
    <n v="0.31188561215370869"/>
    <n v="82.573726541554961"/>
    <n v="449"/>
    <n v="0.85300668151447656"/>
    <n v="37.426273458445039"/>
    <n v="0.83073496659242763"/>
  </r>
  <r>
    <d v="2026-08-29T00:00:00"/>
    <x v="1"/>
    <x v="0"/>
    <x v="1"/>
    <x v="2"/>
    <n v="480"/>
    <n v="435"/>
    <n v="16"/>
    <n v="419"/>
    <n v="36"/>
    <n v="7.4999999999999997E-2"/>
    <n v="90"/>
    <n v="30800"/>
    <n v="37710"/>
    <n v="6910"/>
    <n v="0.90625"/>
    <n v="3.6781609195402298E-2"/>
    <n v="0.18324051975603289"/>
    <n v="73.508353221957037"/>
    <n v="444"/>
    <n v="0.97972972972972971"/>
    <n v="16.491646778042959"/>
    <n v="0.94369369369369371"/>
  </r>
  <r>
    <d v="2026-08-29T00:00:00"/>
    <x v="1"/>
    <x v="0"/>
    <x v="2"/>
    <x v="0"/>
    <n v="450"/>
    <n v="403"/>
    <n v="23"/>
    <n v="380"/>
    <n v="48"/>
    <n v="0.1"/>
    <n v="100"/>
    <n v="30800"/>
    <n v="38000"/>
    <n v="7200"/>
    <n v="0.89555555555555555"/>
    <n v="5.7071960297766747E-2"/>
    <n v="0.18947368421052632"/>
    <n v="81.05263157894737"/>
    <n v="432"/>
    <n v="0.93287037037037035"/>
    <n v="18.94736842105263"/>
    <n v="0.87962962962962965"/>
  </r>
  <r>
    <d v="2026-08-29T00:00:00"/>
    <x v="1"/>
    <x v="1"/>
    <x v="0"/>
    <x v="2"/>
    <n v="510"/>
    <n v="452"/>
    <n v="23"/>
    <n v="429"/>
    <n v="42"/>
    <n v="8.7499999999999994E-2"/>
    <n v="90"/>
    <n v="30800"/>
    <n v="38610"/>
    <n v="7810"/>
    <n v="0.88627450980392153"/>
    <n v="5.0884955752212392E-2"/>
    <n v="0.20227920227920229"/>
    <n v="71.794871794871796"/>
    <n v="438"/>
    <n v="1.0319634703196348"/>
    <n v="18.205128205128204"/>
    <n v="0.97945205479452058"/>
  </r>
  <r>
    <d v="2026-08-29T00:00:00"/>
    <x v="1"/>
    <x v="1"/>
    <x v="1"/>
    <x v="0"/>
    <n v="450"/>
    <n v="386"/>
    <n v="28"/>
    <n v="358"/>
    <n v="50"/>
    <n v="0.10416666666666667"/>
    <n v="100"/>
    <n v="30800"/>
    <n v="35800"/>
    <n v="5000"/>
    <n v="0.85777777777777775"/>
    <n v="7.2538860103626937E-2"/>
    <n v="0.13966480446927373"/>
    <n v="86.033519553072622"/>
    <n v="430"/>
    <n v="0.89767441860465114"/>
    <n v="13.966480446927374"/>
    <n v="0.83255813953488367"/>
  </r>
  <r>
    <d v="2026-08-29T00:00:00"/>
    <x v="1"/>
    <x v="1"/>
    <x v="2"/>
    <x v="1"/>
    <n v="410"/>
    <n v="350"/>
    <n v="20"/>
    <n v="330"/>
    <n v="59"/>
    <n v="0.12291666666666666"/>
    <n v="120"/>
    <n v="30800"/>
    <n v="39600"/>
    <n v="8800"/>
    <n v="0.85365853658536583"/>
    <n v="5.7142857142857141E-2"/>
    <n v="0.22222222222222221"/>
    <n v="93.333333333333329"/>
    <n v="421"/>
    <n v="0.83135391923990498"/>
    <n v="26.666666666666668"/>
    <n v="0.78384798099762465"/>
  </r>
  <r>
    <d v="2026-08-29T00:00:00"/>
    <x v="1"/>
    <x v="2"/>
    <x v="0"/>
    <x v="0"/>
    <n v="460"/>
    <n v="438"/>
    <n v="16"/>
    <n v="422"/>
    <n v="18"/>
    <n v="3.7499999999999999E-2"/>
    <n v="100"/>
    <n v="30800"/>
    <n v="42200"/>
    <n v="11400"/>
    <n v="0.95217391304347831"/>
    <n v="3.6529680365296802E-2"/>
    <n v="0.27014218009478674"/>
    <n v="72.985781990521332"/>
    <n v="462"/>
    <n v="0.94805194805194803"/>
    <n v="27.014218009478672"/>
    <n v="0.91341991341991347"/>
  </r>
  <r>
    <d v="2026-08-29T00:00:00"/>
    <x v="1"/>
    <x v="2"/>
    <x v="1"/>
    <x v="1"/>
    <n v="410"/>
    <n v="384"/>
    <n v="8"/>
    <n v="376"/>
    <n v="18"/>
    <n v="3.7499999999999999E-2"/>
    <n v="120"/>
    <n v="30800"/>
    <n v="45120"/>
    <n v="14320"/>
    <n v="0.93658536585365859"/>
    <n v="2.0833333333333332E-2"/>
    <n v="0.31737588652482268"/>
    <n v="81.914893617021278"/>
    <n v="462"/>
    <n v="0.83116883116883122"/>
    <n v="38.085106382978722"/>
    <n v="0.81385281385281383"/>
  </r>
  <r>
    <d v="2026-08-29T00:00:00"/>
    <x v="1"/>
    <x v="2"/>
    <x v="2"/>
    <x v="2"/>
    <n v="480"/>
    <n v="432"/>
    <n v="14"/>
    <n v="418"/>
    <n v="23"/>
    <n v="4.791666666666667E-2"/>
    <n v="90"/>
    <n v="30800"/>
    <n v="37620"/>
    <n v="6820"/>
    <n v="0.9"/>
    <n v="3.2407407407407406E-2"/>
    <n v="0.18128654970760233"/>
    <n v="73.684210526315795"/>
    <n v="457"/>
    <n v="0.94529540481400443"/>
    <n v="16.315789473684209"/>
    <n v="0.91466083150984678"/>
  </r>
  <r>
    <d v="2026-08-30T00:00:00"/>
    <x v="1"/>
    <x v="0"/>
    <x v="0"/>
    <x v="2"/>
    <n v="500"/>
    <n v="467"/>
    <n v="14"/>
    <n v="453"/>
    <n v="26"/>
    <n v="5.4166666666666669E-2"/>
    <n v="90"/>
    <n v="30800"/>
    <n v="40770"/>
    <n v="9970"/>
    <n v="0.93400000000000005"/>
    <n v="2.9978586723768737E-2"/>
    <n v="0.24454255580083395"/>
    <n v="67.99116997792494"/>
    <n v="454"/>
    <n v="1.0286343612334801"/>
    <n v="22.008830022075056"/>
    <n v="0.99779735682819382"/>
  </r>
  <r>
    <d v="2026-08-30T00:00:00"/>
    <x v="1"/>
    <x v="0"/>
    <x v="1"/>
    <x v="0"/>
    <n v="440"/>
    <n v="403"/>
    <n v="18"/>
    <n v="385"/>
    <n v="50"/>
    <n v="0.10416666666666667"/>
    <n v="100"/>
    <n v="30800"/>
    <n v="38500"/>
    <n v="7700"/>
    <n v="0.91590909090909089"/>
    <n v="4.4665012406947889E-2"/>
    <n v="0.2"/>
    <n v="80"/>
    <n v="430"/>
    <n v="0.93720930232558142"/>
    <n v="20"/>
    <n v="0.89534883720930236"/>
  </r>
  <r>
    <d v="2026-08-30T00:00:00"/>
    <x v="1"/>
    <x v="0"/>
    <x v="2"/>
    <x v="1"/>
    <n v="400"/>
    <n v="345"/>
    <n v="15"/>
    <n v="330"/>
    <n v="37"/>
    <n v="7.7083333333333337E-2"/>
    <n v="120"/>
    <n v="30800"/>
    <n v="39600"/>
    <n v="8800"/>
    <n v="0.86250000000000004"/>
    <n v="4.3478260869565216E-2"/>
    <n v="0.22222222222222221"/>
    <n v="93.333333333333329"/>
    <n v="443"/>
    <n v="0.77878103837471779"/>
    <n v="26.666666666666668"/>
    <n v="0.74492099322799099"/>
  </r>
  <r>
    <d v="2026-08-30T00:00:00"/>
    <x v="1"/>
    <x v="1"/>
    <x v="0"/>
    <x v="0"/>
    <n v="450"/>
    <n v="393"/>
    <n v="26"/>
    <n v="367"/>
    <n v="47"/>
    <n v="9.7916666666666666E-2"/>
    <n v="100"/>
    <n v="30800"/>
    <n v="36700"/>
    <n v="5900"/>
    <n v="0.87333333333333329"/>
    <n v="6.6157760814249358E-2"/>
    <n v="0.16076294277929154"/>
    <n v="83.923705722070849"/>
    <n v="433"/>
    <n v="0.90762124711316394"/>
    <n v="16.076294277929154"/>
    <n v="0.84757505773672059"/>
  </r>
  <r>
    <d v="2026-08-30T00:00:00"/>
    <x v="1"/>
    <x v="1"/>
    <x v="1"/>
    <x v="1"/>
    <n v="410"/>
    <n v="365"/>
    <n v="16"/>
    <n v="349"/>
    <n v="46"/>
    <n v="9.583333333333334E-2"/>
    <n v="120"/>
    <n v="30800"/>
    <n v="41880"/>
    <n v="11080"/>
    <n v="0.8902439024390244"/>
    <n v="4.3835616438356165E-2"/>
    <n v="0.26456542502387775"/>
    <n v="88.252148997134668"/>
    <n v="434"/>
    <n v="0.84101382488479259"/>
    <n v="31.747851002865328"/>
    <n v="0.80414746543778803"/>
  </r>
  <r>
    <d v="2026-08-30T00:00:00"/>
    <x v="1"/>
    <x v="1"/>
    <x v="2"/>
    <x v="2"/>
    <n v="490"/>
    <n v="407"/>
    <n v="25"/>
    <n v="382"/>
    <n v="52"/>
    <n v="0.10833333333333334"/>
    <n v="90"/>
    <n v="30800"/>
    <n v="34380"/>
    <n v="3580"/>
    <n v="0.83061224489795915"/>
    <n v="6.1425061425061427E-2"/>
    <n v="0.10413030831879"/>
    <n v="80.6282722513089"/>
    <n v="428"/>
    <n v="0.9509345794392523"/>
    <n v="9.3717277486911001"/>
    <n v="0.89252336448598135"/>
  </r>
  <r>
    <d v="2026-08-30T00:00:00"/>
    <x v="1"/>
    <x v="2"/>
    <x v="0"/>
    <x v="1"/>
    <n v="410"/>
    <n v="390"/>
    <n v="9"/>
    <n v="381"/>
    <n v="29"/>
    <n v="6.0416666666666667E-2"/>
    <n v="120"/>
    <n v="30800"/>
    <n v="45720"/>
    <n v="14920"/>
    <n v="0.95121951219512191"/>
    <n v="2.3076923076923078E-2"/>
    <n v="0.32633420822397202"/>
    <n v="80.839895013123353"/>
    <n v="451"/>
    <n v="0.8647450110864745"/>
    <n v="39.16010498687664"/>
    <n v="0.84478935698447899"/>
  </r>
  <r>
    <d v="2026-08-30T00:00:00"/>
    <x v="1"/>
    <x v="2"/>
    <x v="1"/>
    <x v="2"/>
    <n v="500"/>
    <n v="473"/>
    <n v="14"/>
    <n v="459"/>
    <n v="26"/>
    <n v="5.4166666666666669E-2"/>
    <n v="90"/>
    <n v="30800"/>
    <n v="41310"/>
    <n v="10510"/>
    <n v="0.94599999999999995"/>
    <n v="2.9598308668076109E-2"/>
    <n v="0.25441781650931977"/>
    <n v="67.102396514161214"/>
    <n v="454"/>
    <n v="1.0418502202643172"/>
    <n v="22.897603485838779"/>
    <n v="1.0110132158590308"/>
  </r>
  <r>
    <d v="2026-08-30T00:00:00"/>
    <x v="1"/>
    <x v="2"/>
    <x v="2"/>
    <x v="0"/>
    <n v="440"/>
    <n v="405"/>
    <n v="23"/>
    <n v="382"/>
    <n v="47"/>
    <n v="9.7916666666666666E-2"/>
    <n v="100"/>
    <n v="30800"/>
    <n v="38200"/>
    <n v="7400"/>
    <n v="0.92045454545454541"/>
    <n v="5.6790123456790124E-2"/>
    <n v="0.193717277486911"/>
    <n v="80.6282722513089"/>
    <n v="433"/>
    <n v="0.9353348729792148"/>
    <n v="19.3717277486911"/>
    <n v="0.88221709006928406"/>
  </r>
  <r>
    <d v="2026-08-31T00:00:00"/>
    <x v="1"/>
    <x v="0"/>
    <x v="0"/>
    <x v="0"/>
    <n v="440"/>
    <n v="400"/>
    <n v="15"/>
    <n v="385"/>
    <n v="32"/>
    <n v="6.6666666666666666E-2"/>
    <n v="100"/>
    <n v="30800"/>
    <n v="38500"/>
    <n v="7700"/>
    <n v="0.90909090909090906"/>
    <n v="3.7499999999999999E-2"/>
    <n v="0.2"/>
    <n v="80"/>
    <n v="448"/>
    <n v="0.8928571428571429"/>
    <n v="20"/>
    <n v="0.859375"/>
  </r>
  <r>
    <d v="2026-08-31T00:00:00"/>
    <x v="1"/>
    <x v="0"/>
    <x v="1"/>
    <x v="1"/>
    <n v="390"/>
    <n v="364"/>
    <n v="12"/>
    <n v="352"/>
    <n v="38"/>
    <n v="7.9166666666666663E-2"/>
    <n v="120"/>
    <n v="30800"/>
    <n v="42240"/>
    <n v="11440"/>
    <n v="0.93333333333333335"/>
    <n v="3.2967032967032968E-2"/>
    <n v="0.27083333333333331"/>
    <n v="87.5"/>
    <n v="442"/>
    <n v="0.82352941176470584"/>
    <n v="32.5"/>
    <n v="0.7963800904977375"/>
  </r>
  <r>
    <d v="2026-08-31T00:00:00"/>
    <x v="1"/>
    <x v="0"/>
    <x v="2"/>
    <x v="2"/>
    <n v="490"/>
    <n v="433"/>
    <n v="17"/>
    <n v="416"/>
    <n v="46"/>
    <n v="9.583333333333334E-2"/>
    <n v="90"/>
    <n v="30800"/>
    <n v="37440"/>
    <n v="6640"/>
    <n v="0.88367346938775515"/>
    <n v="3.9260969976905313E-2"/>
    <n v="0.17735042735042736"/>
    <n v="74.038461538461533"/>
    <n v="434"/>
    <n v="0.99769585253456217"/>
    <n v="15.961538461538462"/>
    <n v="0.95852534562211977"/>
  </r>
  <r>
    <d v="2026-08-31T00:00:00"/>
    <x v="1"/>
    <x v="1"/>
    <x v="0"/>
    <x v="1"/>
    <n v="410"/>
    <n v="365"/>
    <n v="20"/>
    <n v="345"/>
    <n v="53"/>
    <n v="0.11041666666666666"/>
    <n v="120"/>
    <n v="30800"/>
    <n v="41400"/>
    <n v="10600"/>
    <n v="0.8902439024390244"/>
    <n v="5.4794520547945202E-2"/>
    <n v="0.2560386473429952"/>
    <n v="89.275362318840578"/>
    <n v="427"/>
    <n v="0.85480093676814983"/>
    <n v="30.724637681159422"/>
    <n v="0.80796252927400469"/>
  </r>
  <r>
    <d v="2026-08-31T00:00:00"/>
    <x v="1"/>
    <x v="1"/>
    <x v="1"/>
    <x v="2"/>
    <n v="500"/>
    <n v="425"/>
    <n v="22"/>
    <n v="403"/>
    <n v="52"/>
    <n v="0.10833333333333334"/>
    <n v="90"/>
    <n v="30800"/>
    <n v="36270"/>
    <n v="5470"/>
    <n v="0.85"/>
    <n v="5.1764705882352942E-2"/>
    <n v="0.15081334436173147"/>
    <n v="76.426799007444174"/>
    <n v="428"/>
    <n v="0.9929906542056075"/>
    <n v="13.573200992555831"/>
    <n v="0.94158878504672894"/>
  </r>
  <r>
    <d v="2026-08-31T00:00:00"/>
    <x v="1"/>
    <x v="1"/>
    <x v="2"/>
    <x v="0"/>
    <n v="430"/>
    <n v="358"/>
    <n v="24"/>
    <n v="334"/>
    <n v="58"/>
    <n v="0.12083333333333333"/>
    <n v="100"/>
    <n v="30800"/>
    <n v="33400"/>
    <n v="2600"/>
    <n v="0.83255813953488367"/>
    <n v="6.7039106145251395E-2"/>
    <n v="7.7844311377245512E-2"/>
    <n v="92.215568862275447"/>
    <n v="422"/>
    <n v="0.84834123222748814"/>
    <n v="7.7844311377245505"/>
    <n v="0.79146919431279616"/>
  </r>
  <r>
    <d v="2026-08-31T00:00:00"/>
    <x v="1"/>
    <x v="2"/>
    <x v="0"/>
    <x v="2"/>
    <n v="510"/>
    <n v="499"/>
    <n v="13"/>
    <n v="486"/>
    <n v="20"/>
    <n v="4.1666666666666664E-2"/>
    <n v="90"/>
    <n v="30800"/>
    <n v="43740"/>
    <n v="12940"/>
    <n v="0.97843137254901957"/>
    <n v="2.6052104208416832E-2"/>
    <n v="0.2958390489254687"/>
    <n v="63.374485596707821"/>
    <n v="460"/>
    <n v="1.0847826086956522"/>
    <n v="26.625514403292183"/>
    <n v="1.0565217391304347"/>
  </r>
  <r>
    <d v="2026-08-31T00:00:00"/>
    <x v="1"/>
    <x v="2"/>
    <x v="1"/>
    <x v="0"/>
    <n v="460"/>
    <n v="431"/>
    <n v="21"/>
    <n v="410"/>
    <n v="37"/>
    <n v="7.7083333333333337E-2"/>
    <n v="100"/>
    <n v="30800"/>
    <n v="41000"/>
    <n v="10200"/>
    <n v="0.93695652173913047"/>
    <n v="4.8723897911832945E-2"/>
    <n v="0.24878048780487805"/>
    <n v="75.121951219512198"/>
    <n v="443"/>
    <n v="0.97291196388261847"/>
    <n v="24.878048780487806"/>
    <n v="0.9255079006772009"/>
  </r>
  <r>
    <d v="2026-08-31T00:00:00"/>
    <x v="1"/>
    <x v="2"/>
    <x v="2"/>
    <x v="1"/>
    <n v="390"/>
    <n v="344"/>
    <n v="13"/>
    <n v="331"/>
    <n v="32"/>
    <n v="6.6666666666666666E-2"/>
    <n v="120"/>
    <n v="30800"/>
    <n v="39720"/>
    <n v="8920"/>
    <n v="0.88205128205128203"/>
    <n v="3.7790697674418602E-2"/>
    <n v="0.22457200402819738"/>
    <n v="93.051359516616316"/>
    <n v="448"/>
    <n v="0.7678571428571429"/>
    <n v="26.948640483383684"/>
    <n v="0.7388392857142857"/>
  </r>
  <r>
    <d v="2026-09-01T00:00:00"/>
    <x v="2"/>
    <x v="0"/>
    <x v="0"/>
    <x v="0"/>
    <n v="440"/>
    <n v="411"/>
    <n v="16"/>
    <n v="395"/>
    <n v="37"/>
    <n v="7.7083333333333337E-2"/>
    <n v="100"/>
    <n v="30800"/>
    <n v="39500"/>
    <n v="8700"/>
    <n v="0.93409090909090908"/>
    <n v="3.8929440389294405E-2"/>
    <n v="0.22025316455696203"/>
    <n v="77.974683544303801"/>
    <n v="443"/>
    <n v="0.92776523702031599"/>
    <n v="22.025316455696203"/>
    <n v="0.89164785553047399"/>
  </r>
  <r>
    <d v="2026-09-01T00:00:00"/>
    <x v="2"/>
    <x v="0"/>
    <x v="1"/>
    <x v="1"/>
    <n v="410"/>
    <n v="384"/>
    <n v="13"/>
    <n v="371"/>
    <n v="28"/>
    <n v="5.8333333333333334E-2"/>
    <n v="120"/>
    <n v="30800"/>
    <n v="44520"/>
    <n v="13720"/>
    <n v="0.93658536585365859"/>
    <n v="3.3854166666666664E-2"/>
    <n v="0.3081761006289308"/>
    <n v="83.018867924528308"/>
    <n v="452"/>
    <n v="0.84955752212389379"/>
    <n v="36.981132075471699"/>
    <n v="0.82079646017699115"/>
  </r>
  <r>
    <d v="2026-09-01T00:00:00"/>
    <x v="2"/>
    <x v="0"/>
    <x v="2"/>
    <x v="2"/>
    <n v="480"/>
    <n v="436"/>
    <n v="22"/>
    <n v="414"/>
    <n v="37"/>
    <n v="7.7083333333333337E-2"/>
    <n v="90"/>
    <n v="30800"/>
    <n v="37260"/>
    <n v="6460"/>
    <n v="0.90833333333333333"/>
    <n v="5.0458715596330278E-2"/>
    <n v="0.17337627482555018"/>
    <n v="74.39613526570048"/>
    <n v="443"/>
    <n v="0.98419864559819414"/>
    <n v="15.603864734299517"/>
    <n v="0.93453724604966137"/>
  </r>
  <r>
    <d v="2026-09-01T00:00:00"/>
    <x v="2"/>
    <x v="1"/>
    <x v="0"/>
    <x v="1"/>
    <n v="410"/>
    <n v="350"/>
    <n v="17"/>
    <n v="333"/>
    <n v="53"/>
    <n v="0.11041666666666666"/>
    <n v="120"/>
    <n v="30800"/>
    <n v="39960"/>
    <n v="9160"/>
    <n v="0.85365853658536583"/>
    <n v="4.8571428571428571E-2"/>
    <n v="0.22922922922922923"/>
    <n v="92.492492492492488"/>
    <n v="427"/>
    <n v="0.81967213114754101"/>
    <n v="27.507507507507508"/>
    <n v="0.77985948477751754"/>
  </r>
  <r>
    <d v="2026-09-01T00:00:00"/>
    <x v="2"/>
    <x v="1"/>
    <x v="1"/>
    <x v="2"/>
    <n v="520"/>
    <n v="441"/>
    <n v="27"/>
    <n v="414"/>
    <n v="62"/>
    <n v="0.12916666666666668"/>
    <n v="90"/>
    <n v="30800"/>
    <n v="37260"/>
    <n v="6460"/>
    <n v="0.84807692307692306"/>
    <n v="6.1224489795918366E-2"/>
    <n v="0.17337627482555018"/>
    <n v="74.39613526570048"/>
    <n v="418"/>
    <n v="1.0550239234449761"/>
    <n v="15.603864734299517"/>
    <n v="0.99043062200956933"/>
  </r>
  <r>
    <d v="2026-09-01T00:00:00"/>
    <x v="2"/>
    <x v="1"/>
    <x v="2"/>
    <x v="0"/>
    <n v="440"/>
    <n v="383"/>
    <n v="28"/>
    <n v="355"/>
    <n v="65"/>
    <n v="0.13541666666666666"/>
    <n v="100"/>
    <n v="30800"/>
    <n v="35500"/>
    <n v="4700"/>
    <n v="0.87045454545454548"/>
    <n v="7.3107049608355096E-2"/>
    <n v="0.13239436619718309"/>
    <n v="86.760563380281695"/>
    <n v="415"/>
    <n v="0.92289156626506019"/>
    <n v="13.23943661971831"/>
    <n v="0.85542168674698793"/>
  </r>
  <r>
    <d v="2026-09-01T00:00:00"/>
    <x v="2"/>
    <x v="2"/>
    <x v="0"/>
    <x v="2"/>
    <n v="500"/>
    <n v="491"/>
    <n v="15"/>
    <n v="476"/>
    <n v="12"/>
    <n v="2.5000000000000001E-2"/>
    <n v="90"/>
    <n v="30800"/>
    <n v="42840"/>
    <n v="12040"/>
    <n v="0.98199999999999998"/>
    <n v="3.0549898167006109E-2"/>
    <n v="0.28104575163398693"/>
    <n v="64.705882352941174"/>
    <n v="468"/>
    <n v="1.0491452991452992"/>
    <n v="25.294117647058822"/>
    <n v="1.017094017094017"/>
  </r>
  <r>
    <d v="2026-09-01T00:00:00"/>
    <x v="2"/>
    <x v="2"/>
    <x v="1"/>
    <x v="0"/>
    <n v="460"/>
    <n v="436"/>
    <n v="18"/>
    <n v="418"/>
    <n v="44"/>
    <n v="9.166666666666666E-2"/>
    <n v="100"/>
    <n v="30800"/>
    <n v="41800"/>
    <n v="11000"/>
    <n v="0.94782608695652171"/>
    <n v="4.1284403669724773E-2"/>
    <n v="0.26315789473684209"/>
    <n v="73.684210526315795"/>
    <n v="436"/>
    <n v="1"/>
    <n v="26.315789473684209"/>
    <n v="0.95871559633027525"/>
  </r>
  <r>
    <d v="2026-09-01T00:00:00"/>
    <x v="2"/>
    <x v="2"/>
    <x v="2"/>
    <x v="1"/>
    <n v="400"/>
    <n v="357"/>
    <n v="10"/>
    <n v="347"/>
    <n v="29"/>
    <n v="6.0416666666666667E-2"/>
    <n v="120"/>
    <n v="30800"/>
    <n v="41640"/>
    <n v="10840"/>
    <n v="0.89249999999999996"/>
    <n v="2.8011204481792718E-2"/>
    <n v="0.26032660902977905"/>
    <n v="88.760806916426517"/>
    <n v="451"/>
    <n v="0.79157427937915747"/>
    <n v="31.239193083573486"/>
    <n v="0.76940133037694014"/>
  </r>
  <r>
    <d v="2026-09-02T00:00:00"/>
    <x v="2"/>
    <x v="0"/>
    <x v="0"/>
    <x v="1"/>
    <n v="410"/>
    <n v="384"/>
    <n v="11"/>
    <n v="373"/>
    <n v="37"/>
    <n v="7.7083333333333337E-2"/>
    <n v="120"/>
    <n v="30800"/>
    <n v="44760"/>
    <n v="13960"/>
    <n v="0.93658536585365859"/>
    <n v="2.8645833333333332E-2"/>
    <n v="0.31188561215370869"/>
    <n v="82.573726541554961"/>
    <n v="443"/>
    <n v="0.86681715575620766"/>
    <n v="37.426273458445039"/>
    <n v="0.84198645598194133"/>
  </r>
  <r>
    <d v="2026-09-02T00:00:00"/>
    <x v="2"/>
    <x v="0"/>
    <x v="1"/>
    <x v="2"/>
    <n v="490"/>
    <n v="466"/>
    <n v="16"/>
    <n v="450"/>
    <n v="38"/>
    <n v="7.9166666666666663E-2"/>
    <n v="90"/>
    <n v="30800"/>
    <n v="40500"/>
    <n v="9700"/>
    <n v="0.95102040816326527"/>
    <n v="3.4334763948497854E-2"/>
    <n v="0.23950617283950618"/>
    <n v="68.444444444444443"/>
    <n v="442"/>
    <n v="1.0542986425339367"/>
    <n v="21.555555555555557"/>
    <n v="1.0180995475113122"/>
  </r>
  <r>
    <d v="2026-09-02T00:00:00"/>
    <x v="2"/>
    <x v="0"/>
    <x v="2"/>
    <x v="0"/>
    <n v="470"/>
    <n v="420"/>
    <n v="27"/>
    <n v="393"/>
    <n v="39"/>
    <n v="8.1250000000000003E-2"/>
    <n v="100"/>
    <n v="30800"/>
    <n v="39300"/>
    <n v="8500"/>
    <n v="0.8936170212765957"/>
    <n v="6.4285714285714279E-2"/>
    <n v="0.21628498727735368"/>
    <n v="78.371501272264638"/>
    <n v="441"/>
    <n v="0.95238095238095233"/>
    <n v="21.628498727735369"/>
    <n v="0.891156462585034"/>
  </r>
  <r>
    <d v="2026-09-02T00:00:00"/>
    <x v="2"/>
    <x v="1"/>
    <x v="0"/>
    <x v="2"/>
    <n v="520"/>
    <n v="468"/>
    <n v="27"/>
    <n v="441"/>
    <n v="39"/>
    <n v="8.1250000000000003E-2"/>
    <n v="90"/>
    <n v="30800"/>
    <n v="39690"/>
    <n v="8890"/>
    <n v="0.9"/>
    <n v="5.7692307692307696E-2"/>
    <n v="0.22398589065255731"/>
    <n v="69.841269841269835"/>
    <n v="441"/>
    <n v="1.0612244897959184"/>
    <n v="20.158730158730158"/>
    <n v="1"/>
  </r>
  <r>
    <d v="2026-09-02T00:00:00"/>
    <x v="2"/>
    <x v="1"/>
    <x v="1"/>
    <x v="0"/>
    <n v="440"/>
    <n v="393"/>
    <n v="25"/>
    <n v="368"/>
    <n v="70"/>
    <n v="0.14583333333333334"/>
    <n v="100"/>
    <n v="30800"/>
    <n v="36800"/>
    <n v="6000"/>
    <n v="0.89318181818181819"/>
    <n v="6.3613231552162849E-2"/>
    <n v="0.16304347826086957"/>
    <n v="83.695652173913047"/>
    <n v="410"/>
    <n v="0.95853658536585362"/>
    <n v="16.304347826086957"/>
    <n v="0.89756097560975612"/>
  </r>
  <r>
    <d v="2026-09-02T00:00:00"/>
    <x v="2"/>
    <x v="1"/>
    <x v="2"/>
    <x v="1"/>
    <n v="410"/>
    <n v="352"/>
    <n v="22"/>
    <n v="330"/>
    <n v="64"/>
    <n v="0.13333333333333333"/>
    <n v="120"/>
    <n v="30800"/>
    <n v="39600"/>
    <n v="8800"/>
    <n v="0.85853658536585364"/>
    <n v="6.25E-2"/>
    <n v="0.22222222222222221"/>
    <n v="93.333333333333329"/>
    <n v="416"/>
    <n v="0.84615384615384615"/>
    <n v="26.666666666666668"/>
    <n v="0.79326923076923073"/>
  </r>
  <r>
    <d v="2026-09-02T00:00:00"/>
    <x v="2"/>
    <x v="2"/>
    <x v="0"/>
    <x v="0"/>
    <n v="450"/>
    <n v="422"/>
    <n v="15"/>
    <n v="407"/>
    <n v="29"/>
    <n v="6.0416666666666667E-2"/>
    <n v="100"/>
    <n v="30800"/>
    <n v="40700"/>
    <n v="9900"/>
    <n v="0.93777777777777782"/>
    <n v="3.5545023696682464E-2"/>
    <n v="0.24324324324324326"/>
    <n v="75.675675675675677"/>
    <n v="451"/>
    <n v="0.93569844789356982"/>
    <n v="24.324324324324323"/>
    <n v="0.90243902439024393"/>
  </r>
  <r>
    <d v="2026-09-02T00:00:00"/>
    <x v="2"/>
    <x v="2"/>
    <x v="1"/>
    <x v="1"/>
    <n v="400"/>
    <n v="386"/>
    <n v="8"/>
    <n v="378"/>
    <n v="33"/>
    <n v="6.8750000000000006E-2"/>
    <n v="120"/>
    <n v="30800"/>
    <n v="45360"/>
    <n v="14560"/>
    <n v="0.96499999999999997"/>
    <n v="2.072538860103627E-2"/>
    <n v="0.32098765432098764"/>
    <n v="81.481481481481481"/>
    <n v="447"/>
    <n v="0.86353467561521258"/>
    <n v="38.518518518518519"/>
    <n v="0.84563758389261745"/>
  </r>
  <r>
    <d v="2026-09-02T00:00:00"/>
    <x v="2"/>
    <x v="2"/>
    <x v="2"/>
    <x v="2"/>
    <n v="510"/>
    <n v="477"/>
    <n v="18"/>
    <n v="459"/>
    <n v="33"/>
    <n v="6.8750000000000006E-2"/>
    <n v="90"/>
    <n v="30800"/>
    <n v="41310"/>
    <n v="10510"/>
    <n v="0.93529411764705883"/>
    <n v="3.7735849056603772E-2"/>
    <n v="0.25441781650931977"/>
    <n v="67.102396514161214"/>
    <n v="447"/>
    <n v="1.0671140939597314"/>
    <n v="22.897603485838779"/>
    <n v="1.0268456375838926"/>
  </r>
  <r>
    <d v="2026-09-03T00:00:00"/>
    <x v="2"/>
    <x v="0"/>
    <x v="0"/>
    <x v="2"/>
    <n v="500"/>
    <n v="477"/>
    <n v="18"/>
    <n v="459"/>
    <n v="15"/>
    <n v="3.125E-2"/>
    <n v="90"/>
    <n v="30800"/>
    <n v="41310"/>
    <n v="10510"/>
    <n v="0.95399999999999996"/>
    <n v="3.7735849056603772E-2"/>
    <n v="0.25441781650931977"/>
    <n v="67.102396514161214"/>
    <n v="465"/>
    <n v="1.0258064516129033"/>
    <n v="22.897603485838779"/>
    <n v="0.98709677419354835"/>
  </r>
  <r>
    <d v="2026-09-03T00:00:00"/>
    <x v="2"/>
    <x v="0"/>
    <x v="1"/>
    <x v="0"/>
    <n v="450"/>
    <n v="421"/>
    <n v="23"/>
    <n v="398"/>
    <n v="47"/>
    <n v="9.7916666666666666E-2"/>
    <n v="100"/>
    <n v="30800"/>
    <n v="39800"/>
    <n v="9000"/>
    <n v="0.93555555555555558"/>
    <n v="5.4631828978622329E-2"/>
    <n v="0.22613065326633167"/>
    <n v="77.386934673366838"/>
    <n v="433"/>
    <n v="0.97228637413394914"/>
    <n v="22.613065326633166"/>
    <n v="0.91916859122401851"/>
  </r>
  <r>
    <d v="2026-09-03T00:00:00"/>
    <x v="2"/>
    <x v="0"/>
    <x v="2"/>
    <x v="1"/>
    <n v="390"/>
    <n v="347"/>
    <n v="13"/>
    <n v="334"/>
    <n v="39"/>
    <n v="8.1250000000000003E-2"/>
    <n v="120"/>
    <n v="30800"/>
    <n v="40080"/>
    <n v="9280"/>
    <n v="0.88974358974358969"/>
    <n v="3.7463976945244955E-2"/>
    <n v="0.2315369261477046"/>
    <n v="92.215568862275447"/>
    <n v="441"/>
    <n v="0.78684807256235823"/>
    <n v="27.78443113772455"/>
    <n v="0.75736961451247165"/>
  </r>
  <r>
    <d v="2026-09-03T00:00:00"/>
    <x v="2"/>
    <x v="1"/>
    <x v="0"/>
    <x v="0"/>
    <n v="460"/>
    <n v="402"/>
    <n v="25"/>
    <n v="377"/>
    <n v="59"/>
    <n v="0.12291666666666666"/>
    <n v="100"/>
    <n v="30800"/>
    <n v="37700"/>
    <n v="6900"/>
    <n v="0.87391304347826082"/>
    <n v="6.2189054726368161E-2"/>
    <n v="0.1830238726790451"/>
    <n v="81.697612732095493"/>
    <n v="421"/>
    <n v="0.95486935866983369"/>
    <n v="18.302387267904511"/>
    <n v="0.89548693586698336"/>
  </r>
  <r>
    <d v="2026-09-03T00:00:00"/>
    <x v="2"/>
    <x v="1"/>
    <x v="1"/>
    <x v="1"/>
    <n v="410"/>
    <n v="368"/>
    <n v="20"/>
    <n v="348"/>
    <n v="44"/>
    <n v="9.166666666666666E-2"/>
    <n v="120"/>
    <n v="30800"/>
    <n v="41760"/>
    <n v="10960"/>
    <n v="0.89756097560975612"/>
    <n v="5.434782608695652E-2"/>
    <n v="0.26245210727969348"/>
    <n v="88.505747126436788"/>
    <n v="436"/>
    <n v="0.84403669724770647"/>
    <n v="31.494252873563219"/>
    <n v="0.79816513761467889"/>
  </r>
  <r>
    <d v="2026-09-03T00:00:00"/>
    <x v="2"/>
    <x v="1"/>
    <x v="2"/>
    <x v="2"/>
    <n v="510"/>
    <n v="440"/>
    <n v="24"/>
    <n v="416"/>
    <n v="49"/>
    <n v="0.10208333333333333"/>
    <n v="90"/>
    <n v="30800"/>
    <n v="37440"/>
    <n v="6640"/>
    <n v="0.86274509803921573"/>
    <n v="5.4545454545454543E-2"/>
    <n v="0.17735042735042736"/>
    <n v="74.038461538461533"/>
    <n v="431"/>
    <n v="1.0208816705336428"/>
    <n v="15.961538461538462"/>
    <n v="0.96519721577726214"/>
  </r>
  <r>
    <d v="2026-09-03T00:00:00"/>
    <x v="2"/>
    <x v="2"/>
    <x v="0"/>
    <x v="1"/>
    <n v="400"/>
    <n v="393"/>
    <n v="8"/>
    <n v="385"/>
    <n v="32"/>
    <n v="6.6666666666666666E-2"/>
    <n v="120"/>
    <n v="30800"/>
    <n v="46200"/>
    <n v="15400"/>
    <n v="0.98250000000000004"/>
    <n v="2.0356234096692113E-2"/>
    <n v="0.33333333333333331"/>
    <n v="80"/>
    <n v="448"/>
    <n v="0.8772321428571429"/>
    <n v="40"/>
    <n v="0.859375"/>
  </r>
  <r>
    <d v="2026-09-03T00:00:00"/>
    <x v="2"/>
    <x v="2"/>
    <x v="1"/>
    <x v="2"/>
    <n v="520"/>
    <n v="484"/>
    <n v="18"/>
    <n v="466"/>
    <n v="20"/>
    <n v="4.1666666666666664E-2"/>
    <n v="90"/>
    <n v="30800"/>
    <n v="41940"/>
    <n v="11140"/>
    <n v="0.93076923076923079"/>
    <n v="3.71900826446281E-2"/>
    <n v="0.26561754887935146"/>
    <n v="66.094420600858371"/>
    <n v="460"/>
    <n v="1.0521739130434782"/>
    <n v="23.905579399141629"/>
    <n v="1.0130434782608695"/>
  </r>
  <r>
    <d v="2026-09-03T00:00:00"/>
    <x v="2"/>
    <x v="2"/>
    <x v="2"/>
    <x v="0"/>
    <n v="460"/>
    <n v="413"/>
    <n v="20"/>
    <n v="393"/>
    <n v="48"/>
    <n v="0.1"/>
    <n v="100"/>
    <n v="30800"/>
    <n v="39300"/>
    <n v="8500"/>
    <n v="0.89782608695652177"/>
    <n v="4.8426150121065374E-2"/>
    <n v="0.21628498727735368"/>
    <n v="78.371501272264638"/>
    <n v="432"/>
    <n v="0.95601851851851849"/>
    <n v="21.628498727735369"/>
    <n v="0.90972222222222221"/>
  </r>
  <r>
    <d v="2026-09-04T00:00:00"/>
    <x v="2"/>
    <x v="0"/>
    <x v="0"/>
    <x v="0"/>
    <n v="430"/>
    <n v="405"/>
    <n v="19"/>
    <n v="386"/>
    <n v="47"/>
    <n v="9.7916666666666666E-2"/>
    <n v="100"/>
    <n v="30800"/>
    <n v="38600"/>
    <n v="7800"/>
    <n v="0.94186046511627908"/>
    <n v="4.6913580246913583E-2"/>
    <n v="0.20207253886010362"/>
    <n v="79.792746113989637"/>
    <n v="433"/>
    <n v="0.9353348729792148"/>
    <n v="20.207253886010363"/>
    <n v="0.89145496535796764"/>
  </r>
  <r>
    <d v="2026-09-04T00:00:00"/>
    <x v="2"/>
    <x v="0"/>
    <x v="1"/>
    <x v="1"/>
    <n v="400"/>
    <n v="360"/>
    <n v="10"/>
    <n v="350"/>
    <n v="31"/>
    <n v="6.458333333333334E-2"/>
    <n v="120"/>
    <n v="30800"/>
    <n v="42000"/>
    <n v="11200"/>
    <n v="0.9"/>
    <n v="2.7777777777777776E-2"/>
    <n v="0.26666666666666666"/>
    <n v="88"/>
    <n v="449"/>
    <n v="0.80178173719376389"/>
    <n v="32"/>
    <n v="0.77951002227171495"/>
  </r>
  <r>
    <d v="2026-09-04T00:00:00"/>
    <x v="2"/>
    <x v="0"/>
    <x v="2"/>
    <x v="2"/>
    <n v="480"/>
    <n v="432"/>
    <n v="20"/>
    <n v="412"/>
    <n v="40"/>
    <n v="8.3333333333333329E-2"/>
    <n v="90"/>
    <n v="30800"/>
    <n v="37080"/>
    <n v="6280"/>
    <n v="0.9"/>
    <n v="4.6296296296296294E-2"/>
    <n v="0.16936353829557713"/>
    <n v="74.757281553398059"/>
    <n v="440"/>
    <n v="0.98181818181818181"/>
    <n v="15.242718446601941"/>
    <n v="0.9363636363636364"/>
  </r>
  <r>
    <d v="2026-09-04T00:00:00"/>
    <x v="2"/>
    <x v="1"/>
    <x v="0"/>
    <x v="1"/>
    <n v="380"/>
    <n v="332"/>
    <n v="13"/>
    <n v="319"/>
    <n v="49"/>
    <n v="0.10208333333333333"/>
    <n v="120"/>
    <n v="30800"/>
    <n v="38280"/>
    <n v="7480"/>
    <n v="0.87368421052631584"/>
    <n v="3.9156626506024098E-2"/>
    <n v="0.19540229885057472"/>
    <n v="96.551724137931032"/>
    <n v="431"/>
    <n v="0.77030162412993042"/>
    <n v="23.448275862068964"/>
    <n v="0.74013921113689096"/>
  </r>
  <r>
    <d v="2026-09-04T00:00:00"/>
    <x v="2"/>
    <x v="1"/>
    <x v="1"/>
    <x v="2"/>
    <n v="500"/>
    <n v="429"/>
    <n v="21"/>
    <n v="408"/>
    <n v="41"/>
    <n v="8.5416666666666669E-2"/>
    <n v="90"/>
    <n v="30800"/>
    <n v="36720"/>
    <n v="5920"/>
    <n v="0.85799999999999998"/>
    <n v="4.8951048951048952E-2"/>
    <n v="0.16122004357298475"/>
    <n v="75.490196078431367"/>
    <n v="439"/>
    <n v="0.97722095671981779"/>
    <n v="14.509803921568627"/>
    <n v="0.92938496583143504"/>
  </r>
  <r>
    <d v="2026-09-04T00:00:00"/>
    <x v="2"/>
    <x v="1"/>
    <x v="2"/>
    <x v="0"/>
    <n v="440"/>
    <n v="381"/>
    <n v="26"/>
    <n v="355"/>
    <n v="78"/>
    <n v="0.16250000000000001"/>
    <n v="100"/>
    <n v="30800"/>
    <n v="35500"/>
    <n v="4700"/>
    <n v="0.86590909090909096"/>
    <n v="6.8241469816272965E-2"/>
    <n v="0.13239436619718309"/>
    <n v="86.760563380281695"/>
    <n v="402"/>
    <n v="0.94776119402985071"/>
    <n v="13.23943661971831"/>
    <n v="0.88308457711442789"/>
  </r>
  <r>
    <d v="2026-09-04T00:00:00"/>
    <x v="2"/>
    <x v="2"/>
    <x v="0"/>
    <x v="2"/>
    <n v="510"/>
    <n v="492"/>
    <n v="9"/>
    <n v="483"/>
    <n v="23"/>
    <n v="4.791666666666667E-2"/>
    <n v="90"/>
    <n v="30800"/>
    <n v="43470"/>
    <n v="12670"/>
    <n v="0.96470588235294119"/>
    <n v="1.8292682926829267E-2"/>
    <n v="0.29146537842190018"/>
    <n v="63.768115942028984"/>
    <n v="457"/>
    <n v="1.0765864332603938"/>
    <n v="26.231884057971016"/>
    <n v="1.0568927789934355"/>
  </r>
  <r>
    <d v="2026-09-04T00:00:00"/>
    <x v="2"/>
    <x v="2"/>
    <x v="1"/>
    <x v="0"/>
    <n v="450"/>
    <n v="416"/>
    <n v="17"/>
    <n v="399"/>
    <n v="28"/>
    <n v="5.8333333333333334E-2"/>
    <n v="100"/>
    <n v="30800"/>
    <n v="39900"/>
    <n v="9100"/>
    <n v="0.9244444444444444"/>
    <n v="4.0865384615384616E-2"/>
    <n v="0.22807017543859648"/>
    <n v="77.192982456140356"/>
    <n v="452"/>
    <n v="0.92035398230088494"/>
    <n v="22.807017543859651"/>
    <n v="0.88274336283185839"/>
  </r>
  <r>
    <d v="2026-09-04T00:00:00"/>
    <x v="2"/>
    <x v="2"/>
    <x v="2"/>
    <x v="1"/>
    <n v="410"/>
    <n v="385"/>
    <n v="14"/>
    <n v="371"/>
    <n v="37"/>
    <n v="7.7083333333333337E-2"/>
    <n v="120"/>
    <n v="30800"/>
    <n v="44520"/>
    <n v="13720"/>
    <n v="0.93902439024390238"/>
    <n v="3.6363636363636362E-2"/>
    <n v="0.3081761006289308"/>
    <n v="83.018867924528308"/>
    <n v="443"/>
    <n v="0.86907449209932275"/>
    <n v="36.981132075471699"/>
    <n v="0.83747178329571104"/>
  </r>
  <r>
    <d v="2026-09-05T00:00:00"/>
    <x v="2"/>
    <x v="0"/>
    <x v="0"/>
    <x v="1"/>
    <n v="390"/>
    <n v="355"/>
    <n v="11"/>
    <n v="344"/>
    <n v="36"/>
    <n v="7.4999999999999997E-2"/>
    <n v="120"/>
    <n v="30800"/>
    <n v="41280"/>
    <n v="10480"/>
    <n v="0.91025641025641024"/>
    <n v="3.0985915492957747E-2"/>
    <n v="0.25387596899224807"/>
    <n v="89.534883720930239"/>
    <n v="444"/>
    <n v="0.7995495495495496"/>
    <n v="30.465116279069768"/>
    <n v="0.77477477477477474"/>
  </r>
  <r>
    <d v="2026-09-05T00:00:00"/>
    <x v="2"/>
    <x v="0"/>
    <x v="1"/>
    <x v="2"/>
    <n v="490"/>
    <n v="451"/>
    <n v="19"/>
    <n v="432"/>
    <n v="27"/>
    <n v="5.6250000000000001E-2"/>
    <n v="90"/>
    <n v="30800"/>
    <n v="38880"/>
    <n v="8080"/>
    <n v="0.92040816326530617"/>
    <n v="4.2128603104212861E-2"/>
    <n v="0.20781893004115226"/>
    <n v="71.296296296296291"/>
    <n v="453"/>
    <n v="0.99558498896247238"/>
    <n v="18.703703703703702"/>
    <n v="0.95364238410596025"/>
  </r>
  <r>
    <d v="2026-09-05T00:00:00"/>
    <x v="2"/>
    <x v="0"/>
    <x v="2"/>
    <x v="0"/>
    <n v="460"/>
    <n v="404"/>
    <n v="24"/>
    <n v="380"/>
    <n v="59"/>
    <n v="0.12291666666666666"/>
    <n v="100"/>
    <n v="30800"/>
    <n v="38000"/>
    <n v="7200"/>
    <n v="0.87826086956521743"/>
    <n v="5.9405940594059403E-2"/>
    <n v="0.18947368421052632"/>
    <n v="81.05263157894737"/>
    <n v="421"/>
    <n v="0.95961995249406173"/>
    <n v="18.94736842105263"/>
    <n v="0.90261282660332542"/>
  </r>
  <r>
    <d v="2026-09-05T00:00:00"/>
    <x v="2"/>
    <x v="1"/>
    <x v="0"/>
    <x v="2"/>
    <n v="490"/>
    <n v="446"/>
    <n v="19"/>
    <n v="427"/>
    <n v="52"/>
    <n v="0.10833333333333334"/>
    <n v="90"/>
    <n v="30800"/>
    <n v="38430"/>
    <n v="7630"/>
    <n v="0.91020408163265309"/>
    <n v="4.2600896860986545E-2"/>
    <n v="0.19854280510018216"/>
    <n v="72.131147540983605"/>
    <n v="428"/>
    <n v="1.0420560747663552"/>
    <n v="17.868852459016395"/>
    <n v="0.99766355140186913"/>
  </r>
  <r>
    <d v="2026-09-05T00:00:00"/>
    <x v="2"/>
    <x v="1"/>
    <x v="1"/>
    <x v="0"/>
    <n v="440"/>
    <n v="388"/>
    <n v="24"/>
    <n v="364"/>
    <n v="60"/>
    <n v="0.125"/>
    <n v="100"/>
    <n v="30800"/>
    <n v="36400"/>
    <n v="5600"/>
    <n v="0.88181818181818183"/>
    <n v="6.1855670103092786E-2"/>
    <n v="0.15384615384615385"/>
    <n v="84.615384615384613"/>
    <n v="420"/>
    <n v="0.92380952380952386"/>
    <n v="15.384615384615385"/>
    <n v="0.8666666666666667"/>
  </r>
  <r>
    <d v="2026-09-05T00:00:00"/>
    <x v="2"/>
    <x v="1"/>
    <x v="2"/>
    <x v="1"/>
    <n v="400"/>
    <n v="345"/>
    <n v="22"/>
    <n v="323"/>
    <n v="56"/>
    <n v="0.11666666666666667"/>
    <n v="120"/>
    <n v="30800"/>
    <n v="38760"/>
    <n v="7960"/>
    <n v="0.86250000000000004"/>
    <n v="6.3768115942028983E-2"/>
    <n v="0.20536635706914344"/>
    <n v="95.356037151702793"/>
    <n v="424"/>
    <n v="0.81367924528301883"/>
    <n v="24.643962848297214"/>
    <n v="0.7617924528301887"/>
  </r>
  <r>
    <d v="2026-09-05T00:00:00"/>
    <x v="2"/>
    <x v="2"/>
    <x v="0"/>
    <x v="0"/>
    <n v="450"/>
    <n v="422"/>
    <n v="17"/>
    <n v="405"/>
    <n v="17"/>
    <n v="3.5416666666666666E-2"/>
    <n v="100"/>
    <n v="30800"/>
    <n v="40500"/>
    <n v="9700"/>
    <n v="0.93777777777777782"/>
    <n v="4.0284360189573459E-2"/>
    <n v="0.23950617283950618"/>
    <n v="76.049382716049379"/>
    <n v="463"/>
    <n v="0.91144708423326137"/>
    <n v="23.950617283950617"/>
    <n v="0.87473002159827218"/>
  </r>
  <r>
    <d v="2026-09-05T00:00:00"/>
    <x v="2"/>
    <x v="2"/>
    <x v="1"/>
    <x v="1"/>
    <n v="410"/>
    <n v="375"/>
    <n v="9"/>
    <n v="366"/>
    <n v="27"/>
    <n v="5.6250000000000001E-2"/>
    <n v="120"/>
    <n v="30800"/>
    <n v="43920"/>
    <n v="13120"/>
    <n v="0.91463414634146345"/>
    <n v="2.4E-2"/>
    <n v="0.2987249544626594"/>
    <n v="84.15300546448087"/>
    <n v="453"/>
    <n v="0.82781456953642385"/>
    <n v="35.846994535519123"/>
    <n v="0.80794701986754969"/>
  </r>
  <r>
    <d v="2026-09-05T00:00:00"/>
    <x v="2"/>
    <x v="2"/>
    <x v="2"/>
    <x v="2"/>
    <n v="500"/>
    <n v="467"/>
    <n v="18"/>
    <n v="449"/>
    <n v="35"/>
    <n v="7.2916666666666671E-2"/>
    <n v="90"/>
    <n v="30800"/>
    <n v="40410"/>
    <n v="9610"/>
    <n v="0.93400000000000005"/>
    <n v="3.8543897216274089E-2"/>
    <n v="0.23781242266765651"/>
    <n v="68.596881959910917"/>
    <n v="445"/>
    <n v="1.0494382022471911"/>
    <n v="21.403118040089087"/>
    <n v="1.0089887640449438"/>
  </r>
  <r>
    <d v="2026-09-06T00:00:00"/>
    <x v="2"/>
    <x v="0"/>
    <x v="0"/>
    <x v="2"/>
    <n v="490"/>
    <n v="457"/>
    <n v="18"/>
    <n v="439"/>
    <n v="15"/>
    <n v="3.125E-2"/>
    <n v="90"/>
    <n v="30800"/>
    <n v="39510"/>
    <n v="8710"/>
    <n v="0.93265306122448977"/>
    <n v="3.9387308533916851E-2"/>
    <n v="0.22045051885598582"/>
    <n v="70.159453302961282"/>
    <n v="465"/>
    <n v="0.98279569892473118"/>
    <n v="19.840546697038725"/>
    <n v="0.94408602150537635"/>
  </r>
  <r>
    <d v="2026-09-06T00:00:00"/>
    <x v="2"/>
    <x v="0"/>
    <x v="1"/>
    <x v="0"/>
    <n v="450"/>
    <n v="403"/>
    <n v="18"/>
    <n v="385"/>
    <n v="31"/>
    <n v="6.458333333333334E-2"/>
    <n v="100"/>
    <n v="30800"/>
    <n v="38500"/>
    <n v="7700"/>
    <n v="0.89555555555555555"/>
    <n v="4.4665012406947889E-2"/>
    <n v="0.2"/>
    <n v="80"/>
    <n v="449"/>
    <n v="0.89755011135857465"/>
    <n v="20"/>
    <n v="0.85746102449888639"/>
  </r>
  <r>
    <d v="2026-09-06T00:00:00"/>
    <x v="2"/>
    <x v="0"/>
    <x v="2"/>
    <x v="1"/>
    <n v="400"/>
    <n v="361"/>
    <n v="15"/>
    <n v="346"/>
    <n v="44"/>
    <n v="9.166666666666666E-2"/>
    <n v="120"/>
    <n v="30800"/>
    <n v="41520"/>
    <n v="10720"/>
    <n v="0.90249999999999997"/>
    <n v="4.1551246537396121E-2"/>
    <n v="0.25818882466281312"/>
    <n v="89.017341040462426"/>
    <n v="436"/>
    <n v="0.82798165137614677"/>
    <n v="30.982658959537574"/>
    <n v="0.79357798165137616"/>
  </r>
  <r>
    <d v="2026-09-06T00:00:00"/>
    <x v="2"/>
    <x v="1"/>
    <x v="0"/>
    <x v="0"/>
    <n v="460"/>
    <n v="396"/>
    <n v="25"/>
    <n v="371"/>
    <n v="60"/>
    <n v="0.125"/>
    <n v="100"/>
    <n v="30800"/>
    <n v="37100"/>
    <n v="6300"/>
    <n v="0.86086956521739133"/>
    <n v="6.3131313131313135E-2"/>
    <n v="0.16981132075471697"/>
    <n v="83.018867924528308"/>
    <n v="420"/>
    <n v="0.94285714285714284"/>
    <n v="16.981132075471699"/>
    <n v="0.8833333333333333"/>
  </r>
  <r>
    <d v="2026-09-06T00:00:00"/>
    <x v="2"/>
    <x v="1"/>
    <x v="1"/>
    <x v="1"/>
    <n v="390"/>
    <n v="337"/>
    <n v="17"/>
    <n v="320"/>
    <n v="49"/>
    <n v="0.10208333333333333"/>
    <n v="120"/>
    <n v="30800"/>
    <n v="38400"/>
    <n v="7600"/>
    <n v="0.86410256410256414"/>
    <n v="5.0445103857566766E-2"/>
    <n v="0.19791666666666666"/>
    <n v="96.25"/>
    <n v="431"/>
    <n v="0.78190255220417637"/>
    <n v="23.75"/>
    <n v="0.74245939675174011"/>
  </r>
  <r>
    <d v="2026-09-06T00:00:00"/>
    <x v="2"/>
    <x v="1"/>
    <x v="2"/>
    <x v="2"/>
    <n v="500"/>
    <n v="419"/>
    <n v="27"/>
    <n v="392"/>
    <n v="64"/>
    <n v="0.13333333333333333"/>
    <n v="90"/>
    <n v="30800"/>
    <n v="35280"/>
    <n v="4480"/>
    <n v="0.83799999999999997"/>
    <n v="6.4439140811455853E-2"/>
    <n v="0.12698412698412698"/>
    <n v="78.571428571428569"/>
    <n v="416"/>
    <n v="1.0072115384615385"/>
    <n v="11.428571428571429"/>
    <n v="0.94230769230769229"/>
  </r>
  <r>
    <d v="2026-09-06T00:00:00"/>
    <x v="2"/>
    <x v="2"/>
    <x v="0"/>
    <x v="1"/>
    <n v="400"/>
    <n v="378"/>
    <n v="8"/>
    <n v="370"/>
    <n v="17"/>
    <n v="3.5416666666666666E-2"/>
    <n v="120"/>
    <n v="30800"/>
    <n v="44400"/>
    <n v="13600"/>
    <n v="0.94499999999999995"/>
    <n v="2.1164021164021163E-2"/>
    <n v="0.30630630630630629"/>
    <n v="83.243243243243242"/>
    <n v="463"/>
    <n v="0.81641468682505403"/>
    <n v="36.756756756756758"/>
    <n v="0.79913606911447088"/>
  </r>
  <r>
    <d v="2026-09-06T00:00:00"/>
    <x v="2"/>
    <x v="2"/>
    <x v="1"/>
    <x v="2"/>
    <n v="490"/>
    <n v="476"/>
    <n v="12"/>
    <n v="464"/>
    <n v="31"/>
    <n v="6.458333333333334E-2"/>
    <n v="90"/>
    <n v="30800"/>
    <n v="41760"/>
    <n v="10960"/>
    <n v="0.97142857142857142"/>
    <n v="2.5210084033613446E-2"/>
    <n v="0.26245210727969348"/>
    <n v="66.379310344827587"/>
    <n v="449"/>
    <n v="1.0601336302895323"/>
    <n v="23.620689655172413"/>
    <n v="1.0334075723830736"/>
  </r>
  <r>
    <d v="2026-09-06T00:00:00"/>
    <x v="2"/>
    <x v="2"/>
    <x v="2"/>
    <x v="0"/>
    <n v="430"/>
    <n v="398"/>
    <n v="21"/>
    <n v="377"/>
    <n v="33"/>
    <n v="6.8750000000000006E-2"/>
    <n v="100"/>
    <n v="30800"/>
    <n v="37700"/>
    <n v="6900"/>
    <n v="0.92558139534883721"/>
    <n v="5.2763819095477386E-2"/>
    <n v="0.1830238726790451"/>
    <n v="81.697612732095493"/>
    <n v="447"/>
    <n v="0.89038031319910516"/>
    <n v="18.302387267904511"/>
    <n v="0.84340044742729303"/>
  </r>
  <r>
    <d v="2026-09-07T00:00:00"/>
    <x v="2"/>
    <x v="0"/>
    <x v="0"/>
    <x v="0"/>
    <n v="430"/>
    <n v="393"/>
    <n v="14"/>
    <n v="379"/>
    <n v="38"/>
    <n v="7.9166666666666663E-2"/>
    <n v="100"/>
    <n v="30800"/>
    <n v="37900"/>
    <n v="7100"/>
    <n v="0.913953488372093"/>
    <n v="3.5623409669211195E-2"/>
    <n v="0.18733509234828497"/>
    <n v="81.266490765171497"/>
    <n v="442"/>
    <n v="0.88914027149321262"/>
    <n v="18.733509234828496"/>
    <n v="0.85746606334841624"/>
  </r>
  <r>
    <d v="2026-09-07T00:00:00"/>
    <x v="2"/>
    <x v="0"/>
    <x v="1"/>
    <x v="1"/>
    <n v="400"/>
    <n v="377"/>
    <n v="14"/>
    <n v="363"/>
    <n v="30"/>
    <n v="6.25E-2"/>
    <n v="120"/>
    <n v="30800"/>
    <n v="43560"/>
    <n v="12760"/>
    <n v="0.9425"/>
    <n v="3.7135278514588858E-2"/>
    <n v="0.29292929292929293"/>
    <n v="84.848484848484844"/>
    <n v="450"/>
    <n v="0.83777777777777773"/>
    <n v="35.151515151515149"/>
    <n v="0.80666666666666664"/>
  </r>
  <r>
    <d v="2026-09-07T00:00:00"/>
    <x v="2"/>
    <x v="0"/>
    <x v="2"/>
    <x v="2"/>
    <n v="490"/>
    <n v="447"/>
    <n v="18"/>
    <n v="429"/>
    <n v="29"/>
    <n v="6.0416666666666667E-2"/>
    <n v="90"/>
    <n v="30800"/>
    <n v="38610"/>
    <n v="7810"/>
    <n v="0.91224489795918362"/>
    <n v="4.0268456375838924E-2"/>
    <n v="0.20227920227920229"/>
    <n v="71.794871794871796"/>
    <n v="451"/>
    <n v="0.99113082039911304"/>
    <n v="18.205128205128204"/>
    <n v="0.95121951219512191"/>
  </r>
  <r>
    <d v="2026-09-07T00:00:00"/>
    <x v="2"/>
    <x v="1"/>
    <x v="0"/>
    <x v="1"/>
    <n v="390"/>
    <n v="344"/>
    <n v="16"/>
    <n v="328"/>
    <n v="44"/>
    <n v="9.166666666666666E-2"/>
    <n v="120"/>
    <n v="30800"/>
    <n v="39360"/>
    <n v="8560"/>
    <n v="0.88205128205128203"/>
    <n v="4.6511627906976744E-2"/>
    <n v="0.21747967479674796"/>
    <n v="93.902439024390247"/>
    <n v="436"/>
    <n v="0.78899082568807344"/>
    <n v="26.097560975609756"/>
    <n v="0.75229357798165142"/>
  </r>
  <r>
    <d v="2026-09-07T00:00:00"/>
    <x v="2"/>
    <x v="1"/>
    <x v="1"/>
    <x v="2"/>
    <n v="510"/>
    <n v="447"/>
    <n v="25"/>
    <n v="422"/>
    <n v="39"/>
    <n v="8.1250000000000003E-2"/>
    <n v="90"/>
    <n v="30800"/>
    <n v="37980"/>
    <n v="7180"/>
    <n v="0.87647058823529411"/>
    <n v="5.5928411633109618E-2"/>
    <n v="0.18904686677198526"/>
    <n v="72.985781990521332"/>
    <n v="441"/>
    <n v="1.0136054421768708"/>
    <n v="17.014218009478672"/>
    <n v="0.95691609977324266"/>
  </r>
  <r>
    <d v="2026-09-07T00:00:00"/>
    <x v="2"/>
    <x v="1"/>
    <x v="2"/>
    <x v="0"/>
    <n v="460"/>
    <n v="380"/>
    <n v="26"/>
    <n v="354"/>
    <n v="78"/>
    <n v="0.16250000000000001"/>
    <n v="100"/>
    <n v="30800"/>
    <n v="35400"/>
    <n v="4600"/>
    <n v="0.82608695652173914"/>
    <n v="6.8421052631578952E-2"/>
    <n v="0.12994350282485875"/>
    <n v="87.005649717514117"/>
    <n v="402"/>
    <n v="0.94527363184079605"/>
    <n v="12.994350282485875"/>
    <n v="0.88059701492537312"/>
  </r>
  <r>
    <d v="2026-09-07T00:00:00"/>
    <x v="2"/>
    <x v="2"/>
    <x v="0"/>
    <x v="2"/>
    <n v="520"/>
    <n v="503"/>
    <n v="10"/>
    <n v="493"/>
    <n v="28"/>
    <n v="5.8333333333333334E-2"/>
    <n v="90"/>
    <n v="30800"/>
    <n v="44370"/>
    <n v="13570"/>
    <n v="0.96730769230769231"/>
    <n v="1.9880715705765408E-2"/>
    <n v="0.30583727743971151"/>
    <n v="62.474645030425961"/>
    <n v="452"/>
    <n v="1.1128318584070795"/>
    <n v="27.525354969574035"/>
    <n v="1.0907079646017699"/>
  </r>
  <r>
    <d v="2026-09-07T00:00:00"/>
    <x v="2"/>
    <x v="2"/>
    <x v="1"/>
    <x v="0"/>
    <n v="430"/>
    <n v="416"/>
    <n v="15"/>
    <n v="401"/>
    <n v="23"/>
    <n v="4.791666666666667E-2"/>
    <n v="100"/>
    <n v="30800"/>
    <n v="40100"/>
    <n v="9300"/>
    <n v="0.96744186046511627"/>
    <n v="3.6057692307692304E-2"/>
    <n v="0.23192019950124687"/>
    <n v="76.807980049875312"/>
    <n v="457"/>
    <n v="0.9102844638949672"/>
    <n v="23.192019950124688"/>
    <n v="0.87746170678336977"/>
  </r>
  <r>
    <d v="2026-09-07T00:00:00"/>
    <x v="2"/>
    <x v="2"/>
    <x v="2"/>
    <x v="1"/>
    <n v="400"/>
    <n v="377"/>
    <n v="11"/>
    <n v="366"/>
    <n v="24"/>
    <n v="0.05"/>
    <n v="120"/>
    <n v="30800"/>
    <n v="43920"/>
    <n v="13120"/>
    <n v="0.9425"/>
    <n v="2.9177718832891247E-2"/>
    <n v="0.2987249544626594"/>
    <n v="84.15300546448087"/>
    <n v="456"/>
    <n v="0.82675438596491224"/>
    <n v="35.846994535519123"/>
    <n v="0.80263157894736847"/>
  </r>
  <r>
    <d v="2026-09-08T00:00:00"/>
    <x v="2"/>
    <x v="0"/>
    <x v="0"/>
    <x v="1"/>
    <n v="410"/>
    <n v="390"/>
    <n v="12"/>
    <n v="378"/>
    <n v="25"/>
    <n v="5.2083333333333336E-2"/>
    <n v="120"/>
    <n v="30800"/>
    <n v="45360"/>
    <n v="14560"/>
    <n v="0.95121951219512191"/>
    <n v="3.0769230769230771E-2"/>
    <n v="0.32098765432098764"/>
    <n v="81.481481481481481"/>
    <n v="455"/>
    <n v="0.8571428571428571"/>
    <n v="38.518518518518519"/>
    <n v="0.83076923076923082"/>
  </r>
  <r>
    <d v="2026-09-08T00:00:00"/>
    <x v="2"/>
    <x v="0"/>
    <x v="1"/>
    <x v="2"/>
    <n v="490"/>
    <n v="467"/>
    <n v="16"/>
    <n v="451"/>
    <n v="22"/>
    <n v="4.583333333333333E-2"/>
    <n v="90"/>
    <n v="30800"/>
    <n v="40590"/>
    <n v="9790"/>
    <n v="0.95306122448979591"/>
    <n v="3.4261241970021415E-2"/>
    <n v="0.24119241192411925"/>
    <n v="68.292682926829272"/>
    <n v="458"/>
    <n v="1.0196506550218341"/>
    <n v="21.707317073170731"/>
    <n v="0.98471615720524019"/>
  </r>
  <r>
    <d v="2026-09-08T00:00:00"/>
    <x v="2"/>
    <x v="0"/>
    <x v="2"/>
    <x v="0"/>
    <n v="450"/>
    <n v="404"/>
    <n v="26"/>
    <n v="378"/>
    <n v="41"/>
    <n v="8.5416666666666669E-2"/>
    <n v="100"/>
    <n v="30800"/>
    <n v="37800"/>
    <n v="7000"/>
    <n v="0.89777777777777779"/>
    <n v="6.4356435643564358E-2"/>
    <n v="0.18518518518518517"/>
    <n v="81.481481481481481"/>
    <n v="439"/>
    <n v="0.92027334851936216"/>
    <n v="18.518518518518519"/>
    <n v="0.86104783599088841"/>
  </r>
  <r>
    <d v="2026-09-08T00:00:00"/>
    <x v="2"/>
    <x v="1"/>
    <x v="0"/>
    <x v="2"/>
    <n v="510"/>
    <n v="467"/>
    <n v="27"/>
    <n v="440"/>
    <n v="33"/>
    <n v="6.8750000000000006E-2"/>
    <n v="90"/>
    <n v="30800"/>
    <n v="39600"/>
    <n v="8800"/>
    <n v="0.91568627450980389"/>
    <n v="5.7815845824411134E-2"/>
    <n v="0.22222222222222221"/>
    <n v="70"/>
    <n v="447"/>
    <n v="1.0447427293064877"/>
    <n v="20"/>
    <n v="0.98434004474272929"/>
  </r>
  <r>
    <d v="2026-09-08T00:00:00"/>
    <x v="2"/>
    <x v="1"/>
    <x v="1"/>
    <x v="0"/>
    <n v="460"/>
    <n v="411"/>
    <n v="26"/>
    <n v="385"/>
    <n v="50"/>
    <n v="0.10416666666666667"/>
    <n v="100"/>
    <n v="30800"/>
    <n v="38500"/>
    <n v="7700"/>
    <n v="0.89347826086956517"/>
    <n v="6.3260340632603412E-2"/>
    <n v="0.2"/>
    <n v="80"/>
    <n v="430"/>
    <n v="0.95581395348837206"/>
    <n v="20"/>
    <n v="0.89534883720930236"/>
  </r>
  <r>
    <d v="2026-09-08T00:00:00"/>
    <x v="2"/>
    <x v="1"/>
    <x v="2"/>
    <x v="1"/>
    <n v="400"/>
    <n v="336"/>
    <n v="19"/>
    <n v="317"/>
    <n v="58"/>
    <n v="0.12083333333333333"/>
    <n v="120"/>
    <n v="30800"/>
    <n v="38040"/>
    <n v="7240"/>
    <n v="0.84"/>
    <n v="5.6547619047619048E-2"/>
    <n v="0.19032597266035753"/>
    <n v="97.160883280757105"/>
    <n v="422"/>
    <n v="0.79620853080568721"/>
    <n v="22.839116719242902"/>
    <n v="0.75118483412322279"/>
  </r>
  <r>
    <d v="2026-09-08T00:00:00"/>
    <x v="2"/>
    <x v="2"/>
    <x v="0"/>
    <x v="0"/>
    <n v="440"/>
    <n v="418"/>
    <n v="19"/>
    <n v="399"/>
    <n v="39"/>
    <n v="8.1250000000000003E-2"/>
    <n v="100"/>
    <n v="30800"/>
    <n v="39900"/>
    <n v="9100"/>
    <n v="0.95"/>
    <n v="4.5454545454545456E-2"/>
    <n v="0.22807017543859648"/>
    <n v="77.192982456140356"/>
    <n v="441"/>
    <n v="0.94784580498866211"/>
    <n v="22.807017543859651"/>
    <n v="0.90476190476190477"/>
  </r>
  <r>
    <d v="2026-09-08T00:00:00"/>
    <x v="2"/>
    <x v="2"/>
    <x v="1"/>
    <x v="1"/>
    <n v="410"/>
    <n v="390"/>
    <n v="12"/>
    <n v="378"/>
    <n v="21"/>
    <n v="4.3749999999999997E-2"/>
    <n v="120"/>
    <n v="30800"/>
    <n v="45360"/>
    <n v="14560"/>
    <n v="0.95121951219512191"/>
    <n v="3.0769230769230771E-2"/>
    <n v="0.32098765432098764"/>
    <n v="81.481481481481481"/>
    <n v="459"/>
    <n v="0.84967320261437906"/>
    <n v="38.518518518518519"/>
    <n v="0.82352941176470584"/>
  </r>
  <r>
    <d v="2026-09-08T00:00:00"/>
    <x v="2"/>
    <x v="2"/>
    <x v="2"/>
    <x v="2"/>
    <n v="520"/>
    <n v="462"/>
    <n v="18"/>
    <n v="444"/>
    <n v="38"/>
    <n v="7.9166666666666663E-2"/>
    <n v="90"/>
    <n v="30800"/>
    <n v="39960"/>
    <n v="9160"/>
    <n v="0.88846153846153841"/>
    <n v="3.896103896103896E-2"/>
    <n v="0.22922922922922923"/>
    <n v="69.369369369369366"/>
    <n v="442"/>
    <n v="1.0452488687782806"/>
    <n v="20.63063063063063"/>
    <n v="1.004524886877828"/>
  </r>
  <r>
    <d v="2026-09-09T00:00:00"/>
    <x v="2"/>
    <x v="0"/>
    <x v="0"/>
    <x v="2"/>
    <n v="520"/>
    <n v="472"/>
    <n v="16"/>
    <n v="456"/>
    <n v="36"/>
    <n v="7.4999999999999997E-2"/>
    <n v="90"/>
    <n v="30800"/>
    <n v="41040"/>
    <n v="10240"/>
    <n v="0.90769230769230769"/>
    <n v="3.3898305084745763E-2"/>
    <n v="0.24951267056530213"/>
    <n v="67.543859649122808"/>
    <n v="444"/>
    <n v="1.0630630630630631"/>
    <n v="22.456140350877192"/>
    <n v="1.027027027027027"/>
  </r>
  <r>
    <d v="2026-09-09T00:00:00"/>
    <x v="2"/>
    <x v="0"/>
    <x v="1"/>
    <x v="0"/>
    <n v="440"/>
    <n v="409"/>
    <n v="18"/>
    <n v="391"/>
    <n v="45"/>
    <n v="9.375E-2"/>
    <n v="100"/>
    <n v="30800"/>
    <n v="39100"/>
    <n v="8300"/>
    <n v="0.92954545454545456"/>
    <n v="4.4009779951100246E-2"/>
    <n v="0.21227621483375958"/>
    <n v="78.772378516624045"/>
    <n v="435"/>
    <n v="0.94022988505747129"/>
    <n v="21.227621483375959"/>
    <n v="0.89885057471264362"/>
  </r>
  <r>
    <d v="2026-09-09T00:00:00"/>
    <x v="2"/>
    <x v="0"/>
    <x v="2"/>
    <x v="1"/>
    <n v="420"/>
    <n v="368"/>
    <n v="14"/>
    <n v="354"/>
    <n v="32"/>
    <n v="6.6666666666666666E-2"/>
    <n v="120"/>
    <n v="30800"/>
    <n v="42480"/>
    <n v="11680"/>
    <n v="0.87619047619047619"/>
    <n v="3.8043478260869568E-2"/>
    <n v="0.27495291902071561"/>
    <n v="87.005649717514117"/>
    <n v="448"/>
    <n v="0.8214285714285714"/>
    <n v="32.994350282485875"/>
    <n v="0.7901785714285714"/>
  </r>
  <r>
    <d v="2026-09-09T00:00:00"/>
    <x v="2"/>
    <x v="1"/>
    <x v="0"/>
    <x v="0"/>
    <n v="460"/>
    <n v="409"/>
    <n v="27"/>
    <n v="382"/>
    <n v="52"/>
    <n v="0.10833333333333334"/>
    <n v="100"/>
    <n v="30800"/>
    <n v="38200"/>
    <n v="7400"/>
    <n v="0.88913043478260867"/>
    <n v="6.6014669926650366E-2"/>
    <n v="0.193717277486911"/>
    <n v="80.6282722513089"/>
    <n v="428"/>
    <n v="0.95560747663551404"/>
    <n v="19.3717277486911"/>
    <n v="0.89252336448598135"/>
  </r>
  <r>
    <d v="2026-09-09T00:00:00"/>
    <x v="2"/>
    <x v="1"/>
    <x v="1"/>
    <x v="1"/>
    <n v="420"/>
    <n v="359"/>
    <n v="16"/>
    <n v="343"/>
    <n v="47"/>
    <n v="9.7916666666666666E-2"/>
    <n v="120"/>
    <n v="30800"/>
    <n v="41160"/>
    <n v="10360"/>
    <n v="0.85476190476190472"/>
    <n v="4.456824512534819E-2"/>
    <n v="0.25170068027210885"/>
    <n v="89.795918367346943"/>
    <n v="433"/>
    <n v="0.82909930715935332"/>
    <n v="30.204081632653061"/>
    <n v="0.79214780600461898"/>
  </r>
  <r>
    <d v="2026-09-09T00:00:00"/>
    <x v="2"/>
    <x v="1"/>
    <x v="2"/>
    <x v="2"/>
    <n v="510"/>
    <n v="420"/>
    <n v="27"/>
    <n v="393"/>
    <n v="57"/>
    <n v="0.11874999999999999"/>
    <n v="90"/>
    <n v="30800"/>
    <n v="35370"/>
    <n v="4570"/>
    <n v="0.82352941176470584"/>
    <n v="6.4285714285714279E-2"/>
    <n v="0.12920554141928187"/>
    <n v="78.371501272264638"/>
    <n v="423"/>
    <n v="0.99290780141843971"/>
    <n v="11.628498727735369"/>
    <n v="0.92907801418439717"/>
  </r>
  <r>
    <d v="2026-09-09T00:00:00"/>
    <x v="2"/>
    <x v="2"/>
    <x v="0"/>
    <x v="1"/>
    <n v="410"/>
    <n v="387"/>
    <n v="7"/>
    <n v="380"/>
    <n v="20"/>
    <n v="4.1666666666666664E-2"/>
    <n v="120"/>
    <n v="30800"/>
    <n v="45600"/>
    <n v="14800"/>
    <n v="0.94390243902439019"/>
    <n v="1.8087855297157621E-2"/>
    <n v="0.32456140350877194"/>
    <n v="81.05263157894737"/>
    <n v="460"/>
    <n v="0.84130434782608698"/>
    <n v="38.94736842105263"/>
    <n v="0.82608695652173914"/>
  </r>
  <r>
    <d v="2026-09-09T00:00:00"/>
    <x v="2"/>
    <x v="2"/>
    <x v="1"/>
    <x v="2"/>
    <n v="510"/>
    <n v="491"/>
    <n v="14"/>
    <n v="477"/>
    <n v="20"/>
    <n v="4.1666666666666664E-2"/>
    <n v="90"/>
    <n v="30800"/>
    <n v="42930"/>
    <n v="12130"/>
    <n v="0.96274509803921571"/>
    <n v="2.8513238289205704E-2"/>
    <n v="0.28255299324481714"/>
    <n v="64.570230607966451"/>
    <n v="460"/>
    <n v="1.067391304347826"/>
    <n v="25.429769392033542"/>
    <n v="1.0369565217391303"/>
  </r>
  <r>
    <d v="2026-09-09T00:00:00"/>
    <x v="2"/>
    <x v="2"/>
    <x v="2"/>
    <x v="0"/>
    <n v="430"/>
    <n v="387"/>
    <n v="21"/>
    <n v="366"/>
    <n v="46"/>
    <n v="9.583333333333334E-2"/>
    <n v="100"/>
    <n v="30800"/>
    <n v="36600"/>
    <n v="5800"/>
    <n v="0.9"/>
    <n v="5.4263565891472867E-2"/>
    <n v="0.15846994535519127"/>
    <n v="84.15300546448087"/>
    <n v="434"/>
    <n v="0.89170506912442393"/>
    <n v="15.846994535519126"/>
    <n v="0.84331797235023043"/>
  </r>
  <r>
    <d v="2026-09-10T00:00:00"/>
    <x v="2"/>
    <x v="0"/>
    <x v="0"/>
    <x v="0"/>
    <n v="440"/>
    <n v="405"/>
    <n v="18"/>
    <n v="387"/>
    <n v="36"/>
    <n v="7.4999999999999997E-2"/>
    <n v="100"/>
    <n v="30800"/>
    <n v="38700"/>
    <n v="7900"/>
    <n v="0.92045454545454541"/>
    <n v="4.4444444444444446E-2"/>
    <n v="0.20413436692506459"/>
    <n v="79.586563307493535"/>
    <n v="444"/>
    <n v="0.91216216216216217"/>
    <n v="20.413436692506458"/>
    <n v="0.8716216216216216"/>
  </r>
  <r>
    <d v="2026-09-10T00:00:00"/>
    <x v="2"/>
    <x v="0"/>
    <x v="1"/>
    <x v="1"/>
    <n v="400"/>
    <n v="383"/>
    <n v="11"/>
    <n v="372"/>
    <n v="34"/>
    <n v="7.0833333333333331E-2"/>
    <n v="120"/>
    <n v="30800"/>
    <n v="44640"/>
    <n v="13840"/>
    <n v="0.95750000000000002"/>
    <n v="2.8720626631853787E-2"/>
    <n v="0.31003584229390679"/>
    <n v="82.795698924731184"/>
    <n v="446"/>
    <n v="0.85874439461883412"/>
    <n v="37.204301075268816"/>
    <n v="0.8340807174887892"/>
  </r>
  <r>
    <d v="2026-09-10T00:00:00"/>
    <x v="2"/>
    <x v="0"/>
    <x v="2"/>
    <x v="2"/>
    <n v="490"/>
    <n v="430"/>
    <n v="17"/>
    <n v="413"/>
    <n v="47"/>
    <n v="9.7916666666666666E-2"/>
    <n v="90"/>
    <n v="30800"/>
    <n v="37170"/>
    <n v="6370"/>
    <n v="0.87755102040816324"/>
    <n v="3.9534883720930232E-2"/>
    <n v="0.17137476459510359"/>
    <n v="74.576271186440678"/>
    <n v="433"/>
    <n v="0.99307159353348728"/>
    <n v="15.423728813559322"/>
    <n v="0.95381062355658197"/>
  </r>
  <r>
    <d v="2026-09-10T00:00:00"/>
    <x v="2"/>
    <x v="1"/>
    <x v="0"/>
    <x v="1"/>
    <n v="410"/>
    <n v="370"/>
    <n v="14"/>
    <n v="356"/>
    <n v="46"/>
    <n v="9.583333333333334E-2"/>
    <n v="120"/>
    <n v="30800"/>
    <n v="42720"/>
    <n v="11920"/>
    <n v="0.90243902439024393"/>
    <n v="3.783783783783784E-2"/>
    <n v="0.27902621722846443"/>
    <n v="86.516853932584269"/>
    <n v="434"/>
    <n v="0.85253456221198154"/>
    <n v="33.483146067415731"/>
    <n v="0.82027649769585254"/>
  </r>
  <r>
    <d v="2026-09-10T00:00:00"/>
    <x v="2"/>
    <x v="1"/>
    <x v="1"/>
    <x v="2"/>
    <n v="480"/>
    <n v="415"/>
    <n v="22"/>
    <n v="393"/>
    <n v="54"/>
    <n v="0.1125"/>
    <n v="90"/>
    <n v="30800"/>
    <n v="35370"/>
    <n v="4570"/>
    <n v="0.86458333333333337"/>
    <n v="5.3012048192771083E-2"/>
    <n v="0.12920554141928187"/>
    <n v="78.371501272264638"/>
    <n v="426"/>
    <n v="0.9741784037558685"/>
    <n v="11.628498727735369"/>
    <n v="0.92253521126760563"/>
  </r>
  <r>
    <d v="2026-09-10T00:00:00"/>
    <x v="2"/>
    <x v="1"/>
    <x v="2"/>
    <x v="0"/>
    <n v="460"/>
    <n v="384"/>
    <n v="32"/>
    <n v="352"/>
    <n v="54"/>
    <n v="0.1125"/>
    <n v="100"/>
    <n v="30800"/>
    <n v="35200"/>
    <n v="4400"/>
    <n v="0.83478260869565213"/>
    <n v="8.3333333333333329E-2"/>
    <n v="0.125"/>
    <n v="87.5"/>
    <n v="426"/>
    <n v="0.90140845070422537"/>
    <n v="12.5"/>
    <n v="0.82629107981220662"/>
  </r>
  <r>
    <d v="2026-09-10T00:00:00"/>
    <x v="2"/>
    <x v="2"/>
    <x v="0"/>
    <x v="2"/>
    <n v="510"/>
    <n v="491"/>
    <n v="13"/>
    <n v="478"/>
    <n v="8"/>
    <n v="1.6666666666666666E-2"/>
    <n v="90"/>
    <n v="30800"/>
    <n v="43020"/>
    <n v="12220"/>
    <n v="0.96274509803921571"/>
    <n v="2.6476578411405296E-2"/>
    <n v="0.28405392840539284"/>
    <n v="64.43514644351464"/>
    <n v="472"/>
    <n v="1.0402542372881356"/>
    <n v="25.564853556485357"/>
    <n v="1.0127118644067796"/>
  </r>
  <r>
    <d v="2026-09-10T00:00:00"/>
    <x v="2"/>
    <x v="2"/>
    <x v="1"/>
    <x v="0"/>
    <n v="440"/>
    <n v="426"/>
    <n v="16"/>
    <n v="410"/>
    <n v="23"/>
    <n v="4.791666666666667E-2"/>
    <n v="100"/>
    <n v="30800"/>
    <n v="41000"/>
    <n v="10200"/>
    <n v="0.96818181818181814"/>
    <n v="3.7558685446009391E-2"/>
    <n v="0.24878048780487805"/>
    <n v="75.121951219512198"/>
    <n v="457"/>
    <n v="0.93216630196936545"/>
    <n v="24.878048780487806"/>
    <n v="0.89715536105032823"/>
  </r>
  <r>
    <d v="2026-09-10T00:00:00"/>
    <x v="2"/>
    <x v="2"/>
    <x v="2"/>
    <x v="1"/>
    <n v="390"/>
    <n v="366"/>
    <n v="12"/>
    <n v="354"/>
    <n v="43"/>
    <n v="8.9583333333333334E-2"/>
    <n v="120"/>
    <n v="30800"/>
    <n v="42480"/>
    <n v="11680"/>
    <n v="0.93846153846153846"/>
    <n v="3.2786885245901641E-2"/>
    <n v="0.27495291902071561"/>
    <n v="87.005649717514117"/>
    <n v="437"/>
    <n v="0.8375286041189931"/>
    <n v="32.994350282485875"/>
    <n v="0.81006864988558347"/>
  </r>
  <r>
    <d v="2026-09-11T00:00:00"/>
    <x v="2"/>
    <x v="0"/>
    <x v="0"/>
    <x v="1"/>
    <n v="390"/>
    <n v="369"/>
    <n v="13"/>
    <n v="356"/>
    <n v="20"/>
    <n v="4.1666666666666664E-2"/>
    <n v="120"/>
    <n v="30800"/>
    <n v="42720"/>
    <n v="11920"/>
    <n v="0.94615384615384612"/>
    <n v="3.5230352303523033E-2"/>
    <n v="0.27902621722846443"/>
    <n v="86.516853932584269"/>
    <n v="460"/>
    <n v="0.80217391304347829"/>
    <n v="33.483146067415731"/>
    <n v="0.77391304347826084"/>
  </r>
  <r>
    <d v="2026-09-11T00:00:00"/>
    <x v="2"/>
    <x v="0"/>
    <x v="1"/>
    <x v="2"/>
    <n v="520"/>
    <n v="475"/>
    <n v="19"/>
    <n v="456"/>
    <n v="24"/>
    <n v="0.05"/>
    <n v="90"/>
    <n v="30800"/>
    <n v="41040"/>
    <n v="10240"/>
    <n v="0.91346153846153844"/>
    <n v="0.04"/>
    <n v="0.24951267056530213"/>
    <n v="67.543859649122808"/>
    <n v="456"/>
    <n v="1.0416666666666667"/>
    <n v="22.456140350877192"/>
    <n v="1"/>
  </r>
  <r>
    <d v="2026-09-11T00:00:00"/>
    <x v="2"/>
    <x v="0"/>
    <x v="2"/>
    <x v="0"/>
    <n v="460"/>
    <n v="423"/>
    <n v="23"/>
    <n v="400"/>
    <n v="37"/>
    <n v="7.7083333333333337E-2"/>
    <n v="100"/>
    <n v="30800"/>
    <n v="40000"/>
    <n v="9200"/>
    <n v="0.91956521739130437"/>
    <n v="5.4373522458628844E-2"/>
    <n v="0.23"/>
    <n v="77"/>
    <n v="443"/>
    <n v="0.95485327313769752"/>
    <n v="23"/>
    <n v="0.90293453724604966"/>
  </r>
  <r>
    <d v="2026-09-11T00:00:00"/>
    <x v="2"/>
    <x v="1"/>
    <x v="0"/>
    <x v="2"/>
    <n v="480"/>
    <n v="440"/>
    <n v="22"/>
    <n v="418"/>
    <n v="54"/>
    <n v="0.1125"/>
    <n v="90"/>
    <n v="30800"/>
    <n v="37620"/>
    <n v="6820"/>
    <n v="0.91666666666666663"/>
    <n v="0.05"/>
    <n v="0.18128654970760233"/>
    <n v="73.684210526315795"/>
    <n v="426"/>
    <n v="1.0328638497652582"/>
    <n v="16.315789473684209"/>
    <n v="0.98122065727699526"/>
  </r>
  <r>
    <d v="2026-09-11T00:00:00"/>
    <x v="2"/>
    <x v="1"/>
    <x v="1"/>
    <x v="0"/>
    <n v="450"/>
    <n v="393"/>
    <n v="26"/>
    <n v="367"/>
    <n v="59"/>
    <n v="0.12291666666666666"/>
    <n v="100"/>
    <n v="30800"/>
    <n v="36700"/>
    <n v="5900"/>
    <n v="0.87333333333333329"/>
    <n v="6.6157760814249358E-2"/>
    <n v="0.16076294277929154"/>
    <n v="83.923705722070849"/>
    <n v="421"/>
    <n v="0.9334916864608076"/>
    <n v="16.076294277929154"/>
    <n v="0.87173396674584325"/>
  </r>
  <r>
    <d v="2026-09-11T00:00:00"/>
    <x v="2"/>
    <x v="1"/>
    <x v="2"/>
    <x v="1"/>
    <n v="410"/>
    <n v="343"/>
    <n v="20"/>
    <n v="323"/>
    <n v="53"/>
    <n v="0.11041666666666666"/>
    <n v="120"/>
    <n v="30800"/>
    <n v="38760"/>
    <n v="7960"/>
    <n v="0.8365853658536585"/>
    <n v="5.8309037900874633E-2"/>
    <n v="0.20536635706914344"/>
    <n v="95.356037151702793"/>
    <n v="427"/>
    <n v="0.80327868852459017"/>
    <n v="24.643962848297214"/>
    <n v="0.75644028103044492"/>
  </r>
  <r>
    <d v="2026-09-11T00:00:00"/>
    <x v="2"/>
    <x v="2"/>
    <x v="0"/>
    <x v="0"/>
    <n v="450"/>
    <n v="436"/>
    <n v="18"/>
    <n v="418"/>
    <n v="30"/>
    <n v="6.25E-2"/>
    <n v="100"/>
    <n v="30800"/>
    <n v="41800"/>
    <n v="11000"/>
    <n v="0.96888888888888891"/>
    <n v="4.1284403669724773E-2"/>
    <n v="0.26315789473684209"/>
    <n v="73.684210526315795"/>
    <n v="450"/>
    <n v="0.96888888888888891"/>
    <n v="26.315789473684209"/>
    <n v="0.92888888888888888"/>
  </r>
  <r>
    <d v="2026-09-11T00:00:00"/>
    <x v="2"/>
    <x v="2"/>
    <x v="1"/>
    <x v="1"/>
    <n v="410"/>
    <n v="389"/>
    <n v="8"/>
    <n v="381"/>
    <n v="29"/>
    <n v="6.0416666666666667E-2"/>
    <n v="120"/>
    <n v="30800"/>
    <n v="45720"/>
    <n v="14920"/>
    <n v="0.948780487804878"/>
    <n v="2.056555269922879E-2"/>
    <n v="0.32633420822397202"/>
    <n v="80.839895013123353"/>
    <n v="451"/>
    <n v="0.86252771618625279"/>
    <n v="39.16010498687664"/>
    <n v="0.84478935698447899"/>
  </r>
  <r>
    <d v="2026-09-11T00:00:00"/>
    <x v="2"/>
    <x v="2"/>
    <x v="2"/>
    <x v="2"/>
    <n v="500"/>
    <n v="465"/>
    <n v="20"/>
    <n v="445"/>
    <n v="25"/>
    <n v="5.2083333333333336E-2"/>
    <n v="90"/>
    <n v="30800"/>
    <n v="40050"/>
    <n v="9250"/>
    <n v="0.93"/>
    <n v="4.3010752688172046E-2"/>
    <n v="0.23096129837702872"/>
    <n v="69.213483146067418"/>
    <n v="455"/>
    <n v="1.0219780219780219"/>
    <n v="20.786516853932586"/>
    <n v="0.97802197802197799"/>
  </r>
  <r>
    <d v="2026-09-12T00:00:00"/>
    <x v="2"/>
    <x v="0"/>
    <x v="0"/>
    <x v="2"/>
    <n v="520"/>
    <n v="491"/>
    <n v="12"/>
    <n v="479"/>
    <n v="25"/>
    <n v="5.2083333333333336E-2"/>
    <n v="90"/>
    <n v="30800"/>
    <n v="43110"/>
    <n v="12310"/>
    <n v="0.94423076923076921"/>
    <n v="2.4439918533604887E-2"/>
    <n v="0.28554859661331478"/>
    <n v="64.300626304801668"/>
    <n v="455"/>
    <n v="1.0791208791208791"/>
    <n v="25.699373695198329"/>
    <n v="1.0527472527472528"/>
  </r>
  <r>
    <d v="2026-09-12T00:00:00"/>
    <x v="2"/>
    <x v="0"/>
    <x v="1"/>
    <x v="0"/>
    <n v="450"/>
    <n v="427"/>
    <n v="20"/>
    <n v="407"/>
    <n v="48"/>
    <n v="0.1"/>
    <n v="100"/>
    <n v="30800"/>
    <n v="40700"/>
    <n v="9900"/>
    <n v="0.94888888888888889"/>
    <n v="4.6838407494145202E-2"/>
    <n v="0.24324324324324326"/>
    <n v="75.675675675675677"/>
    <n v="432"/>
    <n v="0.98842592592592593"/>
    <n v="24.324324324324323"/>
    <n v="0.94212962962962965"/>
  </r>
  <r>
    <d v="2026-09-12T00:00:00"/>
    <x v="2"/>
    <x v="0"/>
    <x v="2"/>
    <x v="1"/>
    <n v="390"/>
    <n v="346"/>
    <n v="12"/>
    <n v="334"/>
    <n v="50"/>
    <n v="0.10416666666666667"/>
    <n v="120"/>
    <n v="30800"/>
    <n v="40080"/>
    <n v="9280"/>
    <n v="0.88717948717948714"/>
    <n v="3.4682080924855488E-2"/>
    <n v="0.2315369261477046"/>
    <n v="92.215568862275447"/>
    <n v="430"/>
    <n v="0.8046511627906977"/>
    <n v="27.78443113772455"/>
    <n v="0.77674418604651163"/>
  </r>
  <r>
    <d v="2026-09-12T00:00:00"/>
    <x v="2"/>
    <x v="1"/>
    <x v="0"/>
    <x v="0"/>
    <n v="430"/>
    <n v="392"/>
    <n v="23"/>
    <n v="369"/>
    <n v="56"/>
    <n v="0.11666666666666667"/>
    <n v="100"/>
    <n v="30800"/>
    <n v="36900"/>
    <n v="6100"/>
    <n v="0.91162790697674423"/>
    <n v="5.8673469387755105E-2"/>
    <n v="0.16531165311653118"/>
    <n v="83.468834688346888"/>
    <n v="424"/>
    <n v="0.92452830188679247"/>
    <n v="16.531165311653115"/>
    <n v="0.87028301886792447"/>
  </r>
  <r>
    <d v="2026-09-12T00:00:00"/>
    <x v="2"/>
    <x v="1"/>
    <x v="1"/>
    <x v="1"/>
    <n v="400"/>
    <n v="355"/>
    <n v="17"/>
    <n v="338"/>
    <n v="48"/>
    <n v="0.1"/>
    <n v="120"/>
    <n v="30800"/>
    <n v="40560"/>
    <n v="9760"/>
    <n v="0.88749999999999996"/>
    <n v="4.788732394366197E-2"/>
    <n v="0.24063116370808679"/>
    <n v="91.124260355029591"/>
    <n v="432"/>
    <n v="0.8217592592592593"/>
    <n v="28.875739644970412"/>
    <n v="0.78240740740740744"/>
  </r>
  <r>
    <d v="2026-09-12T00:00:00"/>
    <x v="2"/>
    <x v="1"/>
    <x v="2"/>
    <x v="2"/>
    <n v="490"/>
    <n v="410"/>
    <n v="26"/>
    <n v="384"/>
    <n v="67"/>
    <n v="0.13958333333333334"/>
    <n v="90"/>
    <n v="30800"/>
    <n v="34560"/>
    <n v="3760"/>
    <n v="0.83673469387755106"/>
    <n v="6.3414634146341464E-2"/>
    <n v="0.10879629629629629"/>
    <n v="80.208333333333329"/>
    <n v="413"/>
    <n v="0.99273607748184023"/>
    <n v="9.7916666666666661"/>
    <n v="0.92978208232445525"/>
  </r>
  <r>
    <d v="2026-09-12T00:00:00"/>
    <x v="2"/>
    <x v="2"/>
    <x v="0"/>
    <x v="1"/>
    <n v="410"/>
    <n v="405"/>
    <n v="9"/>
    <n v="396"/>
    <n v="22"/>
    <n v="4.583333333333333E-2"/>
    <n v="120"/>
    <n v="30800"/>
    <n v="47520"/>
    <n v="16720"/>
    <n v="0.98780487804878048"/>
    <n v="2.2222222222222223E-2"/>
    <n v="0.35185185185185186"/>
    <n v="77.777777777777771"/>
    <n v="458"/>
    <n v="0.88427947598253276"/>
    <n v="42.222222222222221"/>
    <n v="0.86462882096069871"/>
  </r>
  <r>
    <d v="2026-09-12T00:00:00"/>
    <x v="2"/>
    <x v="2"/>
    <x v="1"/>
    <x v="2"/>
    <n v="520"/>
    <n v="510"/>
    <n v="13"/>
    <n v="497"/>
    <n v="19"/>
    <n v="3.9583333333333331E-2"/>
    <n v="90"/>
    <n v="30800"/>
    <n v="44730"/>
    <n v="13930"/>
    <n v="0.98076923076923073"/>
    <n v="2.5490196078431372E-2"/>
    <n v="0.31142410015649452"/>
    <n v="61.971830985915496"/>
    <n v="461"/>
    <n v="1.1062906724511932"/>
    <n v="28.028169014084508"/>
    <n v="1.0780911062906724"/>
  </r>
  <r>
    <d v="2026-09-12T00:00:00"/>
    <x v="2"/>
    <x v="2"/>
    <x v="2"/>
    <x v="0"/>
    <n v="440"/>
    <n v="412"/>
    <n v="20"/>
    <n v="392"/>
    <n v="46"/>
    <n v="9.583333333333334E-2"/>
    <n v="100"/>
    <n v="30800"/>
    <n v="39200"/>
    <n v="8400"/>
    <n v="0.9363636363636364"/>
    <n v="4.8543689320388349E-2"/>
    <n v="0.21428571428571427"/>
    <n v="78.571428571428569"/>
    <n v="434"/>
    <n v="0.94930875576036866"/>
    <n v="21.428571428571427"/>
    <n v="0.90322580645161288"/>
  </r>
  <r>
    <d v="2026-09-13T00:00:00"/>
    <x v="2"/>
    <x v="0"/>
    <x v="0"/>
    <x v="0"/>
    <n v="460"/>
    <n v="430"/>
    <n v="19"/>
    <n v="411"/>
    <n v="27"/>
    <n v="5.6250000000000001E-2"/>
    <n v="100"/>
    <n v="30800"/>
    <n v="41100"/>
    <n v="10300"/>
    <n v="0.93478260869565222"/>
    <n v="4.4186046511627906E-2"/>
    <n v="0.25060827250608275"/>
    <n v="74.93917274939173"/>
    <n v="453"/>
    <n v="0.94922737306843263"/>
    <n v="25.060827250608273"/>
    <n v="0.9072847682119205"/>
  </r>
  <r>
    <d v="2026-09-13T00:00:00"/>
    <x v="2"/>
    <x v="0"/>
    <x v="1"/>
    <x v="1"/>
    <n v="410"/>
    <n v="391"/>
    <n v="15"/>
    <n v="376"/>
    <n v="40"/>
    <n v="8.3333333333333329E-2"/>
    <n v="120"/>
    <n v="30800"/>
    <n v="45120"/>
    <n v="14320"/>
    <n v="0.95365853658536581"/>
    <n v="3.8363171355498722E-2"/>
    <n v="0.31737588652482268"/>
    <n v="81.914893617021278"/>
    <n v="440"/>
    <n v="0.88863636363636367"/>
    <n v="38.085106382978722"/>
    <n v="0.8545454545454545"/>
  </r>
  <r>
    <d v="2026-09-13T00:00:00"/>
    <x v="2"/>
    <x v="0"/>
    <x v="2"/>
    <x v="2"/>
    <n v="490"/>
    <n v="442"/>
    <n v="17"/>
    <n v="425"/>
    <n v="33"/>
    <n v="6.8750000000000006E-2"/>
    <n v="90"/>
    <n v="30800"/>
    <n v="38250"/>
    <n v="7450"/>
    <n v="0.90204081632653066"/>
    <n v="3.8461538461538464E-2"/>
    <n v="0.19477124183006536"/>
    <n v="72.470588235294116"/>
    <n v="447"/>
    <n v="0.98881431767337813"/>
    <n v="17.529411764705884"/>
    <n v="0.95078299776286357"/>
  </r>
  <r>
    <d v="2026-09-13T00:00:00"/>
    <x v="2"/>
    <x v="1"/>
    <x v="0"/>
    <x v="1"/>
    <n v="390"/>
    <n v="349"/>
    <n v="13"/>
    <n v="336"/>
    <n v="55"/>
    <n v="0.11458333333333333"/>
    <n v="120"/>
    <n v="30800"/>
    <n v="40320"/>
    <n v="9520"/>
    <n v="0.89487179487179491"/>
    <n v="3.7249283667621778E-2"/>
    <n v="0.2361111111111111"/>
    <n v="91.666666666666671"/>
    <n v="425"/>
    <n v="0.82117647058823529"/>
    <n v="28.333333333333332"/>
    <n v="0.79058823529411759"/>
  </r>
  <r>
    <d v="2026-09-13T00:00:00"/>
    <x v="2"/>
    <x v="1"/>
    <x v="1"/>
    <x v="2"/>
    <n v="510"/>
    <n v="446"/>
    <n v="22"/>
    <n v="424"/>
    <n v="48"/>
    <n v="0.1"/>
    <n v="90"/>
    <n v="30800"/>
    <n v="38160"/>
    <n v="7360"/>
    <n v="0.87450980392156863"/>
    <n v="4.9327354260089683E-2"/>
    <n v="0.19287211740041929"/>
    <n v="72.64150943396227"/>
    <n v="432"/>
    <n v="1.0324074074074074"/>
    <n v="17.358490566037737"/>
    <n v="0.98148148148148151"/>
  </r>
  <r>
    <d v="2026-09-13T00:00:00"/>
    <x v="2"/>
    <x v="1"/>
    <x v="2"/>
    <x v="0"/>
    <n v="430"/>
    <n v="369"/>
    <n v="30"/>
    <n v="339"/>
    <n v="78"/>
    <n v="0.16250000000000001"/>
    <n v="100"/>
    <n v="30800"/>
    <n v="33900"/>
    <n v="3100"/>
    <n v="0.85813953488372097"/>
    <n v="8.1300813008130079E-2"/>
    <n v="9.1445427728613568E-2"/>
    <n v="90.855457227138643"/>
    <n v="402"/>
    <n v="0.91791044776119401"/>
    <n v="9.1445427728613566"/>
    <n v="0.84328358208955223"/>
  </r>
  <r>
    <d v="2026-09-13T00:00:00"/>
    <x v="2"/>
    <x v="2"/>
    <x v="0"/>
    <x v="2"/>
    <n v="510"/>
    <n v="502"/>
    <n v="17"/>
    <n v="485"/>
    <n v="16"/>
    <n v="3.3333333333333333E-2"/>
    <n v="90"/>
    <n v="30800"/>
    <n v="43650"/>
    <n v="12850"/>
    <n v="0.98431372549019602"/>
    <n v="3.386454183266932E-2"/>
    <n v="0.29438717067583048"/>
    <n v="63.505154639175259"/>
    <n v="464"/>
    <n v="1.0818965517241379"/>
    <n v="26.494845360824741"/>
    <n v="1.0452586206896552"/>
  </r>
  <r>
    <d v="2026-09-13T00:00:00"/>
    <x v="2"/>
    <x v="2"/>
    <x v="1"/>
    <x v="0"/>
    <n v="450"/>
    <n v="418"/>
    <n v="17"/>
    <n v="401"/>
    <n v="26"/>
    <n v="5.4166666666666669E-2"/>
    <n v="100"/>
    <n v="30800"/>
    <n v="40100"/>
    <n v="9300"/>
    <n v="0.92888888888888888"/>
    <n v="4.0669856459330141E-2"/>
    <n v="0.23192019950124687"/>
    <n v="76.807980049875312"/>
    <n v="454"/>
    <n v="0.92070484581497802"/>
    <n v="23.192019950124688"/>
    <n v="0.88325991189427311"/>
  </r>
  <r>
    <d v="2026-09-13T00:00:00"/>
    <x v="2"/>
    <x v="2"/>
    <x v="2"/>
    <x v="1"/>
    <n v="410"/>
    <n v="377"/>
    <n v="14"/>
    <n v="363"/>
    <n v="38"/>
    <n v="7.9166666666666663E-2"/>
    <n v="120"/>
    <n v="30800"/>
    <n v="43560"/>
    <n v="12760"/>
    <n v="0.91951219512195126"/>
    <n v="3.7135278514588858E-2"/>
    <n v="0.29292929292929293"/>
    <n v="84.848484848484844"/>
    <n v="442"/>
    <n v="0.8529411764705882"/>
    <n v="35.151515151515149"/>
    <n v="0.82126696832579182"/>
  </r>
  <r>
    <d v="2026-09-14T00:00:00"/>
    <x v="2"/>
    <x v="0"/>
    <x v="0"/>
    <x v="1"/>
    <n v="390"/>
    <n v="373"/>
    <n v="11"/>
    <n v="362"/>
    <n v="37"/>
    <n v="7.7083333333333337E-2"/>
    <n v="120"/>
    <n v="30800"/>
    <n v="43440"/>
    <n v="12640"/>
    <n v="0.95641025641025645"/>
    <n v="2.9490616621983913E-2"/>
    <n v="0.29097605893186002"/>
    <n v="85.082872928176798"/>
    <n v="443"/>
    <n v="0.84198645598194133"/>
    <n v="34.917127071823202"/>
    <n v="0.81715575620767489"/>
  </r>
  <r>
    <d v="2026-09-14T00:00:00"/>
    <x v="2"/>
    <x v="0"/>
    <x v="1"/>
    <x v="2"/>
    <n v="490"/>
    <n v="461"/>
    <n v="15"/>
    <n v="446"/>
    <n v="29"/>
    <n v="6.0416666666666667E-2"/>
    <n v="90"/>
    <n v="30800"/>
    <n v="40140"/>
    <n v="9340"/>
    <n v="0.9408163265306122"/>
    <n v="3.2537960954446853E-2"/>
    <n v="0.23268560039860489"/>
    <n v="69.058295964125563"/>
    <n v="451"/>
    <n v="1.0221729490022173"/>
    <n v="20.941704035874441"/>
    <n v="0.98891352549889133"/>
  </r>
  <r>
    <d v="2026-09-14T00:00:00"/>
    <x v="2"/>
    <x v="0"/>
    <x v="2"/>
    <x v="0"/>
    <n v="440"/>
    <n v="404"/>
    <n v="26"/>
    <n v="378"/>
    <n v="54"/>
    <n v="0.1125"/>
    <n v="100"/>
    <n v="30800"/>
    <n v="37800"/>
    <n v="7000"/>
    <n v="0.91818181818181821"/>
    <n v="6.4356435643564358E-2"/>
    <n v="0.18518518518518517"/>
    <n v="81.481481481481481"/>
    <n v="426"/>
    <n v="0.94835680751173712"/>
    <n v="18.518518518518519"/>
    <n v="0.88732394366197187"/>
  </r>
  <r>
    <d v="2026-09-14T00:00:00"/>
    <x v="2"/>
    <x v="1"/>
    <x v="0"/>
    <x v="2"/>
    <n v="510"/>
    <n v="464"/>
    <n v="24"/>
    <n v="440"/>
    <n v="36"/>
    <n v="7.4999999999999997E-2"/>
    <n v="90"/>
    <n v="30800"/>
    <n v="39600"/>
    <n v="8800"/>
    <n v="0.90980392156862744"/>
    <n v="5.1724137931034482E-2"/>
    <n v="0.22222222222222221"/>
    <n v="70"/>
    <n v="444"/>
    <n v="1.045045045045045"/>
    <n v="20"/>
    <n v="0.99099099099099097"/>
  </r>
  <r>
    <d v="2026-09-14T00:00:00"/>
    <x v="2"/>
    <x v="1"/>
    <x v="1"/>
    <x v="0"/>
    <n v="440"/>
    <n v="397"/>
    <n v="27"/>
    <n v="370"/>
    <n v="68"/>
    <n v="0.14166666666666666"/>
    <n v="100"/>
    <n v="30800"/>
    <n v="37000"/>
    <n v="6200"/>
    <n v="0.90227272727272723"/>
    <n v="6.8010075566750636E-2"/>
    <n v="0.16756756756756758"/>
    <n v="83.243243243243242"/>
    <n v="412"/>
    <n v="0.96359223300970875"/>
    <n v="16.756756756756758"/>
    <n v="0.89805825242718451"/>
  </r>
  <r>
    <d v="2026-09-14T00:00:00"/>
    <x v="2"/>
    <x v="1"/>
    <x v="2"/>
    <x v="1"/>
    <n v="390"/>
    <n v="333"/>
    <n v="19"/>
    <n v="314"/>
    <n v="51"/>
    <n v="0.10625"/>
    <n v="120"/>
    <n v="30800"/>
    <n v="37680"/>
    <n v="6880"/>
    <n v="0.85384615384615381"/>
    <n v="5.7057057057057055E-2"/>
    <n v="0.18259023354564755"/>
    <n v="98.089171974522287"/>
    <n v="429"/>
    <n v="0.77622377622377625"/>
    <n v="21.910828025477706"/>
    <n v="0.73193473193473191"/>
  </r>
  <r>
    <d v="2026-09-14T00:00:00"/>
    <x v="2"/>
    <x v="2"/>
    <x v="0"/>
    <x v="0"/>
    <n v="440"/>
    <n v="420"/>
    <n v="17"/>
    <n v="403"/>
    <n v="17"/>
    <n v="3.5416666666666666E-2"/>
    <n v="100"/>
    <n v="30800"/>
    <n v="40300"/>
    <n v="9500"/>
    <n v="0.95454545454545459"/>
    <n v="4.0476190476190478E-2"/>
    <n v="0.23573200992555832"/>
    <n v="76.426799007444174"/>
    <n v="463"/>
    <n v="0.90712742980561556"/>
    <n v="23.573200992555833"/>
    <n v="0.87041036717062636"/>
  </r>
  <r>
    <d v="2026-09-14T00:00:00"/>
    <x v="2"/>
    <x v="2"/>
    <x v="1"/>
    <x v="1"/>
    <n v="400"/>
    <n v="391"/>
    <n v="10"/>
    <n v="381"/>
    <n v="25"/>
    <n v="5.2083333333333336E-2"/>
    <n v="120"/>
    <n v="30800"/>
    <n v="45720"/>
    <n v="14920"/>
    <n v="0.97750000000000004"/>
    <n v="2.557544757033248E-2"/>
    <n v="0.32633420822397202"/>
    <n v="80.839895013123353"/>
    <n v="455"/>
    <n v="0.85934065934065929"/>
    <n v="39.16010498687664"/>
    <n v="0.83736263736263739"/>
  </r>
  <r>
    <d v="2026-09-14T00:00:00"/>
    <x v="2"/>
    <x v="2"/>
    <x v="2"/>
    <x v="2"/>
    <n v="490"/>
    <n v="440"/>
    <n v="15"/>
    <n v="425"/>
    <n v="21"/>
    <n v="4.3749999999999997E-2"/>
    <n v="90"/>
    <n v="30800"/>
    <n v="38250"/>
    <n v="7450"/>
    <n v="0.89795918367346939"/>
    <n v="3.4090909090909088E-2"/>
    <n v="0.19477124183006536"/>
    <n v="72.470588235294116"/>
    <n v="459"/>
    <n v="0.95860566448801743"/>
    <n v="17.529411764705884"/>
    <n v="0.92592592592592593"/>
  </r>
  <r>
    <d v="2026-09-15T00:00:00"/>
    <x v="2"/>
    <x v="0"/>
    <x v="0"/>
    <x v="2"/>
    <n v="480"/>
    <n v="452"/>
    <n v="14"/>
    <n v="438"/>
    <n v="18"/>
    <n v="3.7499999999999999E-2"/>
    <n v="90"/>
    <n v="30800"/>
    <n v="39420"/>
    <n v="8620"/>
    <n v="0.94166666666666665"/>
    <n v="3.0973451327433628E-2"/>
    <n v="0.21867072552004058"/>
    <n v="70.319634703196343"/>
    <n v="462"/>
    <n v="0.97835497835497831"/>
    <n v="19.680365296803654"/>
    <n v="0.94805194805194803"/>
  </r>
  <r>
    <d v="2026-09-15T00:00:00"/>
    <x v="2"/>
    <x v="0"/>
    <x v="1"/>
    <x v="0"/>
    <n v="450"/>
    <n v="418"/>
    <n v="21"/>
    <n v="397"/>
    <n v="33"/>
    <n v="6.8750000000000006E-2"/>
    <n v="100"/>
    <n v="30800"/>
    <n v="39700"/>
    <n v="8900"/>
    <n v="0.92888888888888888"/>
    <n v="5.0239234449760764E-2"/>
    <n v="0.22418136020151133"/>
    <n v="77.581863979848862"/>
    <n v="447"/>
    <n v="0.93512304250559286"/>
    <n v="22.418136020151135"/>
    <n v="0.88814317673378074"/>
  </r>
  <r>
    <d v="2026-09-15T00:00:00"/>
    <x v="2"/>
    <x v="0"/>
    <x v="2"/>
    <x v="1"/>
    <n v="410"/>
    <n v="373"/>
    <n v="17"/>
    <n v="356"/>
    <n v="38"/>
    <n v="7.9166666666666663E-2"/>
    <n v="120"/>
    <n v="30800"/>
    <n v="42720"/>
    <n v="11920"/>
    <n v="0.90975609756097564"/>
    <n v="4.5576407506702415E-2"/>
    <n v="0.27902621722846443"/>
    <n v="86.516853932584269"/>
    <n v="442"/>
    <n v="0.84389140271493213"/>
    <n v="33.483146067415731"/>
    <n v="0.80542986425339369"/>
  </r>
  <r>
    <d v="2026-09-15T00:00:00"/>
    <x v="2"/>
    <x v="1"/>
    <x v="0"/>
    <x v="0"/>
    <n v="450"/>
    <n v="411"/>
    <n v="22"/>
    <n v="389"/>
    <n v="41"/>
    <n v="8.5416666666666669E-2"/>
    <n v="100"/>
    <n v="30800"/>
    <n v="38900"/>
    <n v="8100"/>
    <n v="0.91333333333333333"/>
    <n v="5.3527980535279802E-2"/>
    <n v="0.20822622107969152"/>
    <n v="79.177377892030847"/>
    <n v="439"/>
    <n v="0.9362186788154897"/>
    <n v="20.822622107969153"/>
    <n v="0.88610478359908884"/>
  </r>
  <r>
    <d v="2026-09-15T00:00:00"/>
    <x v="2"/>
    <x v="1"/>
    <x v="1"/>
    <x v="1"/>
    <n v="390"/>
    <n v="336"/>
    <n v="16"/>
    <n v="320"/>
    <n v="55"/>
    <n v="0.11458333333333333"/>
    <n v="120"/>
    <n v="30800"/>
    <n v="38400"/>
    <n v="7600"/>
    <n v="0.86153846153846159"/>
    <n v="4.7619047619047616E-2"/>
    <n v="0.19791666666666666"/>
    <n v="96.25"/>
    <n v="425"/>
    <n v="0.79058823529411759"/>
    <n v="23.75"/>
    <n v="0.75294117647058822"/>
  </r>
  <r>
    <d v="2026-09-15T00:00:00"/>
    <x v="2"/>
    <x v="1"/>
    <x v="2"/>
    <x v="2"/>
    <n v="510"/>
    <n v="438"/>
    <n v="30"/>
    <n v="408"/>
    <n v="46"/>
    <n v="9.583333333333334E-2"/>
    <n v="90"/>
    <n v="30800"/>
    <n v="36720"/>
    <n v="5920"/>
    <n v="0.85882352941176465"/>
    <n v="6.8493150684931503E-2"/>
    <n v="0.16122004357298475"/>
    <n v="75.490196078431367"/>
    <n v="434"/>
    <n v="1.0092165898617511"/>
    <n v="14.509803921568627"/>
    <n v="0.94009216589861755"/>
  </r>
  <r>
    <d v="2026-09-15T00:00:00"/>
    <x v="2"/>
    <x v="2"/>
    <x v="0"/>
    <x v="1"/>
    <n v="400"/>
    <n v="389"/>
    <n v="8"/>
    <n v="381"/>
    <n v="10"/>
    <n v="2.0833333333333332E-2"/>
    <n v="120"/>
    <n v="30800"/>
    <n v="45720"/>
    <n v="14920"/>
    <n v="0.97250000000000003"/>
    <n v="2.056555269922879E-2"/>
    <n v="0.32633420822397202"/>
    <n v="80.839895013123353"/>
    <n v="470"/>
    <n v="0.82765957446808514"/>
    <n v="39.16010498687664"/>
    <n v="0.81063829787234043"/>
  </r>
  <r>
    <d v="2026-09-15T00:00:00"/>
    <x v="2"/>
    <x v="2"/>
    <x v="1"/>
    <x v="2"/>
    <n v="520"/>
    <n v="487"/>
    <n v="18"/>
    <n v="469"/>
    <n v="17"/>
    <n v="3.5416666666666666E-2"/>
    <n v="90"/>
    <n v="30800"/>
    <n v="42210"/>
    <n v="11410"/>
    <n v="0.93653846153846154"/>
    <n v="3.6960985626283367E-2"/>
    <n v="0.27031509121061359"/>
    <n v="65.671641791044777"/>
    <n v="463"/>
    <n v="1.0518358531317495"/>
    <n v="24.328358208955223"/>
    <n v="1.0129589632829374"/>
  </r>
  <r>
    <d v="2026-09-15T00:00:00"/>
    <x v="2"/>
    <x v="2"/>
    <x v="2"/>
    <x v="0"/>
    <n v="440"/>
    <n v="400"/>
    <n v="18"/>
    <n v="382"/>
    <n v="50"/>
    <n v="0.10416666666666667"/>
    <n v="100"/>
    <n v="30800"/>
    <n v="38200"/>
    <n v="7400"/>
    <n v="0.90909090909090906"/>
    <n v="4.4999999999999998E-2"/>
    <n v="0.193717277486911"/>
    <n v="80.6282722513089"/>
    <n v="430"/>
    <n v="0.93023255813953487"/>
    <n v="19.3717277486911"/>
    <n v="0.88837209302325582"/>
  </r>
  <r>
    <d v="2026-09-16T00:00:00"/>
    <x v="2"/>
    <x v="0"/>
    <x v="0"/>
    <x v="0"/>
    <n v="460"/>
    <n v="442"/>
    <n v="18"/>
    <n v="424"/>
    <n v="32"/>
    <n v="6.6666666666666666E-2"/>
    <n v="100"/>
    <n v="30800"/>
    <n v="42400"/>
    <n v="11600"/>
    <n v="0.96086956521739131"/>
    <n v="4.072398190045249E-2"/>
    <n v="0.27358490566037735"/>
    <n v="72.64150943396227"/>
    <n v="448"/>
    <n v="0.9866071428571429"/>
    <n v="27.358490566037737"/>
    <n v="0.9464285714285714"/>
  </r>
  <r>
    <d v="2026-09-16T00:00:00"/>
    <x v="2"/>
    <x v="0"/>
    <x v="1"/>
    <x v="1"/>
    <n v="390"/>
    <n v="355"/>
    <n v="12"/>
    <n v="343"/>
    <n v="40"/>
    <n v="8.3333333333333329E-2"/>
    <n v="120"/>
    <n v="30800"/>
    <n v="41160"/>
    <n v="10360"/>
    <n v="0.91025641025641024"/>
    <n v="3.3802816901408447E-2"/>
    <n v="0.25170068027210885"/>
    <n v="89.795918367346943"/>
    <n v="440"/>
    <n v="0.80681818181818177"/>
    <n v="30.204081632653061"/>
    <n v="0.77954545454545454"/>
  </r>
  <r>
    <d v="2026-09-16T00:00:00"/>
    <x v="2"/>
    <x v="0"/>
    <x v="2"/>
    <x v="2"/>
    <n v="480"/>
    <n v="421"/>
    <n v="16"/>
    <n v="405"/>
    <n v="47"/>
    <n v="9.7916666666666666E-2"/>
    <n v="90"/>
    <n v="30800"/>
    <n v="36450"/>
    <n v="5650"/>
    <n v="0.87708333333333333"/>
    <n v="3.800475059382423E-2"/>
    <n v="0.15500685871056241"/>
    <n v="76.049382716049379"/>
    <n v="433"/>
    <n v="0.97228637413394914"/>
    <n v="13.950617283950617"/>
    <n v="0.9353348729792148"/>
  </r>
  <r>
    <d v="2026-09-16T00:00:00"/>
    <x v="2"/>
    <x v="1"/>
    <x v="0"/>
    <x v="1"/>
    <n v="400"/>
    <n v="352"/>
    <n v="14"/>
    <n v="338"/>
    <n v="41"/>
    <n v="8.5416666666666669E-2"/>
    <n v="120"/>
    <n v="30800"/>
    <n v="40560"/>
    <n v="9760"/>
    <n v="0.88"/>
    <n v="3.9772727272727272E-2"/>
    <n v="0.24063116370808679"/>
    <n v="91.124260355029591"/>
    <n v="439"/>
    <n v="0.80182232346241455"/>
    <n v="28.875739644970412"/>
    <n v="0.76993166287015946"/>
  </r>
  <r>
    <d v="2026-09-16T00:00:00"/>
    <x v="2"/>
    <x v="1"/>
    <x v="1"/>
    <x v="2"/>
    <n v="490"/>
    <n v="422"/>
    <n v="26"/>
    <n v="396"/>
    <n v="47"/>
    <n v="9.7916666666666666E-2"/>
    <n v="90"/>
    <n v="30800"/>
    <n v="35640"/>
    <n v="4840"/>
    <n v="0.86122448979591837"/>
    <n v="6.1611374407582936E-2"/>
    <n v="0.13580246913580246"/>
    <n v="77.777777777777771"/>
    <n v="433"/>
    <n v="0.97459584295612012"/>
    <n v="12.222222222222221"/>
    <n v="0.91454965357967666"/>
  </r>
  <r>
    <d v="2026-09-16T00:00:00"/>
    <x v="2"/>
    <x v="1"/>
    <x v="2"/>
    <x v="0"/>
    <n v="450"/>
    <n v="396"/>
    <n v="28"/>
    <n v="368"/>
    <n v="74"/>
    <n v="0.15416666666666667"/>
    <n v="100"/>
    <n v="30800"/>
    <n v="36800"/>
    <n v="6000"/>
    <n v="0.88"/>
    <n v="7.0707070707070704E-2"/>
    <n v="0.16304347826086957"/>
    <n v="83.695652173913047"/>
    <n v="406"/>
    <n v="0.97536945812807885"/>
    <n v="16.304347826086957"/>
    <n v="0.90640394088669951"/>
  </r>
  <r>
    <d v="2026-09-16T00:00:00"/>
    <x v="2"/>
    <x v="2"/>
    <x v="0"/>
    <x v="2"/>
    <n v="500"/>
    <n v="480"/>
    <n v="12"/>
    <n v="468"/>
    <n v="10"/>
    <n v="2.0833333333333332E-2"/>
    <n v="90"/>
    <n v="30800"/>
    <n v="42120"/>
    <n v="11320"/>
    <n v="0.96"/>
    <n v="2.5000000000000001E-2"/>
    <n v="0.26875593542260207"/>
    <n v="65.811965811965806"/>
    <n v="470"/>
    <n v="1.0212765957446808"/>
    <n v="24.188034188034187"/>
    <n v="0.99574468085106382"/>
  </r>
  <r>
    <d v="2026-09-16T00:00:00"/>
    <x v="2"/>
    <x v="2"/>
    <x v="1"/>
    <x v="0"/>
    <n v="430"/>
    <n v="410"/>
    <n v="16"/>
    <n v="394"/>
    <n v="30"/>
    <n v="6.25E-2"/>
    <n v="100"/>
    <n v="30800"/>
    <n v="39400"/>
    <n v="8600"/>
    <n v="0.95348837209302328"/>
    <n v="3.9024390243902439E-2"/>
    <n v="0.21827411167512689"/>
    <n v="78.172588832487307"/>
    <n v="450"/>
    <n v="0.91111111111111109"/>
    <n v="21.82741116751269"/>
    <n v="0.87555555555555553"/>
  </r>
  <r>
    <d v="2026-09-16T00:00:00"/>
    <x v="2"/>
    <x v="2"/>
    <x v="2"/>
    <x v="1"/>
    <n v="390"/>
    <n v="367"/>
    <n v="14"/>
    <n v="353"/>
    <n v="25"/>
    <n v="5.2083333333333336E-2"/>
    <n v="120"/>
    <n v="30800"/>
    <n v="42360"/>
    <n v="11560"/>
    <n v="0.94102564102564101"/>
    <n v="3.8147138964577658E-2"/>
    <n v="0.27289896128423041"/>
    <n v="87.252124645892351"/>
    <n v="455"/>
    <n v="0.80659340659340661"/>
    <n v="32.747875354107649"/>
    <n v="0.77582417582417584"/>
  </r>
  <r>
    <d v="2026-09-17T00:00:00"/>
    <x v="2"/>
    <x v="0"/>
    <x v="0"/>
    <x v="1"/>
    <n v="400"/>
    <n v="380"/>
    <n v="14"/>
    <n v="366"/>
    <n v="36"/>
    <n v="7.4999999999999997E-2"/>
    <n v="120"/>
    <n v="30800"/>
    <n v="43920"/>
    <n v="13120"/>
    <n v="0.95"/>
    <n v="3.6842105263157891E-2"/>
    <n v="0.2987249544626594"/>
    <n v="84.15300546448087"/>
    <n v="444"/>
    <n v="0.85585585585585588"/>
    <n v="35.846994535519123"/>
    <n v="0.82432432432432434"/>
  </r>
  <r>
    <d v="2026-09-17T00:00:00"/>
    <x v="2"/>
    <x v="0"/>
    <x v="1"/>
    <x v="2"/>
    <n v="500"/>
    <n v="479"/>
    <n v="20"/>
    <n v="459"/>
    <n v="33"/>
    <n v="6.8750000000000006E-2"/>
    <n v="90"/>
    <n v="30800"/>
    <n v="41310"/>
    <n v="10510"/>
    <n v="0.95799999999999996"/>
    <n v="4.1753653444676408E-2"/>
    <n v="0.25441781650931977"/>
    <n v="67.102396514161214"/>
    <n v="447"/>
    <n v="1.0715883668903803"/>
    <n v="22.897603485838779"/>
    <n v="1.0268456375838926"/>
  </r>
  <r>
    <d v="2026-09-17T00:00:00"/>
    <x v="2"/>
    <x v="0"/>
    <x v="2"/>
    <x v="0"/>
    <n v="460"/>
    <n v="430"/>
    <n v="25"/>
    <n v="405"/>
    <n v="43"/>
    <n v="8.9583333333333334E-2"/>
    <n v="100"/>
    <n v="30800"/>
    <n v="40500"/>
    <n v="9700"/>
    <n v="0.93478260869565222"/>
    <n v="5.8139534883720929E-2"/>
    <n v="0.23950617283950618"/>
    <n v="76.049382716049379"/>
    <n v="437"/>
    <n v="0.98398169336384445"/>
    <n v="23.950617283950617"/>
    <n v="0.92677345537757438"/>
  </r>
  <r>
    <d v="2026-09-17T00:00:00"/>
    <x v="2"/>
    <x v="1"/>
    <x v="0"/>
    <x v="2"/>
    <n v="490"/>
    <n v="437"/>
    <n v="24"/>
    <n v="413"/>
    <n v="32"/>
    <n v="6.6666666666666666E-2"/>
    <n v="90"/>
    <n v="30800"/>
    <n v="37170"/>
    <n v="6370"/>
    <n v="0.89183673469387759"/>
    <n v="5.4919908466819219E-2"/>
    <n v="0.17137476459510359"/>
    <n v="74.576271186440678"/>
    <n v="448"/>
    <n v="0.9754464285714286"/>
    <n v="15.423728813559322"/>
    <n v="0.921875"/>
  </r>
  <r>
    <d v="2026-09-17T00:00:00"/>
    <x v="2"/>
    <x v="1"/>
    <x v="1"/>
    <x v="0"/>
    <n v="450"/>
    <n v="400"/>
    <n v="27"/>
    <n v="373"/>
    <n v="67"/>
    <n v="0.13958333333333334"/>
    <n v="100"/>
    <n v="30800"/>
    <n v="37300"/>
    <n v="6500"/>
    <n v="0.88888888888888884"/>
    <n v="6.7500000000000004E-2"/>
    <n v="0.17426273458445041"/>
    <n v="82.573726541554961"/>
    <n v="413"/>
    <n v="0.96852300242130751"/>
    <n v="17.426273458445039"/>
    <n v="0.90314769975786924"/>
  </r>
  <r>
    <d v="2026-09-17T00:00:00"/>
    <x v="2"/>
    <x v="1"/>
    <x v="2"/>
    <x v="1"/>
    <n v="390"/>
    <n v="341"/>
    <n v="18"/>
    <n v="323"/>
    <n v="54"/>
    <n v="0.1125"/>
    <n v="120"/>
    <n v="30800"/>
    <n v="38760"/>
    <n v="7960"/>
    <n v="0.87435897435897436"/>
    <n v="5.2785923753665691E-2"/>
    <n v="0.20536635706914344"/>
    <n v="95.356037151702793"/>
    <n v="426"/>
    <n v="0.80046948356807512"/>
    <n v="24.643962848297214"/>
    <n v="0.75821596244131451"/>
  </r>
  <r>
    <d v="2026-09-17T00:00:00"/>
    <x v="2"/>
    <x v="2"/>
    <x v="0"/>
    <x v="0"/>
    <n v="460"/>
    <n v="435"/>
    <n v="16"/>
    <n v="419"/>
    <n v="36"/>
    <n v="7.4999999999999997E-2"/>
    <n v="100"/>
    <n v="30800"/>
    <n v="41900"/>
    <n v="11100"/>
    <n v="0.94565217391304346"/>
    <n v="3.6781609195402298E-2"/>
    <n v="0.2649164677804296"/>
    <n v="73.508353221957037"/>
    <n v="444"/>
    <n v="0.97972972972972971"/>
    <n v="26.491646778042959"/>
    <n v="0.94369369369369371"/>
  </r>
  <r>
    <d v="2026-09-17T00:00:00"/>
    <x v="2"/>
    <x v="2"/>
    <x v="1"/>
    <x v="1"/>
    <n v="390"/>
    <n v="381"/>
    <n v="8"/>
    <n v="373"/>
    <n v="36"/>
    <n v="7.4999999999999997E-2"/>
    <n v="120"/>
    <n v="30800"/>
    <n v="44760"/>
    <n v="13960"/>
    <n v="0.97692307692307689"/>
    <n v="2.0997375328083989E-2"/>
    <n v="0.31188561215370869"/>
    <n v="82.573726541554961"/>
    <n v="444"/>
    <n v="0.85810810810810811"/>
    <n v="37.426273458445039"/>
    <n v="0.84009009009009006"/>
  </r>
  <r>
    <d v="2026-09-17T00:00:00"/>
    <x v="2"/>
    <x v="2"/>
    <x v="2"/>
    <x v="2"/>
    <n v="490"/>
    <n v="462"/>
    <n v="20"/>
    <n v="442"/>
    <n v="20"/>
    <n v="4.1666666666666664E-2"/>
    <n v="90"/>
    <n v="30800"/>
    <n v="39780"/>
    <n v="8980"/>
    <n v="0.94285714285714284"/>
    <n v="4.3290043290043288E-2"/>
    <n v="0.22574157868275516"/>
    <n v="69.68325791855203"/>
    <n v="460"/>
    <n v="1.0043478260869565"/>
    <n v="20.316742081447963"/>
    <n v="0.96086956521739131"/>
  </r>
  <r>
    <d v="2026-09-18T00:00:00"/>
    <x v="2"/>
    <x v="0"/>
    <x v="0"/>
    <x v="2"/>
    <n v="500"/>
    <n v="476"/>
    <n v="18"/>
    <n v="458"/>
    <n v="29"/>
    <n v="6.0416666666666667E-2"/>
    <n v="90"/>
    <n v="30800"/>
    <n v="41220"/>
    <n v="10420"/>
    <n v="0.95199999999999996"/>
    <n v="3.7815126050420166E-2"/>
    <n v="0.25278990781174188"/>
    <n v="67.248908296943227"/>
    <n v="451"/>
    <n v="1.0554323725055432"/>
    <n v="22.751091703056769"/>
    <n v="1.0155210643015522"/>
  </r>
  <r>
    <d v="2026-09-18T00:00:00"/>
    <x v="2"/>
    <x v="0"/>
    <x v="1"/>
    <x v="0"/>
    <n v="470"/>
    <n v="428"/>
    <n v="22"/>
    <n v="406"/>
    <n v="48"/>
    <n v="0.1"/>
    <n v="100"/>
    <n v="30800"/>
    <n v="40600"/>
    <n v="9800"/>
    <n v="0.91063829787234041"/>
    <n v="5.1401869158878503E-2"/>
    <n v="0.2413793103448276"/>
    <n v="75.862068965517238"/>
    <n v="432"/>
    <n v="0.9907407407407407"/>
    <n v="24.137931034482758"/>
    <n v="0.93981481481481477"/>
  </r>
  <r>
    <d v="2026-09-18T00:00:00"/>
    <x v="2"/>
    <x v="0"/>
    <x v="2"/>
    <x v="1"/>
    <n v="410"/>
    <n v="363"/>
    <n v="13"/>
    <n v="350"/>
    <n v="49"/>
    <n v="0.10208333333333333"/>
    <n v="120"/>
    <n v="30800"/>
    <n v="42000"/>
    <n v="11200"/>
    <n v="0.88536585365853659"/>
    <n v="3.5812672176308541E-2"/>
    <n v="0.26666666666666666"/>
    <n v="88"/>
    <n v="431"/>
    <n v="0.84222737819025517"/>
    <n v="32"/>
    <n v="0.81206496519721583"/>
  </r>
  <r>
    <d v="2026-09-18T00:00:00"/>
    <x v="2"/>
    <x v="1"/>
    <x v="0"/>
    <x v="0"/>
    <n v="450"/>
    <n v="417"/>
    <n v="23"/>
    <n v="394"/>
    <n v="44"/>
    <n v="9.166666666666666E-2"/>
    <n v="100"/>
    <n v="30800"/>
    <n v="39400"/>
    <n v="8600"/>
    <n v="0.92666666666666664"/>
    <n v="5.5155875299760189E-2"/>
    <n v="0.21827411167512689"/>
    <n v="78.172588832487307"/>
    <n v="436"/>
    <n v="0.95642201834862384"/>
    <n v="21.82741116751269"/>
    <n v="0.90366972477064222"/>
  </r>
  <r>
    <d v="2026-09-18T00:00:00"/>
    <x v="2"/>
    <x v="1"/>
    <x v="1"/>
    <x v="1"/>
    <n v="410"/>
    <n v="372"/>
    <n v="21"/>
    <n v="351"/>
    <n v="54"/>
    <n v="0.1125"/>
    <n v="120"/>
    <n v="30800"/>
    <n v="42120"/>
    <n v="11320"/>
    <n v="0.90731707317073174"/>
    <n v="5.6451612903225805E-2"/>
    <n v="0.26875593542260207"/>
    <n v="87.749287749287745"/>
    <n v="426"/>
    <n v="0.87323943661971826"/>
    <n v="32.250712250712247"/>
    <n v="0.823943661971831"/>
  </r>
  <r>
    <d v="2026-09-18T00:00:00"/>
    <x v="2"/>
    <x v="1"/>
    <x v="2"/>
    <x v="2"/>
    <n v="490"/>
    <n v="426"/>
    <n v="27"/>
    <n v="399"/>
    <n v="59"/>
    <n v="0.12291666666666666"/>
    <n v="90"/>
    <n v="30800"/>
    <n v="35910"/>
    <n v="5110"/>
    <n v="0.8693877551020408"/>
    <n v="6.3380281690140844E-2"/>
    <n v="0.14230019493177387"/>
    <n v="77.192982456140356"/>
    <n v="421"/>
    <n v="1.0118764845605701"/>
    <n v="12.807017543859649"/>
    <n v="0.94774346793349173"/>
  </r>
  <r>
    <d v="2026-09-18T00:00:00"/>
    <x v="2"/>
    <x v="2"/>
    <x v="0"/>
    <x v="1"/>
    <n v="390"/>
    <n v="376"/>
    <n v="9"/>
    <n v="367"/>
    <n v="31"/>
    <n v="6.458333333333334E-2"/>
    <n v="120"/>
    <n v="30800"/>
    <n v="44040"/>
    <n v="13240"/>
    <n v="0.96410256410256412"/>
    <n v="2.3936170212765957E-2"/>
    <n v="0.30063578564940963"/>
    <n v="83.923705722070849"/>
    <n v="449"/>
    <n v="0.83741648106904232"/>
    <n v="36.076294277929158"/>
    <n v="0.81737193763919824"/>
  </r>
  <r>
    <d v="2026-09-18T00:00:00"/>
    <x v="2"/>
    <x v="2"/>
    <x v="1"/>
    <x v="2"/>
    <n v="480"/>
    <n v="472"/>
    <n v="13"/>
    <n v="459"/>
    <n v="19"/>
    <n v="3.9583333333333331E-2"/>
    <n v="90"/>
    <n v="30800"/>
    <n v="41310"/>
    <n v="10510"/>
    <n v="0.98333333333333328"/>
    <n v="2.7542372881355932E-2"/>
    <n v="0.25441781650931977"/>
    <n v="67.102396514161214"/>
    <n v="461"/>
    <n v="1.0238611713665944"/>
    <n v="22.897603485838779"/>
    <n v="0.99566160520607372"/>
  </r>
  <r>
    <d v="2026-09-18T00:00:00"/>
    <x v="2"/>
    <x v="2"/>
    <x v="2"/>
    <x v="0"/>
    <n v="460"/>
    <n v="439"/>
    <n v="25"/>
    <n v="414"/>
    <n v="28"/>
    <n v="5.8333333333333334E-2"/>
    <n v="100"/>
    <n v="30800"/>
    <n v="41400"/>
    <n v="10600"/>
    <n v="0.95434782608695656"/>
    <n v="5.6947608200455579E-2"/>
    <n v="0.2560386473429952"/>
    <n v="74.39613526570048"/>
    <n v="452"/>
    <n v="0.97123893805309736"/>
    <n v="25.603864734299517"/>
    <n v="0.91592920353982299"/>
  </r>
  <r>
    <d v="2026-09-19T00:00:00"/>
    <x v="2"/>
    <x v="0"/>
    <x v="0"/>
    <x v="0"/>
    <n v="460"/>
    <n v="432"/>
    <n v="17"/>
    <n v="415"/>
    <n v="38"/>
    <n v="7.9166666666666663E-2"/>
    <n v="100"/>
    <n v="30800"/>
    <n v="41500"/>
    <n v="10700"/>
    <n v="0.93913043478260871"/>
    <n v="3.9351851851851853E-2"/>
    <n v="0.25783132530120484"/>
    <n v="74.216867469879517"/>
    <n v="442"/>
    <n v="0.9773755656108597"/>
    <n v="25.783132530120483"/>
    <n v="0.93891402714932126"/>
  </r>
  <r>
    <d v="2026-09-19T00:00:00"/>
    <x v="2"/>
    <x v="0"/>
    <x v="1"/>
    <x v="1"/>
    <n v="420"/>
    <n v="388"/>
    <n v="12"/>
    <n v="376"/>
    <n v="48"/>
    <n v="0.1"/>
    <n v="120"/>
    <n v="30800"/>
    <n v="45120"/>
    <n v="14320"/>
    <n v="0.92380952380952386"/>
    <n v="3.0927835051546393E-2"/>
    <n v="0.31737588652482268"/>
    <n v="81.914893617021278"/>
    <n v="432"/>
    <n v="0.89814814814814814"/>
    <n v="38.085106382978722"/>
    <n v="0.87037037037037035"/>
  </r>
  <r>
    <d v="2026-09-19T00:00:00"/>
    <x v="2"/>
    <x v="0"/>
    <x v="2"/>
    <x v="2"/>
    <n v="510"/>
    <n v="459"/>
    <n v="22"/>
    <n v="437"/>
    <n v="45"/>
    <n v="9.375E-2"/>
    <n v="90"/>
    <n v="30800"/>
    <n v="39330"/>
    <n v="8530"/>
    <n v="0.9"/>
    <n v="4.793028322440087E-2"/>
    <n v="0.21688278667683702"/>
    <n v="70.480549199084663"/>
    <n v="435"/>
    <n v="1.0551724137931036"/>
    <n v="19.519450800915333"/>
    <n v="1.0045977011494254"/>
  </r>
  <r>
    <d v="2026-09-19T00:00:00"/>
    <x v="2"/>
    <x v="1"/>
    <x v="0"/>
    <x v="1"/>
    <n v="390"/>
    <n v="350"/>
    <n v="18"/>
    <n v="332"/>
    <n v="49"/>
    <n v="0.10208333333333333"/>
    <n v="120"/>
    <n v="30800"/>
    <n v="39840"/>
    <n v="9040"/>
    <n v="0.89743589743589747"/>
    <n v="5.1428571428571428E-2"/>
    <n v="0.22690763052208834"/>
    <n v="92.771084337349393"/>
    <n v="431"/>
    <n v="0.81206496519721583"/>
    <n v="27.228915662650603"/>
    <n v="0.77030162412993042"/>
  </r>
  <r>
    <d v="2026-09-19T00:00:00"/>
    <x v="2"/>
    <x v="1"/>
    <x v="1"/>
    <x v="2"/>
    <n v="510"/>
    <n v="465"/>
    <n v="28"/>
    <n v="437"/>
    <n v="54"/>
    <n v="0.1125"/>
    <n v="90"/>
    <n v="30800"/>
    <n v="39330"/>
    <n v="8530"/>
    <n v="0.91176470588235292"/>
    <n v="6.0215053763440864E-2"/>
    <n v="0.21688278667683702"/>
    <n v="70.480549199084663"/>
    <n v="426"/>
    <n v="1.091549295774648"/>
    <n v="19.519450800915333"/>
    <n v="1.0258215962441315"/>
  </r>
  <r>
    <d v="2026-09-19T00:00:00"/>
    <x v="2"/>
    <x v="1"/>
    <x v="2"/>
    <x v="0"/>
    <n v="430"/>
    <n v="375"/>
    <n v="28"/>
    <n v="347"/>
    <n v="78"/>
    <n v="0.16250000000000001"/>
    <n v="100"/>
    <n v="30800"/>
    <n v="34700"/>
    <n v="3900"/>
    <n v="0.87209302325581395"/>
    <n v="7.4666666666666673E-2"/>
    <n v="0.11239193083573487"/>
    <n v="88.760806916426517"/>
    <n v="402"/>
    <n v="0.93283582089552242"/>
    <n v="11.239193083573488"/>
    <n v="0.86318407960199006"/>
  </r>
  <r>
    <d v="2026-09-19T00:00:00"/>
    <x v="2"/>
    <x v="2"/>
    <x v="0"/>
    <x v="2"/>
    <n v="520"/>
    <n v="490"/>
    <n v="10"/>
    <n v="480"/>
    <n v="11"/>
    <n v="2.2916666666666665E-2"/>
    <n v="90"/>
    <n v="30800"/>
    <n v="43200"/>
    <n v="12400"/>
    <n v="0.94230769230769229"/>
    <n v="2.0408163265306121E-2"/>
    <n v="0.28703703703703703"/>
    <n v="64.166666666666671"/>
    <n v="469"/>
    <n v="1.044776119402985"/>
    <n v="25.833333333333332"/>
    <n v="1.023454157782516"/>
  </r>
  <r>
    <d v="2026-09-19T00:00:00"/>
    <x v="2"/>
    <x v="2"/>
    <x v="1"/>
    <x v="0"/>
    <n v="440"/>
    <n v="422"/>
    <n v="21"/>
    <n v="401"/>
    <n v="44"/>
    <n v="9.166666666666666E-2"/>
    <n v="100"/>
    <n v="30800"/>
    <n v="40100"/>
    <n v="9300"/>
    <n v="0.95909090909090911"/>
    <n v="4.9763033175355451E-2"/>
    <n v="0.23192019950124687"/>
    <n v="76.807980049875312"/>
    <n v="436"/>
    <n v="0.9678899082568807"/>
    <n v="23.192019950124688"/>
    <n v="0.91972477064220182"/>
  </r>
  <r>
    <d v="2026-09-19T00:00:00"/>
    <x v="2"/>
    <x v="2"/>
    <x v="2"/>
    <x v="1"/>
    <n v="390"/>
    <n v="371"/>
    <n v="13"/>
    <n v="358"/>
    <n v="43"/>
    <n v="8.9583333333333334E-2"/>
    <n v="120"/>
    <n v="30800"/>
    <n v="42960"/>
    <n v="12160"/>
    <n v="0.95128205128205123"/>
    <n v="3.5040431266846361E-2"/>
    <n v="0.28305400372439476"/>
    <n v="86.033519553072622"/>
    <n v="437"/>
    <n v="0.84897025171624718"/>
    <n v="33.966480446927378"/>
    <n v="0.81922196796338675"/>
  </r>
  <r>
    <d v="2026-09-20T00:00:00"/>
    <x v="2"/>
    <x v="0"/>
    <x v="0"/>
    <x v="1"/>
    <n v="410"/>
    <n v="384"/>
    <n v="11"/>
    <n v="373"/>
    <n v="32"/>
    <n v="6.6666666666666666E-2"/>
    <n v="120"/>
    <n v="30800"/>
    <n v="44760"/>
    <n v="13960"/>
    <n v="0.93658536585365859"/>
    <n v="2.8645833333333332E-2"/>
    <n v="0.31188561215370869"/>
    <n v="82.573726541554961"/>
    <n v="448"/>
    <n v="0.8571428571428571"/>
    <n v="37.426273458445039"/>
    <n v="0.8325892857142857"/>
  </r>
  <r>
    <d v="2026-09-20T00:00:00"/>
    <x v="2"/>
    <x v="0"/>
    <x v="1"/>
    <x v="2"/>
    <n v="520"/>
    <n v="489"/>
    <n v="18"/>
    <n v="471"/>
    <n v="31"/>
    <n v="6.458333333333334E-2"/>
    <n v="90"/>
    <n v="30800"/>
    <n v="42390"/>
    <n v="11590"/>
    <n v="0.94038461538461537"/>
    <n v="3.6809815950920248E-2"/>
    <n v="0.27341354092946452"/>
    <n v="65.392781316348191"/>
    <n v="449"/>
    <n v="1.089086859688196"/>
    <n v="24.607218683651805"/>
    <n v="1.0489977728285078"/>
  </r>
  <r>
    <d v="2026-09-20T00:00:00"/>
    <x v="2"/>
    <x v="0"/>
    <x v="2"/>
    <x v="0"/>
    <n v="460"/>
    <n v="413"/>
    <n v="26"/>
    <n v="387"/>
    <n v="38"/>
    <n v="7.9166666666666663E-2"/>
    <n v="100"/>
    <n v="30800"/>
    <n v="38700"/>
    <n v="7900"/>
    <n v="0.89782608695652177"/>
    <n v="6.2953995157384993E-2"/>
    <n v="0.20413436692506459"/>
    <n v="79.586563307493535"/>
    <n v="442"/>
    <n v="0.93438914027149322"/>
    <n v="20.413436692506458"/>
    <n v="0.8755656108597285"/>
  </r>
  <r>
    <d v="2026-09-20T00:00:00"/>
    <x v="2"/>
    <x v="1"/>
    <x v="0"/>
    <x v="2"/>
    <n v="480"/>
    <n v="420"/>
    <n v="23"/>
    <n v="397"/>
    <n v="55"/>
    <n v="0.11458333333333333"/>
    <n v="90"/>
    <n v="30800"/>
    <n v="35730"/>
    <n v="4930"/>
    <n v="0.875"/>
    <n v="5.4761904761904762E-2"/>
    <n v="0.13797928911279037"/>
    <n v="77.581863979848862"/>
    <n v="425"/>
    <n v="0.9882352941176471"/>
    <n v="12.418136020151133"/>
    <n v="0.9341176470588235"/>
  </r>
  <r>
    <d v="2026-09-20T00:00:00"/>
    <x v="2"/>
    <x v="1"/>
    <x v="1"/>
    <x v="0"/>
    <n v="460"/>
    <n v="414"/>
    <n v="29"/>
    <n v="385"/>
    <n v="56"/>
    <n v="0.11666666666666667"/>
    <n v="100"/>
    <n v="30800"/>
    <n v="38500"/>
    <n v="7700"/>
    <n v="0.9"/>
    <n v="7.0048309178743967E-2"/>
    <n v="0.2"/>
    <n v="80"/>
    <n v="424"/>
    <n v="0.97641509433962259"/>
    <n v="20"/>
    <n v="0.90801886792452835"/>
  </r>
  <r>
    <d v="2026-09-20T00:00:00"/>
    <x v="2"/>
    <x v="1"/>
    <x v="2"/>
    <x v="1"/>
    <n v="400"/>
    <n v="333"/>
    <n v="21"/>
    <n v="312"/>
    <n v="73"/>
    <n v="0.15208333333333332"/>
    <n v="120"/>
    <n v="30800"/>
    <n v="37440"/>
    <n v="6640"/>
    <n v="0.83250000000000002"/>
    <n v="6.3063063063063057E-2"/>
    <n v="0.17735042735042736"/>
    <n v="98.717948717948715"/>
    <n v="407"/>
    <n v="0.81818181818181823"/>
    <n v="21.282051282051281"/>
    <n v="0.7665847665847666"/>
  </r>
  <r>
    <d v="2026-09-20T00:00:00"/>
    <x v="2"/>
    <x v="2"/>
    <x v="0"/>
    <x v="0"/>
    <n v="430"/>
    <n v="428"/>
    <n v="17"/>
    <n v="411"/>
    <n v="34"/>
    <n v="7.0833333333333331E-2"/>
    <n v="100"/>
    <n v="30800"/>
    <n v="41100"/>
    <n v="10300"/>
    <n v="0.99534883720930234"/>
    <n v="3.9719626168224297E-2"/>
    <n v="0.25060827250608275"/>
    <n v="74.93917274939173"/>
    <n v="446"/>
    <n v="0.95964125560538116"/>
    <n v="25.060827250608273"/>
    <n v="0.92152466367713004"/>
  </r>
  <r>
    <d v="2026-09-20T00:00:00"/>
    <x v="2"/>
    <x v="2"/>
    <x v="1"/>
    <x v="1"/>
    <n v="390"/>
    <n v="378"/>
    <n v="13"/>
    <n v="365"/>
    <n v="39"/>
    <n v="8.1250000000000003E-2"/>
    <n v="120"/>
    <n v="30800"/>
    <n v="43800"/>
    <n v="13000"/>
    <n v="0.96923076923076923"/>
    <n v="3.439153439153439E-2"/>
    <n v="0.29680365296803651"/>
    <n v="84.38356164383562"/>
    <n v="441"/>
    <n v="0.8571428571428571"/>
    <n v="35.61643835616438"/>
    <n v="0.82766439909297052"/>
  </r>
  <r>
    <d v="2026-09-20T00:00:00"/>
    <x v="2"/>
    <x v="2"/>
    <x v="2"/>
    <x v="2"/>
    <n v="490"/>
    <n v="468"/>
    <n v="21"/>
    <n v="447"/>
    <n v="32"/>
    <n v="6.6666666666666666E-2"/>
    <n v="90"/>
    <n v="30800"/>
    <n v="40230"/>
    <n v="9430"/>
    <n v="0.95510204081632655"/>
    <n v="4.4871794871794872E-2"/>
    <n v="0.23440218742232166"/>
    <n v="68.903803131991054"/>
    <n v="448"/>
    <n v="1.0446428571428572"/>
    <n v="21.096196868008949"/>
    <n v="0.9977678571428571"/>
  </r>
  <r>
    <d v="2026-09-21T00:00:00"/>
    <x v="2"/>
    <x v="0"/>
    <x v="0"/>
    <x v="2"/>
    <n v="490"/>
    <n v="461"/>
    <n v="15"/>
    <n v="446"/>
    <n v="32"/>
    <n v="6.6666666666666666E-2"/>
    <n v="90"/>
    <n v="30800"/>
    <n v="40140"/>
    <n v="9340"/>
    <n v="0.9408163265306122"/>
    <n v="3.2537960954446853E-2"/>
    <n v="0.23268560039860489"/>
    <n v="69.058295964125563"/>
    <n v="448"/>
    <n v="1.0290178571428572"/>
    <n v="20.941704035874441"/>
    <n v="0.9955357142857143"/>
  </r>
  <r>
    <d v="2026-09-21T00:00:00"/>
    <x v="2"/>
    <x v="0"/>
    <x v="1"/>
    <x v="0"/>
    <n v="450"/>
    <n v="411"/>
    <n v="23"/>
    <n v="388"/>
    <n v="41"/>
    <n v="8.5416666666666669E-2"/>
    <n v="100"/>
    <n v="30800"/>
    <n v="38800"/>
    <n v="8000"/>
    <n v="0.91333333333333333"/>
    <n v="5.5961070559610707E-2"/>
    <n v="0.20618556701030927"/>
    <n v="79.381443298969074"/>
    <n v="439"/>
    <n v="0.9362186788154897"/>
    <n v="20.618556701030929"/>
    <n v="0.88382687927107062"/>
  </r>
  <r>
    <d v="2026-09-21T00:00:00"/>
    <x v="2"/>
    <x v="0"/>
    <x v="2"/>
    <x v="1"/>
    <n v="400"/>
    <n v="368"/>
    <n v="14"/>
    <n v="354"/>
    <n v="34"/>
    <n v="7.0833333333333331E-2"/>
    <n v="120"/>
    <n v="30800"/>
    <n v="42480"/>
    <n v="11680"/>
    <n v="0.92"/>
    <n v="3.8043478260869568E-2"/>
    <n v="0.27495291902071561"/>
    <n v="87.005649717514117"/>
    <n v="446"/>
    <n v="0.82511210762331844"/>
    <n v="32.994350282485875"/>
    <n v="0.79372197309417036"/>
  </r>
  <r>
    <d v="2026-09-21T00:00:00"/>
    <x v="2"/>
    <x v="1"/>
    <x v="0"/>
    <x v="0"/>
    <n v="430"/>
    <n v="401"/>
    <n v="26"/>
    <n v="375"/>
    <n v="49"/>
    <n v="0.10208333333333333"/>
    <n v="100"/>
    <n v="30800"/>
    <n v="37500"/>
    <n v="6700"/>
    <n v="0.93255813953488376"/>
    <n v="6.4837905236907731E-2"/>
    <n v="0.17866666666666667"/>
    <n v="82.13333333333334"/>
    <n v="431"/>
    <n v="0.93039443155452439"/>
    <n v="17.866666666666667"/>
    <n v="0.87006960556844548"/>
  </r>
  <r>
    <d v="2026-09-21T00:00:00"/>
    <x v="2"/>
    <x v="1"/>
    <x v="1"/>
    <x v="1"/>
    <n v="400"/>
    <n v="368"/>
    <n v="20"/>
    <n v="348"/>
    <n v="49"/>
    <n v="0.10208333333333333"/>
    <n v="120"/>
    <n v="30800"/>
    <n v="41760"/>
    <n v="10960"/>
    <n v="0.92"/>
    <n v="5.434782608695652E-2"/>
    <n v="0.26245210727969348"/>
    <n v="88.505747126436788"/>
    <n v="431"/>
    <n v="0.85382830626450112"/>
    <n v="31.494252873563219"/>
    <n v="0.80742459396751742"/>
  </r>
  <r>
    <d v="2026-09-21T00:00:00"/>
    <x v="2"/>
    <x v="1"/>
    <x v="2"/>
    <x v="2"/>
    <n v="500"/>
    <n v="424"/>
    <n v="24"/>
    <n v="400"/>
    <n v="63"/>
    <n v="0.13125000000000001"/>
    <n v="90"/>
    <n v="30800"/>
    <n v="36000"/>
    <n v="5200"/>
    <n v="0.84799999999999998"/>
    <n v="5.6603773584905662E-2"/>
    <n v="0.14444444444444443"/>
    <n v="77"/>
    <n v="417"/>
    <n v="1.0167865707434052"/>
    <n v="13"/>
    <n v="0.95923261390887293"/>
  </r>
  <r>
    <d v="2026-09-21T00:00:00"/>
    <x v="2"/>
    <x v="2"/>
    <x v="0"/>
    <x v="1"/>
    <n v="410"/>
    <n v="403"/>
    <n v="10"/>
    <n v="393"/>
    <n v="30"/>
    <n v="6.25E-2"/>
    <n v="120"/>
    <n v="30800"/>
    <n v="47160"/>
    <n v="16360"/>
    <n v="0.98292682926829267"/>
    <n v="2.4813895781637719E-2"/>
    <n v="0.3469041560644614"/>
    <n v="78.371501272264638"/>
    <n v="450"/>
    <n v="0.89555555555555555"/>
    <n v="41.628498727735369"/>
    <n v="0.87333333333333329"/>
  </r>
  <r>
    <d v="2026-09-21T00:00:00"/>
    <x v="2"/>
    <x v="2"/>
    <x v="1"/>
    <x v="2"/>
    <n v="520"/>
    <n v="493"/>
    <n v="15"/>
    <n v="478"/>
    <n v="24"/>
    <n v="0.05"/>
    <n v="90"/>
    <n v="30800"/>
    <n v="43020"/>
    <n v="12220"/>
    <n v="0.94807692307692304"/>
    <n v="3.0425963488843813E-2"/>
    <n v="0.28405392840539284"/>
    <n v="64.43514644351464"/>
    <n v="456"/>
    <n v="1.0811403508771931"/>
    <n v="25.564853556485357"/>
    <n v="1.0482456140350878"/>
  </r>
  <r>
    <d v="2026-09-21T00:00:00"/>
    <x v="2"/>
    <x v="2"/>
    <x v="2"/>
    <x v="0"/>
    <n v="450"/>
    <n v="433"/>
    <n v="24"/>
    <n v="409"/>
    <n v="38"/>
    <n v="7.9166666666666663E-2"/>
    <n v="100"/>
    <n v="30800"/>
    <n v="40900"/>
    <n v="10100"/>
    <n v="0.9622222222222222"/>
    <n v="5.5427251732101619E-2"/>
    <n v="0.24694376528117359"/>
    <n v="75.30562347188264"/>
    <n v="442"/>
    <n v="0.97963800904977372"/>
    <n v="24.69437652811736"/>
    <n v="0.92533936651583715"/>
  </r>
  <r>
    <d v="2026-09-22T00:00:00"/>
    <x v="2"/>
    <x v="0"/>
    <x v="0"/>
    <x v="0"/>
    <n v="460"/>
    <n v="443"/>
    <n v="19"/>
    <n v="424"/>
    <n v="44"/>
    <n v="9.166666666666666E-2"/>
    <n v="100"/>
    <n v="30800"/>
    <n v="42400"/>
    <n v="11600"/>
    <n v="0.96304347826086956"/>
    <n v="4.2889390519187359E-2"/>
    <n v="0.27358490566037735"/>
    <n v="72.64150943396227"/>
    <n v="436"/>
    <n v="1.0160550458715596"/>
    <n v="27.358490566037737"/>
    <n v="0.97247706422018354"/>
  </r>
  <r>
    <d v="2026-09-22T00:00:00"/>
    <x v="2"/>
    <x v="0"/>
    <x v="1"/>
    <x v="1"/>
    <n v="400"/>
    <n v="386"/>
    <n v="15"/>
    <n v="371"/>
    <n v="42"/>
    <n v="8.7499999999999994E-2"/>
    <n v="120"/>
    <n v="30800"/>
    <n v="44520"/>
    <n v="13720"/>
    <n v="0.96499999999999997"/>
    <n v="3.8860103626943004E-2"/>
    <n v="0.3081761006289308"/>
    <n v="83.018867924528308"/>
    <n v="438"/>
    <n v="0.88127853881278539"/>
    <n v="36.981132075471699"/>
    <n v="0.84703196347031962"/>
  </r>
  <r>
    <d v="2026-09-22T00:00:00"/>
    <x v="2"/>
    <x v="0"/>
    <x v="2"/>
    <x v="2"/>
    <n v="490"/>
    <n v="447"/>
    <n v="22"/>
    <n v="425"/>
    <n v="49"/>
    <n v="0.10208333333333333"/>
    <n v="90"/>
    <n v="30800"/>
    <n v="38250"/>
    <n v="7450"/>
    <n v="0.91224489795918362"/>
    <n v="4.9217002237136466E-2"/>
    <n v="0.19477124183006536"/>
    <n v="72.470588235294116"/>
    <n v="431"/>
    <n v="1.037122969837587"/>
    <n v="17.529411764705884"/>
    <n v="0.9860788863109049"/>
  </r>
  <r>
    <d v="2026-09-22T00:00:00"/>
    <x v="2"/>
    <x v="1"/>
    <x v="0"/>
    <x v="1"/>
    <n v="410"/>
    <n v="363"/>
    <n v="18"/>
    <n v="345"/>
    <n v="46"/>
    <n v="9.583333333333334E-2"/>
    <n v="120"/>
    <n v="30800"/>
    <n v="41400"/>
    <n v="10600"/>
    <n v="0.88536585365853659"/>
    <n v="4.9586776859504134E-2"/>
    <n v="0.2560386473429952"/>
    <n v="89.275362318840578"/>
    <n v="434"/>
    <n v="0.83640552995391704"/>
    <n v="30.724637681159422"/>
    <n v="0.79493087557603692"/>
  </r>
  <r>
    <d v="2026-09-22T00:00:00"/>
    <x v="2"/>
    <x v="1"/>
    <x v="1"/>
    <x v="2"/>
    <n v="480"/>
    <n v="425"/>
    <n v="25"/>
    <n v="400"/>
    <n v="47"/>
    <n v="9.7916666666666666E-2"/>
    <n v="90"/>
    <n v="30800"/>
    <n v="36000"/>
    <n v="5200"/>
    <n v="0.88541666666666663"/>
    <n v="5.8823529411764705E-2"/>
    <n v="0.14444444444444443"/>
    <n v="77"/>
    <n v="433"/>
    <n v="0.98152424942263283"/>
    <n v="13"/>
    <n v="0.92378752886836024"/>
  </r>
  <r>
    <d v="2026-09-22T00:00:00"/>
    <x v="2"/>
    <x v="1"/>
    <x v="2"/>
    <x v="0"/>
    <n v="460"/>
    <n v="393"/>
    <n v="28"/>
    <n v="365"/>
    <n v="63"/>
    <n v="0.13125000000000001"/>
    <n v="100"/>
    <n v="30800"/>
    <n v="36500"/>
    <n v="5700"/>
    <n v="0.85434782608695647"/>
    <n v="7.124681933842239E-2"/>
    <n v="0.15616438356164383"/>
    <n v="84.38356164383562"/>
    <n v="417"/>
    <n v="0.94244604316546765"/>
    <n v="15.616438356164384"/>
    <n v="0.87529976019184652"/>
  </r>
  <r>
    <d v="2026-09-22T00:00:00"/>
    <x v="2"/>
    <x v="2"/>
    <x v="0"/>
    <x v="2"/>
    <n v="510"/>
    <n v="496"/>
    <n v="16"/>
    <n v="480"/>
    <n v="23"/>
    <n v="4.791666666666667E-2"/>
    <n v="90"/>
    <n v="30800"/>
    <n v="43200"/>
    <n v="12400"/>
    <n v="0.97254901960784312"/>
    <n v="3.2258064516129031E-2"/>
    <n v="0.28703703703703703"/>
    <n v="64.166666666666671"/>
    <n v="457"/>
    <n v="1.0853391684901532"/>
    <n v="25.833333333333332"/>
    <n v="1.0503282275711159"/>
  </r>
  <r>
    <d v="2026-09-22T00:00:00"/>
    <x v="2"/>
    <x v="2"/>
    <x v="1"/>
    <x v="0"/>
    <n v="470"/>
    <n v="441"/>
    <n v="22"/>
    <n v="419"/>
    <n v="38"/>
    <n v="7.9166666666666663E-2"/>
    <n v="100"/>
    <n v="30800"/>
    <n v="41900"/>
    <n v="11100"/>
    <n v="0.9382978723404255"/>
    <n v="4.9886621315192746E-2"/>
    <n v="0.2649164677804296"/>
    <n v="73.508353221957037"/>
    <n v="442"/>
    <n v="0.99773755656108598"/>
    <n v="26.491646778042959"/>
    <n v="0.94796380090497734"/>
  </r>
  <r>
    <d v="2026-09-22T00:00:00"/>
    <x v="2"/>
    <x v="2"/>
    <x v="2"/>
    <x v="1"/>
    <n v="410"/>
    <n v="380"/>
    <n v="12"/>
    <n v="368"/>
    <n v="24"/>
    <n v="0.05"/>
    <n v="120"/>
    <n v="30800"/>
    <n v="44160"/>
    <n v="13360"/>
    <n v="0.92682926829268297"/>
    <n v="3.1578947368421054E-2"/>
    <n v="0.30253623188405798"/>
    <n v="83.695652173913047"/>
    <n v="456"/>
    <n v="0.83333333333333337"/>
    <n v="36.304347826086953"/>
    <n v="0.80701754385964908"/>
  </r>
  <r>
    <d v="2026-09-23T00:00:00"/>
    <x v="2"/>
    <x v="0"/>
    <x v="0"/>
    <x v="1"/>
    <n v="390"/>
    <n v="365"/>
    <n v="10"/>
    <n v="355"/>
    <n v="36"/>
    <n v="7.4999999999999997E-2"/>
    <n v="120"/>
    <n v="30800"/>
    <n v="42600"/>
    <n v="11800"/>
    <n v="0.9358974358974359"/>
    <n v="2.7397260273972601E-2"/>
    <n v="0.27699530516431925"/>
    <n v="86.760563380281695"/>
    <n v="444"/>
    <n v="0.82207207207207211"/>
    <n v="33.239436619718312"/>
    <n v="0.7995495495495496"/>
  </r>
  <r>
    <d v="2026-09-23T00:00:00"/>
    <x v="2"/>
    <x v="0"/>
    <x v="1"/>
    <x v="2"/>
    <n v="490"/>
    <n v="474"/>
    <n v="15"/>
    <n v="459"/>
    <n v="22"/>
    <n v="4.583333333333333E-2"/>
    <n v="90"/>
    <n v="30800"/>
    <n v="41310"/>
    <n v="10510"/>
    <n v="0.96734693877551026"/>
    <n v="3.1645569620253167E-2"/>
    <n v="0.25441781650931977"/>
    <n v="67.102396514161214"/>
    <n v="458"/>
    <n v="1.034934497816594"/>
    <n v="22.897603485838779"/>
    <n v="1.0021834061135371"/>
  </r>
  <r>
    <d v="2026-09-23T00:00:00"/>
    <x v="2"/>
    <x v="0"/>
    <x v="2"/>
    <x v="0"/>
    <n v="440"/>
    <n v="415"/>
    <n v="22"/>
    <n v="393"/>
    <n v="37"/>
    <n v="7.7083333333333337E-2"/>
    <n v="100"/>
    <n v="30800"/>
    <n v="39300"/>
    <n v="8500"/>
    <n v="0.94318181818181823"/>
    <n v="5.3012048192771083E-2"/>
    <n v="0.21628498727735368"/>
    <n v="78.371501272264638"/>
    <n v="443"/>
    <n v="0.93679458239277658"/>
    <n v="21.628498727735369"/>
    <n v="0.88713318284424381"/>
  </r>
  <r>
    <d v="2026-09-23T00:00:00"/>
    <x v="2"/>
    <x v="1"/>
    <x v="0"/>
    <x v="2"/>
    <n v="500"/>
    <n v="444"/>
    <n v="24"/>
    <n v="420"/>
    <n v="49"/>
    <n v="0.10208333333333333"/>
    <n v="90"/>
    <n v="30800"/>
    <n v="37800"/>
    <n v="7000"/>
    <n v="0.88800000000000001"/>
    <n v="5.4054054054054057E-2"/>
    <n v="0.18518518518518517"/>
    <n v="73.333333333333329"/>
    <n v="431"/>
    <n v="1.0301624129930393"/>
    <n v="16.666666666666668"/>
    <n v="0.97447795823665895"/>
  </r>
  <r>
    <d v="2026-09-23T00:00:00"/>
    <x v="2"/>
    <x v="1"/>
    <x v="1"/>
    <x v="0"/>
    <n v="450"/>
    <n v="410"/>
    <n v="25"/>
    <n v="385"/>
    <n v="67"/>
    <n v="0.13958333333333334"/>
    <n v="100"/>
    <n v="30800"/>
    <n v="38500"/>
    <n v="7700"/>
    <n v="0.91111111111111109"/>
    <n v="6.097560975609756E-2"/>
    <n v="0.2"/>
    <n v="80"/>
    <n v="413"/>
    <n v="0.99273607748184023"/>
    <n v="20"/>
    <n v="0.93220338983050843"/>
  </r>
  <r>
    <d v="2026-09-23T00:00:00"/>
    <x v="2"/>
    <x v="1"/>
    <x v="2"/>
    <x v="1"/>
    <n v="400"/>
    <n v="344"/>
    <n v="23"/>
    <n v="321"/>
    <n v="61"/>
    <n v="0.12708333333333333"/>
    <n v="120"/>
    <n v="30800"/>
    <n v="38520"/>
    <n v="7720"/>
    <n v="0.86"/>
    <n v="6.6860465116279064E-2"/>
    <n v="0.20041536863966772"/>
    <n v="95.950155763239877"/>
    <n v="419"/>
    <n v="0.82100238663484482"/>
    <n v="24.049844236760123"/>
    <n v="0.76610978520286399"/>
  </r>
  <r>
    <d v="2026-09-23T00:00:00"/>
    <x v="2"/>
    <x v="2"/>
    <x v="0"/>
    <x v="0"/>
    <n v="430"/>
    <n v="411"/>
    <n v="15"/>
    <n v="396"/>
    <n v="15"/>
    <n v="3.125E-2"/>
    <n v="100"/>
    <n v="30800"/>
    <n v="39600"/>
    <n v="8800"/>
    <n v="0.95581395348837206"/>
    <n v="3.6496350364963501E-2"/>
    <n v="0.22222222222222221"/>
    <n v="77.777777777777771"/>
    <n v="465"/>
    <n v="0.88387096774193552"/>
    <n v="22.222222222222221"/>
    <n v="0.85161290322580641"/>
  </r>
  <r>
    <d v="2026-09-23T00:00:00"/>
    <x v="2"/>
    <x v="2"/>
    <x v="1"/>
    <x v="1"/>
    <n v="410"/>
    <n v="396"/>
    <n v="8"/>
    <n v="388"/>
    <n v="17"/>
    <n v="3.5416666666666666E-2"/>
    <n v="120"/>
    <n v="30800"/>
    <n v="46560"/>
    <n v="15760"/>
    <n v="0.96585365853658534"/>
    <n v="2.0202020202020204E-2"/>
    <n v="0.33848797250859108"/>
    <n v="79.381443298969074"/>
    <n v="463"/>
    <n v="0.85529157667386613"/>
    <n v="40.618556701030926"/>
    <n v="0.83801295896328298"/>
  </r>
  <r>
    <d v="2026-09-23T00:00:00"/>
    <x v="2"/>
    <x v="2"/>
    <x v="2"/>
    <x v="2"/>
    <n v="510"/>
    <n v="468"/>
    <n v="21"/>
    <n v="447"/>
    <n v="27"/>
    <n v="5.6250000000000001E-2"/>
    <n v="90"/>
    <n v="30800"/>
    <n v="40230"/>
    <n v="9430"/>
    <n v="0.91764705882352937"/>
    <n v="4.4871794871794872E-2"/>
    <n v="0.23440218742232166"/>
    <n v="68.903803131991054"/>
    <n v="453"/>
    <n v="1.0331125827814569"/>
    <n v="21.096196868008949"/>
    <n v="0.98675496688741726"/>
  </r>
  <r>
    <d v="2026-09-24T00:00:00"/>
    <x v="2"/>
    <x v="0"/>
    <x v="0"/>
    <x v="2"/>
    <n v="480"/>
    <n v="459"/>
    <n v="13"/>
    <n v="446"/>
    <n v="15"/>
    <n v="3.125E-2"/>
    <n v="90"/>
    <n v="30800"/>
    <n v="40140"/>
    <n v="9340"/>
    <n v="0.95625000000000004"/>
    <n v="2.8322440087145968E-2"/>
    <n v="0.23268560039860489"/>
    <n v="69.058295964125563"/>
    <n v="465"/>
    <n v="0.98709677419354835"/>
    <n v="20.941704035874441"/>
    <n v="0.95913978494623653"/>
  </r>
  <r>
    <d v="2026-09-24T00:00:00"/>
    <x v="2"/>
    <x v="0"/>
    <x v="1"/>
    <x v="0"/>
    <n v="440"/>
    <n v="411"/>
    <n v="22"/>
    <n v="389"/>
    <n v="49"/>
    <n v="0.10208333333333333"/>
    <n v="100"/>
    <n v="30800"/>
    <n v="38900"/>
    <n v="8100"/>
    <n v="0.93409090909090908"/>
    <n v="5.3527980535279802E-2"/>
    <n v="0.20822622107969152"/>
    <n v="79.177377892030847"/>
    <n v="431"/>
    <n v="0.95359628770301619"/>
    <n v="20.822622107969153"/>
    <n v="0.90255220417633408"/>
  </r>
  <r>
    <d v="2026-09-24T00:00:00"/>
    <x v="2"/>
    <x v="0"/>
    <x v="2"/>
    <x v="1"/>
    <n v="390"/>
    <n v="366"/>
    <n v="18"/>
    <n v="348"/>
    <n v="41"/>
    <n v="8.5416666666666669E-2"/>
    <n v="120"/>
    <n v="30800"/>
    <n v="41760"/>
    <n v="10960"/>
    <n v="0.93846153846153846"/>
    <n v="4.9180327868852458E-2"/>
    <n v="0.26245210727969348"/>
    <n v="88.505747126436788"/>
    <n v="439"/>
    <n v="0.83371298405466976"/>
    <n v="31.494252873563219"/>
    <n v="0.79271070615034167"/>
  </r>
  <r>
    <d v="2026-09-24T00:00:00"/>
    <x v="2"/>
    <x v="1"/>
    <x v="0"/>
    <x v="0"/>
    <n v="440"/>
    <n v="390"/>
    <n v="27"/>
    <n v="363"/>
    <n v="53"/>
    <n v="0.11041666666666666"/>
    <n v="100"/>
    <n v="30800"/>
    <n v="36300"/>
    <n v="5500"/>
    <n v="0.88636363636363635"/>
    <n v="6.9230769230769235E-2"/>
    <n v="0.15151515151515152"/>
    <n v="84.848484848484844"/>
    <n v="427"/>
    <n v="0.9133489461358314"/>
    <n v="15.151515151515152"/>
    <n v="0.85011709601873531"/>
  </r>
  <r>
    <d v="2026-09-24T00:00:00"/>
    <x v="2"/>
    <x v="1"/>
    <x v="1"/>
    <x v="1"/>
    <n v="390"/>
    <n v="355"/>
    <n v="16"/>
    <n v="339"/>
    <n v="66"/>
    <n v="0.13750000000000001"/>
    <n v="120"/>
    <n v="30800"/>
    <n v="40680"/>
    <n v="9880"/>
    <n v="0.91025641025641024"/>
    <n v="4.507042253521127E-2"/>
    <n v="0.24287118977384464"/>
    <n v="90.855457227138643"/>
    <n v="414"/>
    <n v="0.85748792270531404"/>
    <n v="29.144542772861357"/>
    <n v="0.8188405797101449"/>
  </r>
  <r>
    <d v="2026-09-24T00:00:00"/>
    <x v="2"/>
    <x v="1"/>
    <x v="2"/>
    <x v="2"/>
    <n v="500"/>
    <n v="423"/>
    <n v="26"/>
    <n v="397"/>
    <n v="64"/>
    <n v="0.13333333333333333"/>
    <n v="90"/>
    <n v="30800"/>
    <n v="35730"/>
    <n v="4930"/>
    <n v="0.84599999999999997"/>
    <n v="6.1465721040189124E-2"/>
    <n v="0.13797928911279037"/>
    <n v="77.581863979848862"/>
    <n v="416"/>
    <n v="1.0168269230769231"/>
    <n v="12.418136020151133"/>
    <n v="0.95432692307692313"/>
  </r>
  <r>
    <d v="2026-09-24T00:00:00"/>
    <x v="2"/>
    <x v="2"/>
    <x v="0"/>
    <x v="1"/>
    <n v="400"/>
    <n v="394"/>
    <n v="10"/>
    <n v="384"/>
    <n v="29"/>
    <n v="6.0416666666666667E-2"/>
    <n v="120"/>
    <n v="30800"/>
    <n v="46080"/>
    <n v="15280"/>
    <n v="0.98499999999999999"/>
    <n v="2.5380710659898477E-2"/>
    <n v="0.33159722222222221"/>
    <n v="80.208333333333329"/>
    <n v="451"/>
    <n v="0.87361419068736146"/>
    <n v="39.791666666666664"/>
    <n v="0.85144124168514412"/>
  </r>
  <r>
    <d v="2026-09-24T00:00:00"/>
    <x v="2"/>
    <x v="2"/>
    <x v="1"/>
    <x v="2"/>
    <n v="500"/>
    <n v="469"/>
    <n v="12"/>
    <n v="457"/>
    <n v="12"/>
    <n v="2.5000000000000001E-2"/>
    <n v="90"/>
    <n v="30800"/>
    <n v="41130"/>
    <n v="10330"/>
    <n v="0.93799999999999994"/>
    <n v="2.5586353944562899E-2"/>
    <n v="0.2511548747872599"/>
    <n v="67.396061269146614"/>
    <n v="468"/>
    <n v="1.0021367521367521"/>
    <n v="22.603938730853393"/>
    <n v="0.97649572649572647"/>
  </r>
  <r>
    <d v="2026-09-24T00:00:00"/>
    <x v="2"/>
    <x v="2"/>
    <x v="2"/>
    <x v="0"/>
    <n v="460"/>
    <n v="428"/>
    <n v="21"/>
    <n v="407"/>
    <n v="45"/>
    <n v="9.375E-2"/>
    <n v="100"/>
    <n v="30800"/>
    <n v="40700"/>
    <n v="9900"/>
    <n v="0.93043478260869561"/>
    <n v="4.9065420560747662E-2"/>
    <n v="0.24324324324324326"/>
    <n v="75.675675675675677"/>
    <n v="435"/>
    <n v="0.98390804597701154"/>
    <n v="24.324324324324323"/>
    <n v="0.93563218390804592"/>
  </r>
  <r>
    <d v="2026-09-25T00:00:00"/>
    <x v="2"/>
    <x v="0"/>
    <x v="0"/>
    <x v="0"/>
    <n v="450"/>
    <n v="421"/>
    <n v="20"/>
    <n v="401"/>
    <n v="43"/>
    <n v="8.9583333333333334E-2"/>
    <n v="100"/>
    <n v="30800"/>
    <n v="40100"/>
    <n v="9300"/>
    <n v="0.93555555555555558"/>
    <n v="4.7505938242280284E-2"/>
    <n v="0.23192019950124687"/>
    <n v="76.807980049875312"/>
    <n v="437"/>
    <n v="0.96338672768878719"/>
    <n v="23.192019950124688"/>
    <n v="0.91762013729977121"/>
  </r>
  <r>
    <d v="2026-09-25T00:00:00"/>
    <x v="2"/>
    <x v="0"/>
    <x v="1"/>
    <x v="1"/>
    <n v="390"/>
    <n v="373"/>
    <n v="13"/>
    <n v="360"/>
    <n v="33"/>
    <n v="6.8750000000000006E-2"/>
    <n v="120"/>
    <n v="30800"/>
    <n v="43200"/>
    <n v="12400"/>
    <n v="0.95641025641025645"/>
    <n v="3.4852546916890083E-2"/>
    <n v="0.28703703703703703"/>
    <n v="85.555555555555557"/>
    <n v="447"/>
    <n v="0.83445190156599558"/>
    <n v="34.444444444444443"/>
    <n v="0.80536912751677847"/>
  </r>
  <r>
    <d v="2026-09-25T00:00:00"/>
    <x v="2"/>
    <x v="0"/>
    <x v="2"/>
    <x v="2"/>
    <n v="500"/>
    <n v="447"/>
    <n v="22"/>
    <n v="425"/>
    <n v="29"/>
    <n v="6.0416666666666667E-2"/>
    <n v="90"/>
    <n v="30800"/>
    <n v="38250"/>
    <n v="7450"/>
    <n v="0.89400000000000002"/>
    <n v="4.9217002237136466E-2"/>
    <n v="0.19477124183006536"/>
    <n v="72.470588235294116"/>
    <n v="451"/>
    <n v="0.99113082039911304"/>
    <n v="17.529411764705884"/>
    <n v="0.94235033259423506"/>
  </r>
  <r>
    <d v="2026-09-25T00:00:00"/>
    <x v="2"/>
    <x v="1"/>
    <x v="0"/>
    <x v="1"/>
    <n v="410"/>
    <n v="362"/>
    <n v="14"/>
    <n v="348"/>
    <n v="39"/>
    <n v="8.1250000000000003E-2"/>
    <n v="120"/>
    <n v="30800"/>
    <n v="41760"/>
    <n v="10960"/>
    <n v="0.88292682926829269"/>
    <n v="3.8674033149171269E-2"/>
    <n v="0.26245210727969348"/>
    <n v="88.505747126436788"/>
    <n v="441"/>
    <n v="0.82086167800453513"/>
    <n v="31.494252873563219"/>
    <n v="0.78911564625850339"/>
  </r>
  <r>
    <d v="2026-09-25T00:00:00"/>
    <x v="2"/>
    <x v="1"/>
    <x v="1"/>
    <x v="2"/>
    <n v="490"/>
    <n v="431"/>
    <n v="22"/>
    <n v="409"/>
    <n v="54"/>
    <n v="0.1125"/>
    <n v="90"/>
    <n v="30800"/>
    <n v="36810"/>
    <n v="6010"/>
    <n v="0.87959183673469388"/>
    <n v="5.1044083526682132E-2"/>
    <n v="0.16327085031241512"/>
    <n v="75.30562347188264"/>
    <n v="426"/>
    <n v="1.011737089201878"/>
    <n v="14.69437652811736"/>
    <n v="0.960093896713615"/>
  </r>
  <r>
    <d v="2026-09-25T00:00:00"/>
    <x v="2"/>
    <x v="1"/>
    <x v="2"/>
    <x v="0"/>
    <n v="440"/>
    <n v="379"/>
    <n v="26"/>
    <n v="353"/>
    <n v="71"/>
    <n v="0.14791666666666667"/>
    <n v="100"/>
    <n v="30800"/>
    <n v="35300"/>
    <n v="4500"/>
    <n v="0.86136363636363633"/>
    <n v="6.860158311345646E-2"/>
    <n v="0.12747875354107649"/>
    <n v="87.252124645892351"/>
    <n v="409"/>
    <n v="0.92665036674816625"/>
    <n v="12.747875354107649"/>
    <n v="0.86308068459657705"/>
  </r>
  <r>
    <d v="2026-09-25T00:00:00"/>
    <x v="2"/>
    <x v="2"/>
    <x v="0"/>
    <x v="2"/>
    <n v="520"/>
    <n v="514"/>
    <n v="13"/>
    <n v="501"/>
    <n v="12"/>
    <n v="2.5000000000000001E-2"/>
    <n v="90"/>
    <n v="30800"/>
    <n v="45090"/>
    <n v="14290"/>
    <n v="0.9884615384615385"/>
    <n v="2.5291828793774319E-2"/>
    <n v="0.31692171213129294"/>
    <n v="61.477045908183634"/>
    <n v="468"/>
    <n v="1.0982905982905984"/>
    <n v="28.522954091816366"/>
    <n v="1.0705128205128205"/>
  </r>
  <r>
    <d v="2026-09-25T00:00:00"/>
    <x v="2"/>
    <x v="2"/>
    <x v="1"/>
    <x v="0"/>
    <n v="430"/>
    <n v="405"/>
    <n v="15"/>
    <n v="390"/>
    <n v="40"/>
    <n v="8.3333333333333329E-2"/>
    <n v="100"/>
    <n v="30800"/>
    <n v="39000"/>
    <n v="8200"/>
    <n v="0.94186046511627908"/>
    <n v="3.7037037037037035E-2"/>
    <n v="0.21025641025641026"/>
    <n v="78.974358974358978"/>
    <n v="440"/>
    <n v="0.92045454545454541"/>
    <n v="21.025641025641026"/>
    <n v="0.88636363636363635"/>
  </r>
  <r>
    <d v="2026-09-25T00:00:00"/>
    <x v="2"/>
    <x v="2"/>
    <x v="2"/>
    <x v="1"/>
    <n v="400"/>
    <n v="385"/>
    <n v="15"/>
    <n v="370"/>
    <n v="25"/>
    <n v="5.2083333333333336E-2"/>
    <n v="120"/>
    <n v="30800"/>
    <n v="44400"/>
    <n v="13600"/>
    <n v="0.96250000000000002"/>
    <n v="3.896103896103896E-2"/>
    <n v="0.30630630630630629"/>
    <n v="83.243243243243242"/>
    <n v="455"/>
    <n v="0.84615384615384615"/>
    <n v="36.756756756756758"/>
    <n v="0.81318681318681318"/>
  </r>
  <r>
    <d v="2026-09-26T00:00:00"/>
    <x v="2"/>
    <x v="0"/>
    <x v="0"/>
    <x v="1"/>
    <n v="410"/>
    <n v="396"/>
    <n v="11"/>
    <n v="385"/>
    <n v="27"/>
    <n v="5.6250000000000001E-2"/>
    <n v="120"/>
    <n v="30800"/>
    <n v="46200"/>
    <n v="15400"/>
    <n v="0.96585365853658534"/>
    <n v="2.7777777777777776E-2"/>
    <n v="0.33333333333333331"/>
    <n v="80"/>
    <n v="453"/>
    <n v="0.8741721854304636"/>
    <n v="40"/>
    <n v="0.84988962472406182"/>
  </r>
  <r>
    <d v="2026-09-26T00:00:00"/>
    <x v="2"/>
    <x v="0"/>
    <x v="1"/>
    <x v="2"/>
    <n v="500"/>
    <n v="462"/>
    <n v="15"/>
    <n v="447"/>
    <n v="21"/>
    <n v="4.3749999999999997E-2"/>
    <n v="90"/>
    <n v="30800"/>
    <n v="40230"/>
    <n v="9430"/>
    <n v="0.92400000000000004"/>
    <n v="3.2467532467532464E-2"/>
    <n v="0.23440218742232166"/>
    <n v="68.903803131991054"/>
    <n v="459"/>
    <n v="1.0065359477124183"/>
    <n v="21.096196868008949"/>
    <n v="0.97385620915032678"/>
  </r>
  <r>
    <d v="2026-09-26T00:00:00"/>
    <x v="2"/>
    <x v="0"/>
    <x v="2"/>
    <x v="0"/>
    <n v="440"/>
    <n v="408"/>
    <n v="23"/>
    <n v="385"/>
    <n v="39"/>
    <n v="8.1250000000000003E-2"/>
    <n v="100"/>
    <n v="30800"/>
    <n v="38500"/>
    <n v="7700"/>
    <n v="0.92727272727272725"/>
    <n v="5.6372549019607844E-2"/>
    <n v="0.2"/>
    <n v="80"/>
    <n v="441"/>
    <n v="0.92517006802721091"/>
    <n v="20"/>
    <n v="0.87301587301587302"/>
  </r>
  <r>
    <d v="2026-09-26T00:00:00"/>
    <x v="2"/>
    <x v="1"/>
    <x v="0"/>
    <x v="2"/>
    <n v="510"/>
    <n v="475"/>
    <n v="20"/>
    <n v="455"/>
    <n v="35"/>
    <n v="7.2916666666666671E-2"/>
    <n v="90"/>
    <n v="30800"/>
    <n v="40950"/>
    <n v="10150"/>
    <n v="0.93137254901960786"/>
    <n v="4.2105263157894736E-2"/>
    <n v="0.24786324786324787"/>
    <n v="67.692307692307693"/>
    <n v="445"/>
    <n v="1.0674157303370786"/>
    <n v="22.307692307692307"/>
    <n v="1.0224719101123596"/>
  </r>
  <r>
    <d v="2026-09-26T00:00:00"/>
    <x v="2"/>
    <x v="1"/>
    <x v="1"/>
    <x v="0"/>
    <n v="460"/>
    <n v="408"/>
    <n v="30"/>
    <n v="378"/>
    <n v="67"/>
    <n v="0.13958333333333334"/>
    <n v="100"/>
    <n v="30800"/>
    <n v="37800"/>
    <n v="7000"/>
    <n v="0.88695652173913042"/>
    <n v="7.3529411764705885E-2"/>
    <n v="0.18518518518518517"/>
    <n v="81.481481481481481"/>
    <n v="413"/>
    <n v="0.98789346246973364"/>
    <n v="18.518518518518519"/>
    <n v="0.9152542372881356"/>
  </r>
  <r>
    <d v="2026-09-26T00:00:00"/>
    <x v="2"/>
    <x v="1"/>
    <x v="2"/>
    <x v="1"/>
    <n v="410"/>
    <n v="346"/>
    <n v="22"/>
    <n v="324"/>
    <n v="54"/>
    <n v="0.1125"/>
    <n v="120"/>
    <n v="30800"/>
    <n v="38880"/>
    <n v="8080"/>
    <n v="0.84390243902439022"/>
    <n v="6.358381502890173E-2"/>
    <n v="0.20781893004115226"/>
    <n v="95.061728395061735"/>
    <n v="426"/>
    <n v="0.81220657276995301"/>
    <n v="24.938271604938272"/>
    <n v="0.76056338028169013"/>
  </r>
  <r>
    <d v="2026-09-26T00:00:00"/>
    <x v="2"/>
    <x v="2"/>
    <x v="0"/>
    <x v="0"/>
    <n v="450"/>
    <n v="452"/>
    <n v="16"/>
    <n v="436"/>
    <n v="27"/>
    <n v="5.6250000000000001E-2"/>
    <n v="100"/>
    <n v="30800"/>
    <n v="43600"/>
    <n v="12800"/>
    <n v="1.0044444444444445"/>
    <n v="3.5398230088495575E-2"/>
    <n v="0.29357798165137616"/>
    <n v="70.642201834862391"/>
    <n v="453"/>
    <n v="0.99779249448123619"/>
    <n v="29.357798165137616"/>
    <n v="0.96247240618101548"/>
  </r>
  <r>
    <d v="2026-09-26T00:00:00"/>
    <x v="2"/>
    <x v="2"/>
    <x v="1"/>
    <x v="1"/>
    <n v="410"/>
    <n v="400"/>
    <n v="13"/>
    <n v="387"/>
    <n v="20"/>
    <n v="4.1666666666666664E-2"/>
    <n v="120"/>
    <n v="30800"/>
    <n v="46440"/>
    <n v="15640"/>
    <n v="0.97560975609756095"/>
    <n v="3.2500000000000001E-2"/>
    <n v="0.33677863910422051"/>
    <n v="79.586563307493535"/>
    <n v="460"/>
    <n v="0.86956521739130432"/>
    <n v="40.413436692506458"/>
    <n v="0.84130434782608698"/>
  </r>
  <r>
    <d v="2026-09-26T00:00:00"/>
    <x v="2"/>
    <x v="2"/>
    <x v="2"/>
    <x v="2"/>
    <n v="510"/>
    <n v="465"/>
    <n v="21"/>
    <n v="444"/>
    <n v="23"/>
    <n v="4.791666666666667E-2"/>
    <n v="90"/>
    <n v="30800"/>
    <n v="39960"/>
    <n v="9160"/>
    <n v="0.91176470588235292"/>
    <n v="4.5161290322580643E-2"/>
    <n v="0.22922922922922923"/>
    <n v="69.369369369369366"/>
    <n v="457"/>
    <n v="1.0175054704595186"/>
    <n v="20.63063063063063"/>
    <n v="0.97155361050328226"/>
  </r>
  <r>
    <d v="2026-09-27T00:00:00"/>
    <x v="2"/>
    <x v="0"/>
    <x v="0"/>
    <x v="2"/>
    <n v="500"/>
    <n v="482"/>
    <n v="18"/>
    <n v="464"/>
    <n v="34"/>
    <n v="7.0833333333333331E-2"/>
    <n v="90"/>
    <n v="30800"/>
    <n v="41760"/>
    <n v="10960"/>
    <n v="0.96399999999999997"/>
    <n v="3.7344398340248962E-2"/>
    <n v="0.26245210727969348"/>
    <n v="66.379310344827587"/>
    <n v="446"/>
    <n v="1.0807174887892377"/>
    <n v="23.620689655172413"/>
    <n v="1.0403587443946187"/>
  </r>
  <r>
    <d v="2026-09-27T00:00:00"/>
    <x v="2"/>
    <x v="0"/>
    <x v="1"/>
    <x v="0"/>
    <n v="440"/>
    <n v="414"/>
    <n v="19"/>
    <n v="395"/>
    <n v="30"/>
    <n v="6.25E-2"/>
    <n v="100"/>
    <n v="30800"/>
    <n v="39500"/>
    <n v="8700"/>
    <n v="0.94090909090909092"/>
    <n v="4.5893719806763288E-2"/>
    <n v="0.22025316455696203"/>
    <n v="77.974683544303801"/>
    <n v="450"/>
    <n v="0.92"/>
    <n v="22.025316455696203"/>
    <n v="0.87777777777777777"/>
  </r>
  <r>
    <d v="2026-09-27T00:00:00"/>
    <x v="2"/>
    <x v="0"/>
    <x v="2"/>
    <x v="1"/>
    <n v="410"/>
    <n v="382"/>
    <n v="18"/>
    <n v="364"/>
    <n v="46"/>
    <n v="9.583333333333334E-2"/>
    <n v="120"/>
    <n v="30800"/>
    <n v="43680"/>
    <n v="12880"/>
    <n v="0.93170731707317078"/>
    <n v="4.712041884816754E-2"/>
    <n v="0.29487179487179488"/>
    <n v="84.615384615384613"/>
    <n v="434"/>
    <n v="0.88018433179723499"/>
    <n v="35.384615384615387"/>
    <n v="0.83870967741935487"/>
  </r>
  <r>
    <d v="2026-09-27T00:00:00"/>
    <x v="2"/>
    <x v="1"/>
    <x v="0"/>
    <x v="0"/>
    <n v="440"/>
    <n v="397"/>
    <n v="22"/>
    <n v="375"/>
    <n v="49"/>
    <n v="0.10208333333333333"/>
    <n v="100"/>
    <n v="30800"/>
    <n v="37500"/>
    <n v="6700"/>
    <n v="0.90227272727272723"/>
    <n v="5.5415617128463476E-2"/>
    <n v="0.17866666666666667"/>
    <n v="82.13333333333334"/>
    <n v="431"/>
    <n v="0.92111368909512759"/>
    <n v="17.866666666666667"/>
    <n v="0.87006960556844548"/>
  </r>
  <r>
    <d v="2026-09-27T00:00:00"/>
    <x v="2"/>
    <x v="1"/>
    <x v="1"/>
    <x v="1"/>
    <n v="390"/>
    <n v="355"/>
    <n v="19"/>
    <n v="336"/>
    <n v="67"/>
    <n v="0.13958333333333334"/>
    <n v="120"/>
    <n v="30800"/>
    <n v="40320"/>
    <n v="9520"/>
    <n v="0.91025641025641024"/>
    <n v="5.3521126760563378E-2"/>
    <n v="0.2361111111111111"/>
    <n v="91.666666666666671"/>
    <n v="413"/>
    <n v="0.85956416464891039"/>
    <n v="28.333333333333332"/>
    <n v="0.81355932203389836"/>
  </r>
  <r>
    <d v="2026-09-27T00:00:00"/>
    <x v="2"/>
    <x v="1"/>
    <x v="2"/>
    <x v="2"/>
    <n v="510"/>
    <n v="434"/>
    <n v="31"/>
    <n v="403"/>
    <n v="54"/>
    <n v="0.1125"/>
    <n v="90"/>
    <n v="30800"/>
    <n v="36270"/>
    <n v="5470"/>
    <n v="0.85098039215686272"/>
    <n v="7.1428571428571425E-2"/>
    <n v="0.15081334436173147"/>
    <n v="76.426799007444174"/>
    <n v="426"/>
    <n v="1.0187793427230047"/>
    <n v="13.573200992555831"/>
    <n v="0.9460093896713615"/>
  </r>
  <r>
    <d v="2026-09-27T00:00:00"/>
    <x v="2"/>
    <x v="2"/>
    <x v="0"/>
    <x v="1"/>
    <n v="400"/>
    <n v="396"/>
    <n v="6"/>
    <n v="390"/>
    <n v="31"/>
    <n v="6.458333333333334E-2"/>
    <n v="120"/>
    <n v="30800"/>
    <n v="46800"/>
    <n v="16000"/>
    <n v="0.99"/>
    <n v="1.5151515151515152E-2"/>
    <n v="0.34188034188034189"/>
    <n v="78.974358974358978"/>
    <n v="449"/>
    <n v="0.8819599109131403"/>
    <n v="41.025641025641029"/>
    <n v="0.86859688195991092"/>
  </r>
  <r>
    <d v="2026-09-27T00:00:00"/>
    <x v="2"/>
    <x v="2"/>
    <x v="1"/>
    <x v="2"/>
    <n v="500"/>
    <n v="489"/>
    <n v="16"/>
    <n v="473"/>
    <n v="16"/>
    <n v="3.3333333333333333E-2"/>
    <n v="90"/>
    <n v="30800"/>
    <n v="42570"/>
    <n v="11770"/>
    <n v="0.97799999999999998"/>
    <n v="3.2719836400817999E-2"/>
    <n v="0.27648578811369506"/>
    <n v="65.116279069767444"/>
    <n v="464"/>
    <n v="1.0538793103448276"/>
    <n v="24.88372093023256"/>
    <n v="1.0193965517241379"/>
  </r>
  <r>
    <d v="2026-09-27T00:00:00"/>
    <x v="2"/>
    <x v="2"/>
    <x v="2"/>
    <x v="0"/>
    <n v="460"/>
    <n v="435"/>
    <n v="19"/>
    <n v="416"/>
    <n v="33"/>
    <n v="6.8750000000000006E-2"/>
    <n v="100"/>
    <n v="30800"/>
    <n v="41600"/>
    <n v="10800"/>
    <n v="0.94565217391304346"/>
    <n v="4.3678160919540229E-2"/>
    <n v="0.25961538461538464"/>
    <n v="74.038461538461533"/>
    <n v="447"/>
    <n v="0.97315436241610742"/>
    <n v="25.96153846153846"/>
    <n v="0.93064876957494402"/>
  </r>
  <r>
    <d v="2026-09-28T00:00:00"/>
    <x v="2"/>
    <x v="0"/>
    <x v="0"/>
    <x v="0"/>
    <n v="460"/>
    <n v="451"/>
    <n v="23"/>
    <n v="428"/>
    <n v="25"/>
    <n v="5.2083333333333336E-2"/>
    <n v="100"/>
    <n v="30800"/>
    <n v="42800"/>
    <n v="12000"/>
    <n v="0.98043478260869565"/>
    <n v="5.0997782705099776E-2"/>
    <n v="0.28037383177570091"/>
    <n v="71.962616822429908"/>
    <n v="455"/>
    <n v="0.99120879120879124"/>
    <n v="28.037383177570092"/>
    <n v="0.94065934065934065"/>
  </r>
  <r>
    <d v="2026-09-28T00:00:00"/>
    <x v="2"/>
    <x v="0"/>
    <x v="1"/>
    <x v="1"/>
    <n v="390"/>
    <n v="366"/>
    <n v="11"/>
    <n v="355"/>
    <n v="41"/>
    <n v="8.5416666666666669E-2"/>
    <n v="120"/>
    <n v="30800"/>
    <n v="42600"/>
    <n v="11800"/>
    <n v="0.93846153846153846"/>
    <n v="3.0054644808743168E-2"/>
    <n v="0.27699530516431925"/>
    <n v="86.760563380281695"/>
    <n v="439"/>
    <n v="0.83371298405466976"/>
    <n v="33.239436619718312"/>
    <n v="0.80865603644646922"/>
  </r>
  <r>
    <d v="2026-09-28T00:00:00"/>
    <x v="2"/>
    <x v="0"/>
    <x v="2"/>
    <x v="2"/>
    <n v="500"/>
    <n v="456"/>
    <n v="23"/>
    <n v="433"/>
    <n v="28"/>
    <n v="5.8333333333333334E-2"/>
    <n v="90"/>
    <n v="30800"/>
    <n v="38970"/>
    <n v="8170"/>
    <n v="0.91200000000000003"/>
    <n v="5.0438596491228067E-2"/>
    <n v="0.20964844752373621"/>
    <n v="71.131639722863738"/>
    <n v="452"/>
    <n v="1.0088495575221239"/>
    <n v="18.868360277136258"/>
    <n v="0.95796460176991149"/>
  </r>
  <r>
    <d v="2026-09-28T00:00:00"/>
    <x v="2"/>
    <x v="1"/>
    <x v="0"/>
    <x v="1"/>
    <n v="400"/>
    <n v="365"/>
    <n v="14"/>
    <n v="351"/>
    <n v="51"/>
    <n v="0.10625"/>
    <n v="120"/>
    <n v="30800"/>
    <n v="42120"/>
    <n v="11320"/>
    <n v="0.91249999999999998"/>
    <n v="3.8356164383561646E-2"/>
    <n v="0.26875593542260207"/>
    <n v="87.749287749287745"/>
    <n v="429"/>
    <n v="0.85081585081585076"/>
    <n v="32.250712250712247"/>
    <n v="0.81818181818181823"/>
  </r>
  <r>
    <d v="2026-09-28T00:00:00"/>
    <x v="2"/>
    <x v="1"/>
    <x v="1"/>
    <x v="2"/>
    <n v="490"/>
    <n v="454"/>
    <n v="27"/>
    <n v="427"/>
    <n v="38"/>
    <n v="7.9166666666666663E-2"/>
    <n v="90"/>
    <n v="30800"/>
    <n v="38430"/>
    <n v="7630"/>
    <n v="0.92653061224489797"/>
    <n v="5.9471365638766517E-2"/>
    <n v="0.19854280510018216"/>
    <n v="72.131147540983605"/>
    <n v="442"/>
    <n v="1.0271493212669682"/>
    <n v="17.868852459016395"/>
    <n v="0.9660633484162896"/>
  </r>
  <r>
    <d v="2026-09-28T00:00:00"/>
    <x v="2"/>
    <x v="1"/>
    <x v="2"/>
    <x v="0"/>
    <n v="450"/>
    <n v="378"/>
    <n v="29"/>
    <n v="349"/>
    <n v="56"/>
    <n v="0.11666666666666667"/>
    <n v="100"/>
    <n v="30800"/>
    <n v="34900"/>
    <n v="4100"/>
    <n v="0.84"/>
    <n v="7.6719576719576715E-2"/>
    <n v="0.1174785100286533"/>
    <n v="88.252148997134668"/>
    <n v="424"/>
    <n v="0.89150943396226412"/>
    <n v="11.74785100286533"/>
    <n v="0.82311320754716977"/>
  </r>
  <r>
    <d v="2026-09-28T00:00:00"/>
    <x v="2"/>
    <x v="2"/>
    <x v="0"/>
    <x v="2"/>
    <n v="520"/>
    <n v="513"/>
    <n v="17"/>
    <n v="496"/>
    <n v="22"/>
    <n v="4.583333333333333E-2"/>
    <n v="90"/>
    <n v="30800"/>
    <n v="44640"/>
    <n v="13840"/>
    <n v="0.98653846153846159"/>
    <n v="3.3138401559454189E-2"/>
    <n v="0.31003584229390679"/>
    <n v="62.096774193548384"/>
    <n v="458"/>
    <n v="1.1200873362445414"/>
    <n v="27.903225806451612"/>
    <n v="1.0829694323144106"/>
  </r>
  <r>
    <d v="2026-09-28T00:00:00"/>
    <x v="2"/>
    <x v="2"/>
    <x v="1"/>
    <x v="0"/>
    <n v="460"/>
    <n v="444"/>
    <n v="18"/>
    <n v="426"/>
    <n v="23"/>
    <n v="4.791666666666667E-2"/>
    <n v="100"/>
    <n v="30800"/>
    <n v="42600"/>
    <n v="11800"/>
    <n v="0.9652173913043478"/>
    <n v="4.0540540540540543E-2"/>
    <n v="0.27699530516431925"/>
    <n v="72.300469483568079"/>
    <n v="457"/>
    <n v="0.97155361050328226"/>
    <n v="27.699530516431924"/>
    <n v="0.93216630196936545"/>
  </r>
  <r>
    <d v="2026-09-28T00:00:00"/>
    <x v="2"/>
    <x v="2"/>
    <x v="2"/>
    <x v="1"/>
    <n v="410"/>
    <n v="381"/>
    <n v="15"/>
    <n v="366"/>
    <n v="42"/>
    <n v="8.7499999999999994E-2"/>
    <n v="120"/>
    <n v="30800"/>
    <n v="43920"/>
    <n v="13120"/>
    <n v="0.92926829268292688"/>
    <n v="3.937007874015748E-2"/>
    <n v="0.2987249544626594"/>
    <n v="84.15300546448087"/>
    <n v="438"/>
    <n v="0.86986301369863017"/>
    <n v="35.846994535519123"/>
    <n v="0.83561643835616439"/>
  </r>
  <r>
    <d v="2026-09-29T00:00:00"/>
    <x v="2"/>
    <x v="0"/>
    <x v="0"/>
    <x v="1"/>
    <n v="410"/>
    <n v="390"/>
    <n v="11"/>
    <n v="379"/>
    <n v="21"/>
    <n v="4.3749999999999997E-2"/>
    <n v="120"/>
    <n v="30800"/>
    <n v="45480"/>
    <n v="14680"/>
    <n v="0.95121951219512191"/>
    <n v="2.8205128205128206E-2"/>
    <n v="0.3227792436235708"/>
    <n v="81.266490765171497"/>
    <n v="459"/>
    <n v="0.84967320261437906"/>
    <n v="38.733509234828496"/>
    <n v="0.82570806100217864"/>
  </r>
  <r>
    <d v="2026-09-29T00:00:00"/>
    <x v="2"/>
    <x v="0"/>
    <x v="1"/>
    <x v="2"/>
    <n v="490"/>
    <n v="460"/>
    <n v="19"/>
    <n v="441"/>
    <n v="29"/>
    <n v="6.0416666666666667E-2"/>
    <n v="90"/>
    <n v="30800"/>
    <n v="39690"/>
    <n v="8890"/>
    <n v="0.93877551020408168"/>
    <n v="4.1304347826086954E-2"/>
    <n v="0.22398589065255731"/>
    <n v="69.841269841269835"/>
    <n v="451"/>
    <n v="1.0199556541019956"/>
    <n v="20.158730158730158"/>
    <n v="0.97782705099778267"/>
  </r>
  <r>
    <d v="2026-09-29T00:00:00"/>
    <x v="2"/>
    <x v="0"/>
    <x v="2"/>
    <x v="0"/>
    <n v="450"/>
    <n v="419"/>
    <n v="21"/>
    <n v="398"/>
    <n v="41"/>
    <n v="8.5416666666666669E-2"/>
    <n v="100"/>
    <n v="30800"/>
    <n v="39800"/>
    <n v="9000"/>
    <n v="0.93111111111111111"/>
    <n v="5.0119331742243436E-2"/>
    <n v="0.22613065326633167"/>
    <n v="77.386934673366838"/>
    <n v="439"/>
    <n v="0.95444191343963558"/>
    <n v="22.613065326633166"/>
    <n v="0.90660592255125283"/>
  </r>
  <r>
    <d v="2026-09-29T00:00:00"/>
    <x v="2"/>
    <x v="1"/>
    <x v="0"/>
    <x v="2"/>
    <n v="490"/>
    <n v="452"/>
    <n v="24"/>
    <n v="428"/>
    <n v="34"/>
    <n v="7.0833333333333331E-2"/>
    <n v="90"/>
    <n v="30800"/>
    <n v="38520"/>
    <n v="7720"/>
    <n v="0.92244897959183669"/>
    <n v="5.3097345132743362E-2"/>
    <n v="0.20041536863966772"/>
    <n v="71.962616822429908"/>
    <n v="446"/>
    <n v="1.0134529147982063"/>
    <n v="18.037383177570092"/>
    <n v="0.95964125560538116"/>
  </r>
  <r>
    <d v="2026-09-29T00:00:00"/>
    <x v="2"/>
    <x v="1"/>
    <x v="1"/>
    <x v="0"/>
    <n v="450"/>
    <n v="396"/>
    <n v="29"/>
    <n v="367"/>
    <n v="60"/>
    <n v="0.125"/>
    <n v="100"/>
    <n v="30800"/>
    <n v="36700"/>
    <n v="5900"/>
    <n v="0.88"/>
    <n v="7.3232323232323232E-2"/>
    <n v="0.16076294277929154"/>
    <n v="83.923705722070849"/>
    <n v="420"/>
    <n v="0.94285714285714284"/>
    <n v="16.076294277929154"/>
    <n v="0.87380952380952381"/>
  </r>
  <r>
    <d v="2026-09-29T00:00:00"/>
    <x v="2"/>
    <x v="1"/>
    <x v="2"/>
    <x v="1"/>
    <n v="400"/>
    <n v="354"/>
    <n v="22"/>
    <n v="332"/>
    <n v="52"/>
    <n v="0.10833333333333334"/>
    <n v="120"/>
    <n v="30800"/>
    <n v="39840"/>
    <n v="9040"/>
    <n v="0.88500000000000001"/>
    <n v="6.2146892655367235E-2"/>
    <n v="0.22690763052208834"/>
    <n v="92.771084337349393"/>
    <n v="428"/>
    <n v="0.82710280373831779"/>
    <n v="27.228915662650603"/>
    <n v="0.77570093457943923"/>
  </r>
  <r>
    <d v="2026-09-29T00:00:00"/>
    <x v="2"/>
    <x v="2"/>
    <x v="0"/>
    <x v="0"/>
    <n v="430"/>
    <n v="424"/>
    <n v="17"/>
    <n v="407"/>
    <n v="18"/>
    <n v="3.7499999999999999E-2"/>
    <n v="100"/>
    <n v="30800"/>
    <n v="40700"/>
    <n v="9900"/>
    <n v="0.98604651162790702"/>
    <n v="4.0094339622641507E-2"/>
    <n v="0.24324324324324326"/>
    <n v="75.675675675675677"/>
    <n v="462"/>
    <n v="0.91774891774891776"/>
    <n v="24.324324324324323"/>
    <n v="0.88095238095238093"/>
  </r>
  <r>
    <d v="2026-09-29T00:00:00"/>
    <x v="2"/>
    <x v="2"/>
    <x v="1"/>
    <x v="1"/>
    <n v="400"/>
    <n v="390"/>
    <n v="11"/>
    <n v="379"/>
    <n v="32"/>
    <n v="6.6666666666666666E-2"/>
    <n v="120"/>
    <n v="30800"/>
    <n v="45480"/>
    <n v="14680"/>
    <n v="0.97499999999999998"/>
    <n v="2.8205128205128206E-2"/>
    <n v="0.3227792436235708"/>
    <n v="81.266490765171497"/>
    <n v="448"/>
    <n v="0.8705357142857143"/>
    <n v="38.733509234828496"/>
    <n v="0.8459821428571429"/>
  </r>
  <r>
    <d v="2026-09-29T00:00:00"/>
    <x v="2"/>
    <x v="2"/>
    <x v="2"/>
    <x v="2"/>
    <n v="500"/>
    <n v="456"/>
    <n v="21"/>
    <n v="435"/>
    <n v="36"/>
    <n v="7.4999999999999997E-2"/>
    <n v="90"/>
    <n v="30800"/>
    <n v="39150"/>
    <n v="8350"/>
    <n v="0.91200000000000003"/>
    <n v="4.6052631578947366E-2"/>
    <n v="0.21328224776500637"/>
    <n v="70.804597701149419"/>
    <n v="444"/>
    <n v="1.027027027027027"/>
    <n v="19.195402298850574"/>
    <n v="0.97972972972972971"/>
  </r>
  <r>
    <d v="2026-09-30T00:00:00"/>
    <x v="2"/>
    <x v="0"/>
    <x v="0"/>
    <x v="2"/>
    <n v="520"/>
    <n v="508"/>
    <n v="20"/>
    <n v="488"/>
    <n v="35"/>
    <n v="7.2916666666666671E-2"/>
    <n v="90"/>
    <n v="30800"/>
    <n v="43920"/>
    <n v="13120"/>
    <n v="0.97692307692307689"/>
    <n v="3.937007874015748E-2"/>
    <n v="0.2987249544626594"/>
    <n v="63.114754098360656"/>
    <n v="445"/>
    <n v="1.1415730337078651"/>
    <n v="26.885245901639344"/>
    <n v="1.0966292134831461"/>
  </r>
  <r>
    <d v="2026-09-30T00:00:00"/>
    <x v="2"/>
    <x v="0"/>
    <x v="1"/>
    <x v="0"/>
    <n v="440"/>
    <n v="426"/>
    <n v="18"/>
    <n v="408"/>
    <n v="51"/>
    <n v="0.10625"/>
    <n v="100"/>
    <n v="30800"/>
    <n v="40800"/>
    <n v="10000"/>
    <n v="0.96818181818181814"/>
    <n v="4.2253521126760563E-2"/>
    <n v="0.24509803921568626"/>
    <n v="75.490196078431367"/>
    <n v="429"/>
    <n v="0.99300699300699302"/>
    <n v="24.509803921568629"/>
    <n v="0.95104895104895104"/>
  </r>
  <r>
    <d v="2026-09-30T00:00:00"/>
    <x v="2"/>
    <x v="0"/>
    <x v="2"/>
    <x v="1"/>
    <n v="400"/>
    <n v="364"/>
    <n v="17"/>
    <n v="347"/>
    <n v="44"/>
    <n v="9.166666666666666E-2"/>
    <n v="120"/>
    <n v="30800"/>
    <n v="41640"/>
    <n v="10840"/>
    <n v="0.91"/>
    <n v="4.6703296703296704E-2"/>
    <n v="0.26032660902977905"/>
    <n v="88.760806916426517"/>
    <n v="436"/>
    <n v="0.83486238532110091"/>
    <n v="31.239193083573486"/>
    <n v="0.79587155963302747"/>
  </r>
  <r>
    <d v="2026-09-30T00:00:00"/>
    <x v="2"/>
    <x v="1"/>
    <x v="0"/>
    <x v="0"/>
    <n v="460"/>
    <n v="426"/>
    <n v="25"/>
    <n v="401"/>
    <n v="51"/>
    <n v="0.10625"/>
    <n v="100"/>
    <n v="30800"/>
    <n v="40100"/>
    <n v="9300"/>
    <n v="0.92608695652173911"/>
    <n v="5.8685446009389672E-2"/>
    <n v="0.23192019950124687"/>
    <n v="76.807980049875312"/>
    <n v="429"/>
    <n v="0.99300699300699302"/>
    <n v="23.192019950124688"/>
    <n v="0.93473193473193472"/>
  </r>
  <r>
    <d v="2026-09-30T00:00:00"/>
    <x v="2"/>
    <x v="1"/>
    <x v="1"/>
    <x v="1"/>
    <n v="400"/>
    <n v="351"/>
    <n v="17"/>
    <n v="334"/>
    <n v="65"/>
    <n v="0.13541666666666666"/>
    <n v="120"/>
    <n v="30800"/>
    <n v="40080"/>
    <n v="9280"/>
    <n v="0.87749999999999995"/>
    <n v="4.843304843304843E-2"/>
    <n v="0.2315369261477046"/>
    <n v="92.215568862275447"/>
    <n v="415"/>
    <n v="0.8457831325301205"/>
    <n v="27.78443113772455"/>
    <n v="0.80481927710843371"/>
  </r>
  <r>
    <d v="2026-09-30T00:00:00"/>
    <x v="2"/>
    <x v="1"/>
    <x v="2"/>
    <x v="2"/>
    <n v="490"/>
    <n v="432"/>
    <n v="30"/>
    <n v="402"/>
    <n v="66"/>
    <n v="0.13750000000000001"/>
    <n v="90"/>
    <n v="30800"/>
    <n v="36180"/>
    <n v="5380"/>
    <n v="0.88163265306122451"/>
    <n v="6.9444444444444448E-2"/>
    <n v="0.14870093974571585"/>
    <n v="76.616915422885569"/>
    <n v="414"/>
    <n v="1.0434782608695652"/>
    <n v="13.383084577114428"/>
    <n v="0.97101449275362317"/>
  </r>
  <r>
    <d v="2026-09-30T00:00:00"/>
    <x v="2"/>
    <x v="2"/>
    <x v="0"/>
    <x v="1"/>
    <n v="400"/>
    <n v="385"/>
    <n v="9"/>
    <n v="376"/>
    <n v="19"/>
    <n v="3.9583333333333331E-2"/>
    <n v="120"/>
    <n v="30800"/>
    <n v="45120"/>
    <n v="14320"/>
    <n v="0.96250000000000002"/>
    <n v="2.3376623376623377E-2"/>
    <n v="0.31737588652482268"/>
    <n v="81.914893617021278"/>
    <n v="461"/>
    <n v="0.83514099783080264"/>
    <n v="38.085106382978722"/>
    <n v="0.81561822125813443"/>
  </r>
  <r>
    <d v="2026-09-30T00:00:00"/>
    <x v="2"/>
    <x v="2"/>
    <x v="1"/>
    <x v="2"/>
    <n v="520"/>
    <n v="493"/>
    <n v="17"/>
    <n v="476"/>
    <n v="17"/>
    <n v="3.5416666666666666E-2"/>
    <n v="90"/>
    <n v="30800"/>
    <n v="42840"/>
    <n v="12040"/>
    <n v="0.94807692307692304"/>
    <n v="3.4482758620689655E-2"/>
    <n v="0.28104575163398693"/>
    <n v="64.705882352941174"/>
    <n v="463"/>
    <n v="1.0647948164146868"/>
    <n v="25.294117647058822"/>
    <n v="1.0280777537796977"/>
  </r>
  <r>
    <d v="2026-09-30T00:00:00"/>
    <x v="2"/>
    <x v="2"/>
    <x v="2"/>
    <x v="0"/>
    <n v="450"/>
    <n v="426"/>
    <n v="23"/>
    <n v="403"/>
    <n v="52"/>
    <n v="0.10833333333333334"/>
    <n v="100"/>
    <n v="30800"/>
    <n v="40300"/>
    <n v="9500"/>
    <n v="0.94666666666666666"/>
    <n v="5.39906103286385E-2"/>
    <n v="0.23573200992555832"/>
    <n v="76.426799007444174"/>
    <n v="428"/>
    <n v="0.99532710280373837"/>
    <n v="23.573200992555833"/>
    <n v="0.94158878504672894"/>
  </r>
  <r>
    <d v="2026-10-01T00:00:00"/>
    <x v="3"/>
    <x v="0"/>
    <x v="0"/>
    <x v="0"/>
    <n v="450"/>
    <n v="434"/>
    <n v="22"/>
    <n v="412"/>
    <n v="45"/>
    <n v="9.375E-2"/>
    <n v="100"/>
    <n v="30800"/>
    <n v="41200"/>
    <n v="10400"/>
    <n v="0.96444444444444444"/>
    <n v="5.0691244239631339E-2"/>
    <n v="0.25242718446601942"/>
    <n v="74.757281553398059"/>
    <n v="435"/>
    <n v="0.99770114942528731"/>
    <n v="25.242718446601941"/>
    <n v="0.94712643678160924"/>
  </r>
  <r>
    <d v="2026-10-01T00:00:00"/>
    <x v="3"/>
    <x v="0"/>
    <x v="1"/>
    <x v="1"/>
    <n v="410"/>
    <n v="399"/>
    <n v="13"/>
    <n v="386"/>
    <n v="38"/>
    <n v="7.9166666666666663E-2"/>
    <n v="120"/>
    <n v="30800"/>
    <n v="46320"/>
    <n v="15520"/>
    <n v="0.97317073170731705"/>
    <n v="3.2581453634085211E-2"/>
    <n v="0.33506044905008636"/>
    <n v="79.792746113989637"/>
    <n v="442"/>
    <n v="0.90271493212669685"/>
    <n v="40.207253886010363"/>
    <n v="0.87330316742081449"/>
  </r>
  <r>
    <d v="2026-10-01T00:00:00"/>
    <x v="3"/>
    <x v="0"/>
    <x v="2"/>
    <x v="2"/>
    <n v="500"/>
    <n v="446"/>
    <n v="18"/>
    <n v="428"/>
    <n v="47"/>
    <n v="9.7916666666666666E-2"/>
    <n v="90"/>
    <n v="30800"/>
    <n v="38520"/>
    <n v="7720"/>
    <n v="0.89200000000000002"/>
    <n v="4.0358744394618833E-2"/>
    <n v="0.20041536863966772"/>
    <n v="71.962616822429908"/>
    <n v="433"/>
    <n v="1.0300230946882216"/>
    <n v="18.037383177570092"/>
    <n v="0.98845265588914555"/>
  </r>
  <r>
    <d v="2026-10-01T00:00:00"/>
    <x v="3"/>
    <x v="1"/>
    <x v="0"/>
    <x v="1"/>
    <n v="390"/>
    <n v="361"/>
    <n v="15"/>
    <n v="346"/>
    <n v="45"/>
    <n v="9.375E-2"/>
    <n v="120"/>
    <n v="30800"/>
    <n v="41520"/>
    <n v="10720"/>
    <n v="0.92564102564102568"/>
    <n v="4.1551246537396121E-2"/>
    <n v="0.25818882466281312"/>
    <n v="89.017341040462426"/>
    <n v="435"/>
    <n v="0.8298850574712644"/>
    <n v="30.982658959537574"/>
    <n v="0.79540229885057467"/>
  </r>
  <r>
    <d v="2026-10-01T00:00:00"/>
    <x v="3"/>
    <x v="1"/>
    <x v="1"/>
    <x v="2"/>
    <n v="490"/>
    <n v="451"/>
    <n v="26"/>
    <n v="425"/>
    <n v="47"/>
    <n v="9.7916666666666666E-2"/>
    <n v="90"/>
    <n v="30800"/>
    <n v="38250"/>
    <n v="7450"/>
    <n v="0.92040816326530617"/>
    <n v="5.7649667405764965E-2"/>
    <n v="0.19477124183006536"/>
    <n v="72.470588235294116"/>
    <n v="433"/>
    <n v="1.0415704387990763"/>
    <n v="17.529411764705884"/>
    <n v="0.98152424942263283"/>
  </r>
  <r>
    <d v="2026-10-01T00:00:00"/>
    <x v="3"/>
    <x v="1"/>
    <x v="2"/>
    <x v="0"/>
    <n v="460"/>
    <n v="387"/>
    <n v="31"/>
    <n v="356"/>
    <n v="57"/>
    <n v="0.11874999999999999"/>
    <n v="100"/>
    <n v="30800"/>
    <n v="35600"/>
    <n v="4800"/>
    <n v="0.84130434782608698"/>
    <n v="8.0103359173126609E-2"/>
    <n v="0.1348314606741573"/>
    <n v="86.516853932584269"/>
    <n v="423"/>
    <n v="0.91489361702127658"/>
    <n v="13.48314606741573"/>
    <n v="0.84160756501182032"/>
  </r>
  <r>
    <d v="2026-10-01T00:00:00"/>
    <x v="3"/>
    <x v="2"/>
    <x v="0"/>
    <x v="2"/>
    <n v="510"/>
    <n v="507"/>
    <n v="16"/>
    <n v="491"/>
    <n v="28"/>
    <n v="5.8333333333333334E-2"/>
    <n v="90"/>
    <n v="30800"/>
    <n v="44190"/>
    <n v="13390"/>
    <n v="0.99411764705882355"/>
    <n v="3.1558185404339252E-2"/>
    <n v="0.30300973070830506"/>
    <n v="62.729124236252545"/>
    <n v="452"/>
    <n v="1.1216814159292035"/>
    <n v="27.270875763747455"/>
    <n v="1.086283185840708"/>
  </r>
  <r>
    <d v="2026-10-01T00:00:00"/>
    <x v="3"/>
    <x v="2"/>
    <x v="1"/>
    <x v="0"/>
    <n v="450"/>
    <n v="429"/>
    <n v="20"/>
    <n v="409"/>
    <n v="44"/>
    <n v="9.166666666666666E-2"/>
    <n v="100"/>
    <n v="30800"/>
    <n v="40900"/>
    <n v="10100"/>
    <n v="0.95333333333333337"/>
    <n v="4.6620046620046623E-2"/>
    <n v="0.24694376528117359"/>
    <n v="75.30562347188264"/>
    <n v="436"/>
    <n v="0.98394495412844041"/>
    <n v="24.69437652811736"/>
    <n v="0.93807339449541283"/>
  </r>
  <r>
    <d v="2026-10-01T00:00:00"/>
    <x v="3"/>
    <x v="2"/>
    <x v="2"/>
    <x v="1"/>
    <n v="410"/>
    <n v="374"/>
    <n v="12"/>
    <n v="362"/>
    <n v="36"/>
    <n v="7.4999999999999997E-2"/>
    <n v="120"/>
    <n v="30800"/>
    <n v="43440"/>
    <n v="12640"/>
    <n v="0.91219512195121955"/>
    <n v="3.2085561497326207E-2"/>
    <n v="0.29097605893186002"/>
    <n v="85.082872928176798"/>
    <n v="444"/>
    <n v="0.84234234234234229"/>
    <n v="34.917127071823202"/>
    <n v="0.81531531531531531"/>
  </r>
  <r>
    <d v="2026-10-02T00:00:00"/>
    <x v="3"/>
    <x v="0"/>
    <x v="0"/>
    <x v="1"/>
    <n v="410"/>
    <n v="383"/>
    <n v="12"/>
    <n v="371"/>
    <n v="24"/>
    <n v="0.05"/>
    <n v="120"/>
    <n v="30800"/>
    <n v="44520"/>
    <n v="13720"/>
    <n v="0.93414634146341469"/>
    <n v="3.1331592689295036E-2"/>
    <n v="0.3081761006289308"/>
    <n v="83.018867924528308"/>
    <n v="456"/>
    <n v="0.83991228070175439"/>
    <n v="36.981132075471699"/>
    <n v="0.81359649122807021"/>
  </r>
  <r>
    <d v="2026-10-02T00:00:00"/>
    <x v="3"/>
    <x v="0"/>
    <x v="1"/>
    <x v="2"/>
    <n v="510"/>
    <n v="495"/>
    <n v="18"/>
    <n v="477"/>
    <n v="27"/>
    <n v="5.6250000000000001E-2"/>
    <n v="90"/>
    <n v="30800"/>
    <n v="42930"/>
    <n v="12130"/>
    <n v="0.97058823529411764"/>
    <n v="3.6363636363636362E-2"/>
    <n v="0.28255299324481714"/>
    <n v="64.570230607966451"/>
    <n v="453"/>
    <n v="1.0927152317880795"/>
    <n v="25.429769392033542"/>
    <n v="1.0529801324503312"/>
  </r>
  <r>
    <d v="2026-10-02T00:00:00"/>
    <x v="3"/>
    <x v="0"/>
    <x v="2"/>
    <x v="0"/>
    <n v="460"/>
    <n v="427"/>
    <n v="26"/>
    <n v="401"/>
    <n v="53"/>
    <n v="0.11041666666666666"/>
    <n v="100"/>
    <n v="30800"/>
    <n v="40100"/>
    <n v="9300"/>
    <n v="0.92826086956521736"/>
    <n v="6.0889929742388757E-2"/>
    <n v="0.23192019950124687"/>
    <n v="76.807980049875312"/>
    <n v="427"/>
    <n v="1"/>
    <n v="23.192019950124688"/>
    <n v="0.93911007025761128"/>
  </r>
  <r>
    <d v="2026-10-02T00:00:00"/>
    <x v="3"/>
    <x v="1"/>
    <x v="0"/>
    <x v="2"/>
    <n v="490"/>
    <n v="452"/>
    <n v="20"/>
    <n v="432"/>
    <n v="45"/>
    <n v="9.375E-2"/>
    <n v="90"/>
    <n v="30800"/>
    <n v="38880"/>
    <n v="8080"/>
    <n v="0.92244897959183669"/>
    <n v="4.4247787610619468E-2"/>
    <n v="0.20781893004115226"/>
    <n v="71.296296296296291"/>
    <n v="435"/>
    <n v="1.0390804597701149"/>
    <n v="18.703703703703702"/>
    <n v="0.99310344827586206"/>
  </r>
  <r>
    <d v="2026-10-02T00:00:00"/>
    <x v="3"/>
    <x v="1"/>
    <x v="1"/>
    <x v="0"/>
    <n v="470"/>
    <n v="411"/>
    <n v="31"/>
    <n v="380"/>
    <n v="71"/>
    <n v="0.14791666666666667"/>
    <n v="100"/>
    <n v="30800"/>
    <n v="38000"/>
    <n v="7200"/>
    <n v="0.87446808510638296"/>
    <n v="7.5425790754257913E-2"/>
    <n v="0.18947368421052632"/>
    <n v="81.05263157894737"/>
    <n v="409"/>
    <n v="1.0048899755501222"/>
    <n v="18.94736842105263"/>
    <n v="0.92909535452322733"/>
  </r>
  <r>
    <d v="2026-10-02T00:00:00"/>
    <x v="3"/>
    <x v="1"/>
    <x v="2"/>
    <x v="1"/>
    <n v="390"/>
    <n v="329"/>
    <n v="18"/>
    <n v="311"/>
    <n v="57"/>
    <n v="0.11874999999999999"/>
    <n v="120"/>
    <n v="30800"/>
    <n v="37320"/>
    <n v="6520"/>
    <n v="0.84358974358974359"/>
    <n v="5.4711246200607903E-2"/>
    <n v="0.17470525187566988"/>
    <n v="99.035369774919616"/>
    <n v="423"/>
    <n v="0.77777777777777779"/>
    <n v="20.964630225080384"/>
    <n v="0.73522458628841603"/>
  </r>
  <r>
    <d v="2026-10-02T00:00:00"/>
    <x v="3"/>
    <x v="2"/>
    <x v="0"/>
    <x v="0"/>
    <n v="440"/>
    <n v="440"/>
    <n v="13"/>
    <n v="427"/>
    <n v="29"/>
    <n v="6.0416666666666667E-2"/>
    <n v="100"/>
    <n v="30800"/>
    <n v="42700"/>
    <n v="11900"/>
    <n v="1"/>
    <n v="2.9545454545454545E-2"/>
    <n v="0.27868852459016391"/>
    <n v="72.131147540983605"/>
    <n v="451"/>
    <n v="0.97560975609756095"/>
    <n v="27.868852459016395"/>
    <n v="0.94678492239467849"/>
  </r>
  <r>
    <d v="2026-10-02T00:00:00"/>
    <x v="3"/>
    <x v="2"/>
    <x v="1"/>
    <x v="1"/>
    <n v="390"/>
    <n v="388"/>
    <n v="11"/>
    <n v="377"/>
    <n v="41"/>
    <n v="8.5416666666666669E-2"/>
    <n v="120"/>
    <n v="30800"/>
    <n v="45240"/>
    <n v="14440"/>
    <n v="0.99487179487179489"/>
    <n v="2.8350515463917526E-2"/>
    <n v="0.31918656056587091"/>
    <n v="81.697612732095493"/>
    <n v="439"/>
    <n v="0.88382687927107062"/>
    <n v="38.302387267904507"/>
    <n v="0.85876993166287019"/>
  </r>
  <r>
    <d v="2026-10-02T00:00:00"/>
    <x v="3"/>
    <x v="2"/>
    <x v="2"/>
    <x v="2"/>
    <n v="500"/>
    <n v="475"/>
    <n v="18"/>
    <n v="457"/>
    <n v="36"/>
    <n v="7.4999999999999997E-2"/>
    <n v="90"/>
    <n v="30800"/>
    <n v="41130"/>
    <n v="10330"/>
    <n v="0.95"/>
    <n v="3.7894736842105266E-2"/>
    <n v="0.2511548747872599"/>
    <n v="67.396061269146614"/>
    <n v="444"/>
    <n v="1.0698198198198199"/>
    <n v="22.603938730853393"/>
    <n v="1.0292792792792793"/>
  </r>
  <r>
    <d v="2026-10-03T00:00:00"/>
    <x v="3"/>
    <x v="0"/>
    <x v="0"/>
    <x v="2"/>
    <n v="490"/>
    <n v="479"/>
    <n v="14"/>
    <n v="465"/>
    <n v="20"/>
    <n v="4.1666666666666664E-2"/>
    <n v="90"/>
    <n v="30800"/>
    <n v="41850"/>
    <n v="11050"/>
    <n v="0.97755102040816322"/>
    <n v="2.9227557411273485E-2"/>
    <n v="0.26403823178016728"/>
    <n v="66.236559139784944"/>
    <n v="460"/>
    <n v="1.0413043478260871"/>
    <n v="23.763440860215052"/>
    <n v="1.0108695652173914"/>
  </r>
  <r>
    <d v="2026-10-03T00:00:00"/>
    <x v="3"/>
    <x v="0"/>
    <x v="1"/>
    <x v="0"/>
    <n v="450"/>
    <n v="435"/>
    <n v="19"/>
    <n v="416"/>
    <n v="47"/>
    <n v="9.7916666666666666E-2"/>
    <n v="100"/>
    <n v="30800"/>
    <n v="41600"/>
    <n v="10800"/>
    <n v="0.96666666666666667"/>
    <n v="4.3678160919540229E-2"/>
    <n v="0.25961538461538464"/>
    <n v="74.038461538461533"/>
    <n v="433"/>
    <n v="1.0046189376443417"/>
    <n v="25.96153846153846"/>
    <n v="0.96073903002309469"/>
  </r>
  <r>
    <d v="2026-10-03T00:00:00"/>
    <x v="3"/>
    <x v="0"/>
    <x v="2"/>
    <x v="1"/>
    <n v="400"/>
    <n v="364"/>
    <n v="17"/>
    <n v="347"/>
    <n v="52"/>
    <n v="0.10833333333333334"/>
    <n v="120"/>
    <n v="30800"/>
    <n v="41640"/>
    <n v="10840"/>
    <n v="0.91"/>
    <n v="4.6703296703296704E-2"/>
    <n v="0.26032660902977905"/>
    <n v="88.760806916426517"/>
    <n v="428"/>
    <n v="0.85046728971962615"/>
    <n v="31.239193083573486"/>
    <n v="0.81074766355140182"/>
  </r>
  <r>
    <d v="2026-10-03T00:00:00"/>
    <x v="3"/>
    <x v="1"/>
    <x v="0"/>
    <x v="0"/>
    <n v="440"/>
    <n v="395"/>
    <n v="27"/>
    <n v="368"/>
    <n v="60"/>
    <n v="0.125"/>
    <n v="100"/>
    <n v="30800"/>
    <n v="36800"/>
    <n v="6000"/>
    <n v="0.89772727272727271"/>
    <n v="6.8354430379746839E-2"/>
    <n v="0.16304347826086957"/>
    <n v="83.695652173913047"/>
    <n v="420"/>
    <n v="0.94047619047619047"/>
    <n v="16.304347826086957"/>
    <n v="0.87619047619047619"/>
  </r>
  <r>
    <d v="2026-10-03T00:00:00"/>
    <x v="3"/>
    <x v="1"/>
    <x v="1"/>
    <x v="1"/>
    <n v="400"/>
    <n v="361"/>
    <n v="20"/>
    <n v="341"/>
    <n v="63"/>
    <n v="0.13125000000000001"/>
    <n v="120"/>
    <n v="30800"/>
    <n v="40920"/>
    <n v="10120"/>
    <n v="0.90249999999999997"/>
    <n v="5.5401662049861494E-2"/>
    <n v="0.24731182795698925"/>
    <n v="90.322580645161295"/>
    <n v="417"/>
    <n v="0.86570743405275774"/>
    <n v="29.677419354838708"/>
    <n v="0.81774580335731417"/>
  </r>
  <r>
    <d v="2026-10-03T00:00:00"/>
    <x v="3"/>
    <x v="1"/>
    <x v="2"/>
    <x v="2"/>
    <n v="480"/>
    <n v="413"/>
    <n v="24"/>
    <n v="389"/>
    <n v="64"/>
    <n v="0.13333333333333333"/>
    <n v="90"/>
    <n v="30800"/>
    <n v="35010"/>
    <n v="4210"/>
    <n v="0.86041666666666672"/>
    <n v="5.8111380145278453E-2"/>
    <n v="0.1202513567552128"/>
    <n v="79.177377892030847"/>
    <n v="416"/>
    <n v="0.99278846153846156"/>
    <n v="10.822622107969151"/>
    <n v="0.93509615384615385"/>
  </r>
  <r>
    <d v="2026-10-03T00:00:00"/>
    <x v="3"/>
    <x v="2"/>
    <x v="0"/>
    <x v="1"/>
    <n v="410"/>
    <n v="395"/>
    <n v="6"/>
    <n v="389"/>
    <n v="20"/>
    <n v="4.1666666666666664E-2"/>
    <n v="120"/>
    <n v="30800"/>
    <n v="46680"/>
    <n v="15880"/>
    <n v="0.96341463414634143"/>
    <n v="1.5189873417721518E-2"/>
    <n v="0.34018851756640961"/>
    <n v="79.177377892030847"/>
    <n v="460"/>
    <n v="0.85869565217391308"/>
    <n v="40.822622107969153"/>
    <n v="0.84565217391304348"/>
  </r>
  <r>
    <d v="2026-10-03T00:00:00"/>
    <x v="3"/>
    <x v="2"/>
    <x v="1"/>
    <x v="2"/>
    <n v="520"/>
    <n v="518"/>
    <n v="15"/>
    <n v="503"/>
    <n v="29"/>
    <n v="6.0416666666666667E-2"/>
    <n v="90"/>
    <n v="30800"/>
    <n v="45270"/>
    <n v="14470"/>
    <n v="0.99615384615384617"/>
    <n v="2.8957528957528959E-2"/>
    <n v="0.31963772918047273"/>
    <n v="61.232604373757454"/>
    <n v="451"/>
    <n v="1.1485587583148558"/>
    <n v="28.767395626242546"/>
    <n v="1.1152993348115299"/>
  </r>
  <r>
    <d v="2026-10-03T00:00:00"/>
    <x v="3"/>
    <x v="2"/>
    <x v="2"/>
    <x v="0"/>
    <n v="430"/>
    <n v="405"/>
    <n v="22"/>
    <n v="383"/>
    <n v="44"/>
    <n v="9.166666666666666E-2"/>
    <n v="100"/>
    <n v="30800"/>
    <n v="38300"/>
    <n v="7500"/>
    <n v="0.94186046511627908"/>
    <n v="5.4320987654320987E-2"/>
    <n v="0.195822454308094"/>
    <n v="80.417754569190606"/>
    <n v="436"/>
    <n v="0.92889908256880738"/>
    <n v="19.582245430809401"/>
    <n v="0.87844036697247707"/>
  </r>
  <r>
    <d v="2026-10-04T00:00:00"/>
    <x v="3"/>
    <x v="0"/>
    <x v="0"/>
    <x v="0"/>
    <n v="450"/>
    <n v="420"/>
    <n v="21"/>
    <n v="399"/>
    <n v="29"/>
    <n v="6.0416666666666667E-2"/>
    <n v="100"/>
    <n v="30800"/>
    <n v="39900"/>
    <n v="9100"/>
    <n v="0.93333333333333335"/>
    <n v="0.05"/>
    <n v="0.22807017543859648"/>
    <n v="77.192982456140356"/>
    <n v="451"/>
    <n v="0.9312638580931264"/>
    <n v="22.807017543859651"/>
    <n v="0.88470066518847001"/>
  </r>
  <r>
    <d v="2026-10-04T00:00:00"/>
    <x v="3"/>
    <x v="0"/>
    <x v="1"/>
    <x v="1"/>
    <n v="400"/>
    <n v="391"/>
    <n v="11"/>
    <n v="380"/>
    <n v="49"/>
    <n v="0.10208333333333333"/>
    <n v="120"/>
    <n v="30800"/>
    <n v="45600"/>
    <n v="14800"/>
    <n v="0.97750000000000004"/>
    <n v="2.8132992327365727E-2"/>
    <n v="0.32456140350877194"/>
    <n v="81.05263157894737"/>
    <n v="431"/>
    <n v="0.90719257540603249"/>
    <n v="38.94736842105263"/>
    <n v="0.88167053364269143"/>
  </r>
  <r>
    <d v="2026-10-04T00:00:00"/>
    <x v="3"/>
    <x v="0"/>
    <x v="2"/>
    <x v="2"/>
    <n v="500"/>
    <n v="464"/>
    <n v="19"/>
    <n v="445"/>
    <n v="46"/>
    <n v="9.583333333333334E-2"/>
    <n v="90"/>
    <n v="30800"/>
    <n v="40050"/>
    <n v="9250"/>
    <n v="0.92800000000000005"/>
    <n v="4.0948275862068964E-2"/>
    <n v="0.23096129837702872"/>
    <n v="69.213483146067418"/>
    <n v="434"/>
    <n v="1.0691244239631337"/>
    <n v="20.786516853932586"/>
    <n v="1.0253456221198156"/>
  </r>
  <r>
    <d v="2026-10-04T00:00:00"/>
    <x v="3"/>
    <x v="1"/>
    <x v="0"/>
    <x v="1"/>
    <n v="410"/>
    <n v="371"/>
    <n v="15"/>
    <n v="356"/>
    <n v="53"/>
    <n v="0.11041666666666666"/>
    <n v="120"/>
    <n v="30800"/>
    <n v="42720"/>
    <n v="11920"/>
    <n v="0.90487804878048783"/>
    <n v="4.0431266846361183E-2"/>
    <n v="0.27902621722846443"/>
    <n v="86.516853932584269"/>
    <n v="427"/>
    <n v="0.86885245901639341"/>
    <n v="33.483146067415731"/>
    <n v="0.83372365339578458"/>
  </r>
  <r>
    <d v="2026-10-04T00:00:00"/>
    <x v="3"/>
    <x v="1"/>
    <x v="1"/>
    <x v="2"/>
    <n v="510"/>
    <n v="472"/>
    <n v="28"/>
    <n v="444"/>
    <n v="42"/>
    <n v="8.7499999999999994E-2"/>
    <n v="90"/>
    <n v="30800"/>
    <n v="39960"/>
    <n v="9160"/>
    <n v="0.92549019607843142"/>
    <n v="5.9322033898305086E-2"/>
    <n v="0.22922922922922923"/>
    <n v="69.369369369369366"/>
    <n v="438"/>
    <n v="1.0776255707762556"/>
    <n v="20.63063063063063"/>
    <n v="1.0136986301369864"/>
  </r>
  <r>
    <d v="2026-10-04T00:00:00"/>
    <x v="3"/>
    <x v="1"/>
    <x v="2"/>
    <x v="0"/>
    <n v="450"/>
    <n v="387"/>
    <n v="26"/>
    <n v="361"/>
    <n v="55"/>
    <n v="0.11458333333333333"/>
    <n v="100"/>
    <n v="30800"/>
    <n v="36100"/>
    <n v="5300"/>
    <n v="0.86"/>
    <n v="6.7183462532299745E-2"/>
    <n v="0.14681440443213298"/>
    <n v="85.31855955678671"/>
    <n v="425"/>
    <n v="0.9105882352941177"/>
    <n v="14.681440443213296"/>
    <n v="0.84941176470588231"/>
  </r>
  <r>
    <d v="2026-10-04T00:00:00"/>
    <x v="3"/>
    <x v="2"/>
    <x v="0"/>
    <x v="2"/>
    <n v="510"/>
    <n v="502"/>
    <n v="14"/>
    <n v="488"/>
    <n v="12"/>
    <n v="2.5000000000000001E-2"/>
    <n v="90"/>
    <n v="30800"/>
    <n v="43920"/>
    <n v="13120"/>
    <n v="0.98431372549019602"/>
    <n v="2.7888446215139442E-2"/>
    <n v="0.2987249544626594"/>
    <n v="63.114754098360656"/>
    <n v="468"/>
    <n v="1.0726495726495726"/>
    <n v="26.885245901639344"/>
    <n v="1.0427350427350428"/>
  </r>
  <r>
    <d v="2026-10-04T00:00:00"/>
    <x v="3"/>
    <x v="2"/>
    <x v="1"/>
    <x v="0"/>
    <n v="450"/>
    <n v="435"/>
    <n v="18"/>
    <n v="417"/>
    <n v="32"/>
    <n v="6.6666666666666666E-2"/>
    <n v="100"/>
    <n v="30800"/>
    <n v="41700"/>
    <n v="10900"/>
    <n v="0.96666666666666667"/>
    <n v="4.1379310344827586E-2"/>
    <n v="0.26139088729016785"/>
    <n v="73.860911270983209"/>
    <n v="448"/>
    <n v="0.9709821428571429"/>
    <n v="26.139088729016787"/>
    <n v="0.9308035714285714"/>
  </r>
  <r>
    <d v="2026-10-04T00:00:00"/>
    <x v="3"/>
    <x v="2"/>
    <x v="2"/>
    <x v="1"/>
    <n v="400"/>
    <n v="367"/>
    <n v="10"/>
    <n v="357"/>
    <n v="46"/>
    <n v="9.583333333333334E-2"/>
    <n v="120"/>
    <n v="30800"/>
    <n v="42840"/>
    <n v="12040"/>
    <n v="0.91749999999999998"/>
    <n v="2.7247956403269755E-2"/>
    <n v="0.28104575163398693"/>
    <n v="86.274509803921575"/>
    <n v="434"/>
    <n v="0.84562211981566815"/>
    <n v="33.725490196078432"/>
    <n v="0.82258064516129037"/>
  </r>
  <r>
    <d v="2026-10-05T00:00:00"/>
    <x v="3"/>
    <x v="0"/>
    <x v="0"/>
    <x v="1"/>
    <n v="390"/>
    <n v="380"/>
    <n v="8"/>
    <n v="372"/>
    <n v="20"/>
    <n v="4.1666666666666664E-2"/>
    <n v="120"/>
    <n v="30800"/>
    <n v="44640"/>
    <n v="13840"/>
    <n v="0.97435897435897434"/>
    <n v="2.1052631578947368E-2"/>
    <n v="0.31003584229390679"/>
    <n v="82.795698924731184"/>
    <n v="460"/>
    <n v="0.82608695652173914"/>
    <n v="37.204301075268816"/>
    <n v="0.80869565217391304"/>
  </r>
  <r>
    <d v="2026-10-05T00:00:00"/>
    <x v="3"/>
    <x v="0"/>
    <x v="1"/>
    <x v="2"/>
    <n v="520"/>
    <n v="482"/>
    <n v="20"/>
    <n v="462"/>
    <n v="29"/>
    <n v="6.0416666666666667E-2"/>
    <n v="90"/>
    <n v="30800"/>
    <n v="41580"/>
    <n v="10780"/>
    <n v="0.92692307692307696"/>
    <n v="4.1493775933609957E-2"/>
    <n v="0.25925925925925924"/>
    <n v="66.666666666666671"/>
    <n v="451"/>
    <n v="1.0687361419068737"/>
    <n v="23.333333333333332"/>
    <n v="1.024390243902439"/>
  </r>
  <r>
    <d v="2026-10-05T00:00:00"/>
    <x v="3"/>
    <x v="0"/>
    <x v="2"/>
    <x v="0"/>
    <n v="440"/>
    <n v="412"/>
    <n v="23"/>
    <n v="389"/>
    <n v="48"/>
    <n v="0.1"/>
    <n v="100"/>
    <n v="30800"/>
    <n v="38900"/>
    <n v="8100"/>
    <n v="0.9363636363636364"/>
    <n v="5.5825242718446605E-2"/>
    <n v="0.20822622107969152"/>
    <n v="79.177377892030847"/>
    <n v="432"/>
    <n v="0.95370370370370372"/>
    <n v="20.822622107969153"/>
    <n v="0.90046296296296291"/>
  </r>
  <r>
    <d v="2026-10-05T00:00:00"/>
    <x v="3"/>
    <x v="1"/>
    <x v="0"/>
    <x v="2"/>
    <n v="480"/>
    <n v="427"/>
    <n v="19"/>
    <n v="408"/>
    <n v="54"/>
    <n v="0.1125"/>
    <n v="90"/>
    <n v="30800"/>
    <n v="36720"/>
    <n v="5920"/>
    <n v="0.88958333333333328"/>
    <n v="4.449648711943794E-2"/>
    <n v="0.16122004357298475"/>
    <n v="75.490196078431367"/>
    <n v="426"/>
    <n v="1.0023474178403755"/>
    <n v="14.509803921568627"/>
    <n v="0.95774647887323938"/>
  </r>
  <r>
    <d v="2026-10-05T00:00:00"/>
    <x v="3"/>
    <x v="1"/>
    <x v="1"/>
    <x v="0"/>
    <n v="460"/>
    <n v="424"/>
    <n v="27"/>
    <n v="397"/>
    <n v="68"/>
    <n v="0.14166666666666666"/>
    <n v="100"/>
    <n v="30800"/>
    <n v="39700"/>
    <n v="8900"/>
    <n v="0.92173913043478262"/>
    <n v="6.3679245283018868E-2"/>
    <n v="0.22418136020151133"/>
    <n v="77.581863979848862"/>
    <n v="412"/>
    <n v="1.029126213592233"/>
    <n v="22.418136020151135"/>
    <n v="0.96359223300970875"/>
  </r>
  <r>
    <d v="2026-10-05T00:00:00"/>
    <x v="3"/>
    <x v="1"/>
    <x v="2"/>
    <x v="1"/>
    <n v="390"/>
    <n v="348"/>
    <n v="23"/>
    <n v="325"/>
    <n v="72"/>
    <n v="0.15"/>
    <n v="120"/>
    <n v="30800"/>
    <n v="39000"/>
    <n v="8200"/>
    <n v="0.89230769230769236"/>
    <n v="6.6091954022988508E-2"/>
    <n v="0.21025641025641026"/>
    <n v="94.769230769230774"/>
    <n v="408"/>
    <n v="0.8529411764705882"/>
    <n v="25.23076923076923"/>
    <n v="0.79656862745098034"/>
  </r>
  <r>
    <d v="2026-10-05T00:00:00"/>
    <x v="3"/>
    <x v="2"/>
    <x v="0"/>
    <x v="0"/>
    <n v="450"/>
    <n v="453"/>
    <n v="18"/>
    <n v="435"/>
    <n v="32"/>
    <n v="6.6666666666666666E-2"/>
    <n v="100"/>
    <n v="30800"/>
    <n v="43500"/>
    <n v="12700"/>
    <n v="1.0066666666666666"/>
    <n v="3.9735099337748346E-2"/>
    <n v="0.29195402298850576"/>
    <n v="70.804597701149419"/>
    <n v="448"/>
    <n v="1.0111607142857142"/>
    <n v="29.195402298850574"/>
    <n v="0.9709821428571429"/>
  </r>
  <r>
    <d v="2026-10-05T00:00:00"/>
    <x v="3"/>
    <x v="2"/>
    <x v="1"/>
    <x v="1"/>
    <n v="390"/>
    <n v="367"/>
    <n v="10"/>
    <n v="357"/>
    <n v="34"/>
    <n v="7.0833333333333331E-2"/>
    <n v="120"/>
    <n v="30800"/>
    <n v="42840"/>
    <n v="12040"/>
    <n v="0.94102564102564101"/>
    <n v="2.7247956403269755E-2"/>
    <n v="0.28104575163398693"/>
    <n v="86.274509803921575"/>
    <n v="446"/>
    <n v="0.82286995515695072"/>
    <n v="33.725490196078432"/>
    <n v="0.80044843049327352"/>
  </r>
  <r>
    <d v="2026-10-05T00:00:00"/>
    <x v="3"/>
    <x v="2"/>
    <x v="2"/>
    <x v="2"/>
    <n v="520"/>
    <n v="483"/>
    <n v="21"/>
    <n v="462"/>
    <n v="41"/>
    <n v="8.5416666666666669E-2"/>
    <n v="90"/>
    <n v="30800"/>
    <n v="41580"/>
    <n v="10780"/>
    <n v="0.92884615384615388"/>
    <n v="4.3478260869565216E-2"/>
    <n v="0.25925925925925924"/>
    <n v="66.666666666666671"/>
    <n v="439"/>
    <n v="1.1002277904328017"/>
    <n v="23.333333333333332"/>
    <n v="1.0523917995444192"/>
  </r>
  <r>
    <d v="2026-10-06T00:00:00"/>
    <x v="3"/>
    <x v="0"/>
    <x v="0"/>
    <x v="2"/>
    <n v="490"/>
    <n v="482"/>
    <n v="18"/>
    <n v="464"/>
    <n v="17"/>
    <n v="3.5416666666666666E-2"/>
    <n v="90"/>
    <n v="30800"/>
    <n v="41760"/>
    <n v="10960"/>
    <n v="0.98367346938775513"/>
    <n v="3.7344398340248962E-2"/>
    <n v="0.26245210727969348"/>
    <n v="66.379310344827587"/>
    <n v="463"/>
    <n v="1.0410367170626349"/>
    <n v="23.620689655172413"/>
    <n v="1.0021598272138228"/>
  </r>
  <r>
    <d v="2026-10-06T00:00:00"/>
    <x v="3"/>
    <x v="0"/>
    <x v="1"/>
    <x v="0"/>
    <n v="440"/>
    <n v="421"/>
    <n v="19"/>
    <n v="402"/>
    <n v="33"/>
    <n v="6.8750000000000006E-2"/>
    <n v="100"/>
    <n v="30800"/>
    <n v="40200"/>
    <n v="9400"/>
    <n v="0.95681818181818179"/>
    <n v="4.5130641330166268E-2"/>
    <n v="0.23383084577114427"/>
    <n v="76.616915422885569"/>
    <n v="447"/>
    <n v="0.94183445190156601"/>
    <n v="23.383084577114428"/>
    <n v="0.89932885906040272"/>
  </r>
  <r>
    <d v="2026-10-06T00:00:00"/>
    <x v="3"/>
    <x v="0"/>
    <x v="2"/>
    <x v="1"/>
    <n v="410"/>
    <n v="379"/>
    <n v="13"/>
    <n v="366"/>
    <n v="55"/>
    <n v="0.11458333333333333"/>
    <n v="120"/>
    <n v="30800"/>
    <n v="43920"/>
    <n v="13120"/>
    <n v="0.92439024390243907"/>
    <n v="3.430079155672823E-2"/>
    <n v="0.2987249544626594"/>
    <n v="84.15300546448087"/>
    <n v="425"/>
    <n v="0.8917647058823529"/>
    <n v="35.846994535519123"/>
    <n v="0.86117647058823532"/>
  </r>
  <r>
    <d v="2026-10-06T00:00:00"/>
    <x v="3"/>
    <x v="1"/>
    <x v="0"/>
    <x v="0"/>
    <n v="450"/>
    <n v="411"/>
    <n v="24"/>
    <n v="387"/>
    <n v="43"/>
    <n v="8.9583333333333334E-2"/>
    <n v="100"/>
    <n v="30800"/>
    <n v="38700"/>
    <n v="7900"/>
    <n v="0.91333333333333333"/>
    <n v="5.8394160583941604E-2"/>
    <n v="0.20413436692506459"/>
    <n v="79.586563307493535"/>
    <n v="437"/>
    <n v="0.94050343249427915"/>
    <n v="20.413436692506458"/>
    <n v="0.88558352402745999"/>
  </r>
  <r>
    <d v="2026-10-06T00:00:00"/>
    <x v="3"/>
    <x v="1"/>
    <x v="1"/>
    <x v="1"/>
    <n v="390"/>
    <n v="356"/>
    <n v="18"/>
    <n v="338"/>
    <n v="53"/>
    <n v="0.11041666666666666"/>
    <n v="120"/>
    <n v="30800"/>
    <n v="40560"/>
    <n v="9760"/>
    <n v="0.9128205128205128"/>
    <n v="5.0561797752808987E-2"/>
    <n v="0.24063116370808679"/>
    <n v="91.124260355029591"/>
    <n v="427"/>
    <n v="0.83372365339578458"/>
    <n v="28.875739644970412"/>
    <n v="0.79156908665105385"/>
  </r>
  <r>
    <d v="2026-10-06T00:00:00"/>
    <x v="3"/>
    <x v="1"/>
    <x v="2"/>
    <x v="2"/>
    <n v="490"/>
    <n v="431"/>
    <n v="24"/>
    <n v="407"/>
    <n v="63"/>
    <n v="0.13125000000000001"/>
    <n v="90"/>
    <n v="30800"/>
    <n v="36630"/>
    <n v="5830"/>
    <n v="0.87959183673469388"/>
    <n v="5.5684454756380508E-2"/>
    <n v="0.15915915915915915"/>
    <n v="75.675675675675677"/>
    <n v="417"/>
    <n v="1.0335731414868106"/>
    <n v="14.324324324324325"/>
    <n v="0.97601918465227822"/>
  </r>
  <r>
    <d v="2026-10-06T00:00:00"/>
    <x v="3"/>
    <x v="2"/>
    <x v="0"/>
    <x v="1"/>
    <n v="410"/>
    <n v="397"/>
    <n v="8"/>
    <n v="389"/>
    <n v="29"/>
    <n v="6.0416666666666667E-2"/>
    <n v="120"/>
    <n v="30800"/>
    <n v="46680"/>
    <n v="15880"/>
    <n v="0.96829268292682924"/>
    <n v="2.0151133501259445E-2"/>
    <n v="0.34018851756640961"/>
    <n v="79.177377892030847"/>
    <n v="451"/>
    <n v="0.88026607538802659"/>
    <n v="40.822622107969153"/>
    <n v="0.86252771618625279"/>
  </r>
  <r>
    <d v="2026-10-06T00:00:00"/>
    <x v="3"/>
    <x v="2"/>
    <x v="1"/>
    <x v="2"/>
    <n v="490"/>
    <n v="478"/>
    <n v="15"/>
    <n v="463"/>
    <n v="23"/>
    <n v="4.791666666666667E-2"/>
    <n v="90"/>
    <n v="30800"/>
    <n v="41670"/>
    <n v="10870"/>
    <n v="0.97551020408163269"/>
    <n v="3.1380753138075312E-2"/>
    <n v="0.26085913126949845"/>
    <n v="66.522678185745136"/>
    <n v="457"/>
    <n v="1.0459518599562363"/>
    <n v="23.477321814254861"/>
    <n v="1.013129102844639"/>
  </r>
  <r>
    <d v="2026-10-06T00:00:00"/>
    <x v="3"/>
    <x v="2"/>
    <x v="2"/>
    <x v="0"/>
    <n v="470"/>
    <n v="432"/>
    <n v="21"/>
    <n v="411"/>
    <n v="35"/>
    <n v="7.2916666666666671E-2"/>
    <n v="100"/>
    <n v="30800"/>
    <n v="41100"/>
    <n v="10300"/>
    <n v="0.91914893617021276"/>
    <n v="4.8611111111111112E-2"/>
    <n v="0.25060827250608275"/>
    <n v="74.93917274939173"/>
    <n v="445"/>
    <n v="0.97078651685393258"/>
    <n v="25.060827250608273"/>
    <n v="0.92359550561797754"/>
  </r>
  <r>
    <d v="2026-10-07T00:00:00"/>
    <x v="3"/>
    <x v="0"/>
    <x v="0"/>
    <x v="0"/>
    <n v="450"/>
    <n v="441"/>
    <n v="17"/>
    <n v="424"/>
    <n v="46"/>
    <n v="9.583333333333334E-2"/>
    <n v="100"/>
    <n v="30800"/>
    <n v="42400"/>
    <n v="11600"/>
    <n v="0.98"/>
    <n v="3.8548752834467119E-2"/>
    <n v="0.27358490566037735"/>
    <n v="72.64150943396227"/>
    <n v="434"/>
    <n v="1.0161290322580645"/>
    <n v="27.358490566037737"/>
    <n v="0.97695852534562211"/>
  </r>
  <r>
    <d v="2026-10-07T00:00:00"/>
    <x v="3"/>
    <x v="0"/>
    <x v="1"/>
    <x v="1"/>
    <n v="410"/>
    <n v="388"/>
    <n v="12"/>
    <n v="376"/>
    <n v="34"/>
    <n v="7.0833333333333331E-2"/>
    <n v="120"/>
    <n v="30800"/>
    <n v="45120"/>
    <n v="14320"/>
    <n v="0.9463414634146341"/>
    <n v="3.0927835051546393E-2"/>
    <n v="0.31737588652482268"/>
    <n v="81.914893617021278"/>
    <n v="446"/>
    <n v="0.8699551569506726"/>
    <n v="38.085106382978722"/>
    <n v="0.84304932735426008"/>
  </r>
  <r>
    <d v="2026-10-07T00:00:00"/>
    <x v="3"/>
    <x v="0"/>
    <x v="2"/>
    <x v="2"/>
    <n v="500"/>
    <n v="450"/>
    <n v="21"/>
    <n v="429"/>
    <n v="34"/>
    <n v="7.0833333333333331E-2"/>
    <n v="90"/>
    <n v="30800"/>
    <n v="38610"/>
    <n v="7810"/>
    <n v="0.9"/>
    <n v="4.6666666666666669E-2"/>
    <n v="0.20227920227920229"/>
    <n v="71.794871794871796"/>
    <n v="446"/>
    <n v="1.0089686098654709"/>
    <n v="18.205128205128204"/>
    <n v="0.96188340807174888"/>
  </r>
  <r>
    <d v="2026-10-07T00:00:00"/>
    <x v="3"/>
    <x v="1"/>
    <x v="0"/>
    <x v="1"/>
    <n v="410"/>
    <n v="365"/>
    <n v="18"/>
    <n v="347"/>
    <n v="56"/>
    <n v="0.11666666666666667"/>
    <n v="120"/>
    <n v="30800"/>
    <n v="41640"/>
    <n v="10840"/>
    <n v="0.8902439024390244"/>
    <n v="4.9315068493150684E-2"/>
    <n v="0.26032660902977905"/>
    <n v="88.760806916426517"/>
    <n v="424"/>
    <n v="0.86084905660377353"/>
    <n v="31.239193083573486"/>
    <n v="0.81839622641509435"/>
  </r>
  <r>
    <d v="2026-10-07T00:00:00"/>
    <x v="3"/>
    <x v="1"/>
    <x v="1"/>
    <x v="2"/>
    <n v="510"/>
    <n v="471"/>
    <n v="29"/>
    <n v="442"/>
    <n v="58"/>
    <n v="0.12083333333333333"/>
    <n v="90"/>
    <n v="30800"/>
    <n v="39780"/>
    <n v="8980"/>
    <n v="0.92352941176470593"/>
    <n v="6.1571125265392782E-2"/>
    <n v="0.22574157868275516"/>
    <n v="69.68325791855203"/>
    <n v="422"/>
    <n v="1.1161137440758293"/>
    <n v="20.316742081447963"/>
    <n v="1.04739336492891"/>
  </r>
  <r>
    <d v="2026-10-07T00:00:00"/>
    <x v="3"/>
    <x v="1"/>
    <x v="2"/>
    <x v="0"/>
    <n v="460"/>
    <n v="402"/>
    <n v="32"/>
    <n v="370"/>
    <n v="60"/>
    <n v="0.125"/>
    <n v="100"/>
    <n v="30800"/>
    <n v="37000"/>
    <n v="6200"/>
    <n v="0.87391304347826082"/>
    <n v="7.9601990049751242E-2"/>
    <n v="0.16756756756756758"/>
    <n v="83.243243243243242"/>
    <n v="420"/>
    <n v="0.95714285714285718"/>
    <n v="16.756756756756758"/>
    <n v="0.88095238095238093"/>
  </r>
  <r>
    <d v="2026-10-07T00:00:00"/>
    <x v="3"/>
    <x v="2"/>
    <x v="0"/>
    <x v="2"/>
    <n v="500"/>
    <n v="491"/>
    <n v="17"/>
    <n v="474"/>
    <n v="20"/>
    <n v="4.1666666666666664E-2"/>
    <n v="90"/>
    <n v="30800"/>
    <n v="42660"/>
    <n v="11860"/>
    <n v="0.98199999999999998"/>
    <n v="3.4623217922606926E-2"/>
    <n v="0.27801218940459449"/>
    <n v="64.978902953586498"/>
    <n v="460"/>
    <n v="1.067391304347826"/>
    <n v="25.021097046413502"/>
    <n v="1.0304347826086957"/>
  </r>
  <r>
    <d v="2026-10-07T00:00:00"/>
    <x v="3"/>
    <x v="2"/>
    <x v="1"/>
    <x v="0"/>
    <n v="460"/>
    <n v="442"/>
    <n v="17"/>
    <n v="425"/>
    <n v="46"/>
    <n v="9.583333333333334E-2"/>
    <n v="100"/>
    <n v="30800"/>
    <n v="42500"/>
    <n v="11700"/>
    <n v="0.96086956521739131"/>
    <n v="3.8461538461538464E-2"/>
    <n v="0.2752941176470588"/>
    <n v="72.470588235294116"/>
    <n v="434"/>
    <n v="1.0184331797235022"/>
    <n v="27.529411764705884"/>
    <n v="0.97926267281105994"/>
  </r>
  <r>
    <d v="2026-10-07T00:00:00"/>
    <x v="3"/>
    <x v="2"/>
    <x v="2"/>
    <x v="1"/>
    <n v="410"/>
    <n v="380"/>
    <n v="13"/>
    <n v="367"/>
    <n v="39"/>
    <n v="8.1250000000000003E-2"/>
    <n v="120"/>
    <n v="30800"/>
    <n v="44040"/>
    <n v="13240"/>
    <n v="0.92682926829268297"/>
    <n v="3.4210526315789476E-2"/>
    <n v="0.30063578564940963"/>
    <n v="83.923705722070849"/>
    <n v="441"/>
    <n v="0.86167800453514742"/>
    <n v="36.076294277929158"/>
    <n v="0.83219954648526073"/>
  </r>
  <r>
    <d v="2026-10-08T00:00:00"/>
    <x v="3"/>
    <x v="0"/>
    <x v="0"/>
    <x v="1"/>
    <n v="400"/>
    <n v="384"/>
    <n v="12"/>
    <n v="372"/>
    <n v="37"/>
    <n v="7.7083333333333337E-2"/>
    <n v="120"/>
    <n v="30800"/>
    <n v="44640"/>
    <n v="13840"/>
    <n v="0.96"/>
    <n v="3.125E-2"/>
    <n v="0.31003584229390679"/>
    <n v="82.795698924731184"/>
    <n v="443"/>
    <n v="0.86681715575620766"/>
    <n v="37.204301075268816"/>
    <n v="0.83972911963882624"/>
  </r>
  <r>
    <d v="2026-10-08T00:00:00"/>
    <x v="3"/>
    <x v="0"/>
    <x v="1"/>
    <x v="2"/>
    <n v="490"/>
    <n v="465"/>
    <n v="17"/>
    <n v="448"/>
    <n v="25"/>
    <n v="5.2083333333333336E-2"/>
    <n v="90"/>
    <n v="30800"/>
    <n v="40320"/>
    <n v="9520"/>
    <n v="0.94897959183673475"/>
    <n v="3.6559139784946237E-2"/>
    <n v="0.2361111111111111"/>
    <n v="68.75"/>
    <n v="455"/>
    <n v="1.0219780219780219"/>
    <n v="21.25"/>
    <n v="0.98461538461538467"/>
  </r>
  <r>
    <d v="2026-10-08T00:00:00"/>
    <x v="3"/>
    <x v="0"/>
    <x v="2"/>
    <x v="0"/>
    <n v="470"/>
    <n v="436"/>
    <n v="28"/>
    <n v="408"/>
    <n v="59"/>
    <n v="0.12291666666666666"/>
    <n v="100"/>
    <n v="30800"/>
    <n v="40800"/>
    <n v="10000"/>
    <n v="0.92765957446808511"/>
    <n v="6.4220183486238536E-2"/>
    <n v="0.24509803921568626"/>
    <n v="75.490196078431367"/>
    <n v="421"/>
    <n v="1.0356294536817101"/>
    <n v="24.509803921568629"/>
    <n v="0.96912114014251782"/>
  </r>
  <r>
    <d v="2026-10-08T00:00:00"/>
    <x v="3"/>
    <x v="1"/>
    <x v="0"/>
    <x v="2"/>
    <n v="520"/>
    <n v="458"/>
    <n v="25"/>
    <n v="433"/>
    <n v="38"/>
    <n v="7.9166666666666663E-2"/>
    <n v="90"/>
    <n v="30800"/>
    <n v="38970"/>
    <n v="8170"/>
    <n v="0.88076923076923075"/>
    <n v="5.458515283842795E-2"/>
    <n v="0.20964844752373621"/>
    <n v="71.131639722863738"/>
    <n v="442"/>
    <n v="1.0361990950226245"/>
    <n v="18.868360277136258"/>
    <n v="0.97963800904977372"/>
  </r>
  <r>
    <d v="2026-10-08T00:00:00"/>
    <x v="3"/>
    <x v="1"/>
    <x v="1"/>
    <x v="0"/>
    <n v="440"/>
    <n v="388"/>
    <n v="27"/>
    <n v="361"/>
    <n v="64"/>
    <n v="0.13333333333333333"/>
    <n v="100"/>
    <n v="30800"/>
    <n v="36100"/>
    <n v="5300"/>
    <n v="0.88181818181818183"/>
    <n v="6.9587628865979384E-2"/>
    <n v="0.14681440443213298"/>
    <n v="85.31855955678671"/>
    <n v="416"/>
    <n v="0.93269230769230771"/>
    <n v="14.681440443213296"/>
    <n v="0.86778846153846156"/>
  </r>
  <r>
    <d v="2026-10-08T00:00:00"/>
    <x v="3"/>
    <x v="1"/>
    <x v="2"/>
    <x v="1"/>
    <n v="400"/>
    <n v="358"/>
    <n v="23"/>
    <n v="335"/>
    <n v="50"/>
    <n v="0.10416666666666667"/>
    <n v="120"/>
    <n v="30800"/>
    <n v="40200"/>
    <n v="9400"/>
    <n v="0.89500000000000002"/>
    <n v="6.4245810055865923E-2"/>
    <n v="0.23383084577114427"/>
    <n v="91.940298507462686"/>
    <n v="430"/>
    <n v="0.83255813953488367"/>
    <n v="28.059701492537314"/>
    <n v="0.77906976744186052"/>
  </r>
  <r>
    <d v="2026-10-08T00:00:00"/>
    <x v="3"/>
    <x v="2"/>
    <x v="0"/>
    <x v="0"/>
    <n v="440"/>
    <n v="436"/>
    <n v="17"/>
    <n v="419"/>
    <n v="23"/>
    <n v="4.791666666666667E-2"/>
    <n v="100"/>
    <n v="30800"/>
    <n v="41900"/>
    <n v="11100"/>
    <n v="0.99090909090909096"/>
    <n v="3.8990825688073397E-2"/>
    <n v="0.2649164677804296"/>
    <n v="73.508353221957037"/>
    <n v="457"/>
    <n v="0.9540481400437637"/>
    <n v="26.491646778042959"/>
    <n v="0.91684901531728669"/>
  </r>
  <r>
    <d v="2026-10-08T00:00:00"/>
    <x v="3"/>
    <x v="2"/>
    <x v="1"/>
    <x v="1"/>
    <n v="400"/>
    <n v="389"/>
    <n v="10"/>
    <n v="379"/>
    <n v="29"/>
    <n v="6.0416666666666667E-2"/>
    <n v="120"/>
    <n v="30800"/>
    <n v="45480"/>
    <n v="14680"/>
    <n v="0.97250000000000003"/>
    <n v="2.570694087403599E-2"/>
    <n v="0.3227792436235708"/>
    <n v="81.266490765171497"/>
    <n v="451"/>
    <n v="0.86252771618625279"/>
    <n v="38.733509234828496"/>
    <n v="0.84035476718403546"/>
  </r>
  <r>
    <d v="2026-10-08T00:00:00"/>
    <x v="3"/>
    <x v="2"/>
    <x v="2"/>
    <x v="2"/>
    <n v="500"/>
    <n v="481"/>
    <n v="16"/>
    <n v="465"/>
    <n v="26"/>
    <n v="5.4166666666666669E-2"/>
    <n v="90"/>
    <n v="30800"/>
    <n v="41850"/>
    <n v="11050"/>
    <n v="0.96199999999999997"/>
    <n v="3.3264033264033266E-2"/>
    <n v="0.26403823178016728"/>
    <n v="66.236559139784944"/>
    <n v="454"/>
    <n v="1.0594713656387664"/>
    <n v="23.763440860215052"/>
    <n v="1.0242290748898679"/>
  </r>
  <r>
    <d v="2026-10-09T00:00:00"/>
    <x v="3"/>
    <x v="0"/>
    <x v="0"/>
    <x v="2"/>
    <n v="520"/>
    <n v="490"/>
    <n v="15"/>
    <n v="475"/>
    <n v="24"/>
    <n v="0.05"/>
    <n v="90"/>
    <n v="30800"/>
    <n v="42750"/>
    <n v="11950"/>
    <n v="0.94230769230769229"/>
    <n v="3.0612244897959183E-2"/>
    <n v="0.27953216374269008"/>
    <n v="64.84210526315789"/>
    <n v="456"/>
    <n v="1.0745614035087718"/>
    <n v="25.157894736842106"/>
    <n v="1.0416666666666667"/>
  </r>
  <r>
    <d v="2026-10-09T00:00:00"/>
    <x v="3"/>
    <x v="0"/>
    <x v="1"/>
    <x v="0"/>
    <n v="460"/>
    <n v="447"/>
    <n v="18"/>
    <n v="429"/>
    <n v="34"/>
    <n v="7.0833333333333331E-2"/>
    <n v="100"/>
    <n v="30800"/>
    <n v="42900"/>
    <n v="12100"/>
    <n v="0.97173913043478266"/>
    <n v="4.0268456375838924E-2"/>
    <n v="0.28205128205128205"/>
    <n v="71.794871794871796"/>
    <n v="446"/>
    <n v="1.0022421524663676"/>
    <n v="28.205128205128204"/>
    <n v="0.96188340807174888"/>
  </r>
  <r>
    <d v="2026-10-09T00:00:00"/>
    <x v="3"/>
    <x v="0"/>
    <x v="2"/>
    <x v="1"/>
    <n v="390"/>
    <n v="348"/>
    <n v="15"/>
    <n v="333"/>
    <n v="37"/>
    <n v="7.7083333333333337E-2"/>
    <n v="120"/>
    <n v="30800"/>
    <n v="39960"/>
    <n v="9160"/>
    <n v="0.89230769230769236"/>
    <n v="4.3103448275862072E-2"/>
    <n v="0.22922922922922923"/>
    <n v="92.492492492492488"/>
    <n v="443"/>
    <n v="0.78555304740406318"/>
    <n v="27.507507507507508"/>
    <n v="0.75169300225733637"/>
  </r>
  <r>
    <d v="2026-10-09T00:00:00"/>
    <x v="3"/>
    <x v="1"/>
    <x v="0"/>
    <x v="0"/>
    <n v="440"/>
    <n v="396"/>
    <n v="26"/>
    <n v="370"/>
    <n v="44"/>
    <n v="9.166666666666666E-2"/>
    <n v="100"/>
    <n v="30800"/>
    <n v="37000"/>
    <n v="6200"/>
    <n v="0.9"/>
    <n v="6.5656565656565663E-2"/>
    <n v="0.16756756756756758"/>
    <n v="83.243243243243242"/>
    <n v="436"/>
    <n v="0.90825688073394495"/>
    <n v="16.756756756756758"/>
    <n v="0.84862385321100919"/>
  </r>
  <r>
    <d v="2026-10-09T00:00:00"/>
    <x v="3"/>
    <x v="1"/>
    <x v="1"/>
    <x v="1"/>
    <n v="390"/>
    <n v="358"/>
    <n v="20"/>
    <n v="338"/>
    <n v="58"/>
    <n v="0.12083333333333333"/>
    <n v="120"/>
    <n v="30800"/>
    <n v="40560"/>
    <n v="9760"/>
    <n v="0.91794871794871791"/>
    <n v="5.5865921787709494E-2"/>
    <n v="0.24063116370808679"/>
    <n v="91.124260355029591"/>
    <n v="422"/>
    <n v="0.84834123222748814"/>
    <n v="28.875739644970412"/>
    <n v="0.80094786729857825"/>
  </r>
  <r>
    <d v="2026-10-09T00:00:00"/>
    <x v="3"/>
    <x v="1"/>
    <x v="2"/>
    <x v="2"/>
    <n v="500"/>
    <n v="425"/>
    <n v="24"/>
    <n v="401"/>
    <n v="57"/>
    <n v="0.11874999999999999"/>
    <n v="90"/>
    <n v="30800"/>
    <n v="36090"/>
    <n v="5290"/>
    <n v="0.85"/>
    <n v="5.647058823529412E-2"/>
    <n v="0.14657799944582986"/>
    <n v="76.807980049875312"/>
    <n v="423"/>
    <n v="1.0047281323877069"/>
    <n v="13.192019950124688"/>
    <n v="0.94799054373522462"/>
  </r>
  <r>
    <d v="2026-10-09T00:00:00"/>
    <x v="3"/>
    <x v="2"/>
    <x v="0"/>
    <x v="1"/>
    <n v="390"/>
    <n v="373"/>
    <n v="9"/>
    <n v="364"/>
    <n v="14"/>
    <n v="2.9166666666666667E-2"/>
    <n v="120"/>
    <n v="30800"/>
    <n v="43680"/>
    <n v="12880"/>
    <n v="0.95641025641025645"/>
    <n v="2.4128686327077747E-2"/>
    <n v="0.29487179487179488"/>
    <n v="84.615384615384613"/>
    <n v="466"/>
    <n v="0.80042918454935619"/>
    <n v="35.384615384615387"/>
    <n v="0.7811158798283262"/>
  </r>
  <r>
    <d v="2026-10-09T00:00:00"/>
    <x v="3"/>
    <x v="2"/>
    <x v="1"/>
    <x v="2"/>
    <n v="500"/>
    <n v="496"/>
    <n v="13"/>
    <n v="483"/>
    <n v="17"/>
    <n v="3.5416666666666666E-2"/>
    <n v="90"/>
    <n v="30800"/>
    <n v="43470"/>
    <n v="12670"/>
    <n v="0.99199999999999999"/>
    <n v="2.620967741935484E-2"/>
    <n v="0.29146537842190018"/>
    <n v="63.768115942028984"/>
    <n v="463"/>
    <n v="1.0712742980561556"/>
    <n v="26.231884057971016"/>
    <n v="1.0431965442764579"/>
  </r>
  <r>
    <d v="2026-10-09T00:00:00"/>
    <x v="3"/>
    <x v="2"/>
    <x v="2"/>
    <x v="0"/>
    <n v="470"/>
    <n v="441"/>
    <n v="22"/>
    <n v="419"/>
    <n v="46"/>
    <n v="9.583333333333334E-2"/>
    <n v="100"/>
    <n v="30800"/>
    <n v="41900"/>
    <n v="11100"/>
    <n v="0.9382978723404255"/>
    <n v="4.9886621315192746E-2"/>
    <n v="0.2649164677804296"/>
    <n v="73.508353221957037"/>
    <n v="434"/>
    <n v="1.0161290322580645"/>
    <n v="26.491646778042959"/>
    <n v="0.96543778801843316"/>
  </r>
  <r>
    <d v="2026-10-10T00:00:00"/>
    <x v="3"/>
    <x v="0"/>
    <x v="0"/>
    <x v="0"/>
    <n v="430"/>
    <n v="417"/>
    <n v="19"/>
    <n v="398"/>
    <n v="32"/>
    <n v="6.6666666666666666E-2"/>
    <n v="100"/>
    <n v="30800"/>
    <n v="39800"/>
    <n v="9000"/>
    <n v="0.96976744186046515"/>
    <n v="4.5563549160671464E-2"/>
    <n v="0.22613065326633167"/>
    <n v="77.386934673366838"/>
    <n v="448"/>
    <n v="0.9308035714285714"/>
    <n v="22.613065326633166"/>
    <n v="0.8883928571428571"/>
  </r>
  <r>
    <d v="2026-10-10T00:00:00"/>
    <x v="3"/>
    <x v="0"/>
    <x v="1"/>
    <x v="1"/>
    <n v="390"/>
    <n v="372"/>
    <n v="12"/>
    <n v="360"/>
    <n v="40"/>
    <n v="8.3333333333333329E-2"/>
    <n v="120"/>
    <n v="30800"/>
    <n v="43200"/>
    <n v="12400"/>
    <n v="0.9538461538461539"/>
    <n v="3.2258064516129031E-2"/>
    <n v="0.28703703703703703"/>
    <n v="85.555555555555557"/>
    <n v="440"/>
    <n v="0.84545454545454546"/>
    <n v="34.444444444444443"/>
    <n v="0.81818181818181823"/>
  </r>
  <r>
    <d v="2026-10-10T00:00:00"/>
    <x v="3"/>
    <x v="0"/>
    <x v="2"/>
    <x v="2"/>
    <n v="490"/>
    <n v="447"/>
    <n v="18"/>
    <n v="429"/>
    <n v="44"/>
    <n v="9.166666666666666E-2"/>
    <n v="90"/>
    <n v="30800"/>
    <n v="38610"/>
    <n v="7810"/>
    <n v="0.91224489795918362"/>
    <n v="4.0268456375838924E-2"/>
    <n v="0.20227920227920229"/>
    <n v="71.794871794871796"/>
    <n v="436"/>
    <n v="1.025229357798165"/>
    <n v="18.205128205128204"/>
    <n v="0.98394495412844041"/>
  </r>
  <r>
    <d v="2026-10-10T00:00:00"/>
    <x v="3"/>
    <x v="1"/>
    <x v="0"/>
    <x v="1"/>
    <n v="400"/>
    <n v="363"/>
    <n v="15"/>
    <n v="348"/>
    <n v="57"/>
    <n v="0.11874999999999999"/>
    <n v="120"/>
    <n v="30800"/>
    <n v="41760"/>
    <n v="10960"/>
    <n v="0.90749999999999997"/>
    <n v="4.1322314049586778E-2"/>
    <n v="0.26245210727969348"/>
    <n v="88.505747126436788"/>
    <n v="423"/>
    <n v="0.85815602836879434"/>
    <n v="31.494252873563219"/>
    <n v="0.82269503546099287"/>
  </r>
  <r>
    <d v="2026-10-10T00:00:00"/>
    <x v="3"/>
    <x v="1"/>
    <x v="1"/>
    <x v="2"/>
    <n v="520"/>
    <n v="470"/>
    <n v="23"/>
    <n v="447"/>
    <n v="50"/>
    <n v="0.10416666666666667"/>
    <n v="90"/>
    <n v="30800"/>
    <n v="40230"/>
    <n v="9430"/>
    <n v="0.90384615384615385"/>
    <n v="4.8936170212765959E-2"/>
    <n v="0.23440218742232166"/>
    <n v="68.903803131991054"/>
    <n v="430"/>
    <n v="1.0930232558139534"/>
    <n v="21.096196868008949"/>
    <n v="1.0395348837209302"/>
  </r>
  <r>
    <d v="2026-10-10T00:00:00"/>
    <x v="3"/>
    <x v="1"/>
    <x v="2"/>
    <x v="0"/>
    <n v="440"/>
    <n v="369"/>
    <n v="28"/>
    <n v="341"/>
    <n v="70"/>
    <n v="0.14583333333333334"/>
    <n v="100"/>
    <n v="30800"/>
    <n v="34100"/>
    <n v="3300"/>
    <n v="0.83863636363636362"/>
    <n v="7.5880758807588072E-2"/>
    <n v="9.6774193548387094E-2"/>
    <n v="90.322580645161295"/>
    <n v="410"/>
    <n v="0.9"/>
    <n v="9.67741935483871"/>
    <n v="0.83170731707317069"/>
  </r>
  <r>
    <d v="2026-10-10T00:00:00"/>
    <x v="3"/>
    <x v="2"/>
    <x v="0"/>
    <x v="2"/>
    <n v="500"/>
    <n v="478"/>
    <n v="9"/>
    <n v="469"/>
    <n v="20"/>
    <n v="4.1666666666666664E-2"/>
    <n v="90"/>
    <n v="30800"/>
    <n v="42210"/>
    <n v="11410"/>
    <n v="0.95599999999999996"/>
    <n v="1.8828451882845189E-2"/>
    <n v="0.27031509121061359"/>
    <n v="65.671641791044777"/>
    <n v="460"/>
    <n v="1.0391304347826087"/>
    <n v="24.328358208955223"/>
    <n v="1.0195652173913043"/>
  </r>
  <r>
    <d v="2026-10-10T00:00:00"/>
    <x v="3"/>
    <x v="2"/>
    <x v="1"/>
    <x v="0"/>
    <n v="450"/>
    <n v="446"/>
    <n v="19"/>
    <n v="427"/>
    <n v="46"/>
    <n v="9.583333333333334E-2"/>
    <n v="100"/>
    <n v="30800"/>
    <n v="42700"/>
    <n v="11900"/>
    <n v="0.99111111111111116"/>
    <n v="4.2600896860986545E-2"/>
    <n v="0.27868852459016391"/>
    <n v="72.131147540983605"/>
    <n v="434"/>
    <n v="1.0276497695852536"/>
    <n v="27.868852459016395"/>
    <n v="0.9838709677419355"/>
  </r>
  <r>
    <d v="2026-10-10T00:00:00"/>
    <x v="3"/>
    <x v="2"/>
    <x v="2"/>
    <x v="1"/>
    <n v="390"/>
    <n v="369"/>
    <n v="15"/>
    <n v="354"/>
    <n v="40"/>
    <n v="8.3333333333333329E-2"/>
    <n v="120"/>
    <n v="30800"/>
    <n v="42480"/>
    <n v="11680"/>
    <n v="0.94615384615384612"/>
    <n v="4.065040650406504E-2"/>
    <n v="0.27495291902071561"/>
    <n v="87.005649717514117"/>
    <n v="440"/>
    <n v="0.83863636363636362"/>
    <n v="32.994350282485875"/>
    <n v="0.80454545454545456"/>
  </r>
  <r>
    <d v="2026-10-11T00:00:00"/>
    <x v="3"/>
    <x v="0"/>
    <x v="0"/>
    <x v="1"/>
    <n v="410"/>
    <n v="399"/>
    <n v="12"/>
    <n v="387"/>
    <n v="34"/>
    <n v="7.0833333333333331E-2"/>
    <n v="120"/>
    <n v="30800"/>
    <n v="46440"/>
    <n v="15640"/>
    <n v="0.97317073170731705"/>
    <n v="3.007518796992481E-2"/>
    <n v="0.33677863910422051"/>
    <n v="79.586563307493535"/>
    <n v="446"/>
    <n v="0.89461883408071752"/>
    <n v="40.413436692506458"/>
    <n v="0.86771300448430488"/>
  </r>
  <r>
    <d v="2026-10-11T00:00:00"/>
    <x v="3"/>
    <x v="0"/>
    <x v="1"/>
    <x v="2"/>
    <n v="490"/>
    <n v="451"/>
    <n v="17"/>
    <n v="434"/>
    <n v="27"/>
    <n v="5.6250000000000001E-2"/>
    <n v="90"/>
    <n v="30800"/>
    <n v="39060"/>
    <n v="8260"/>
    <n v="0.92040816326530617"/>
    <n v="3.7694013303769404E-2"/>
    <n v="0.21146953405017921"/>
    <n v="70.967741935483872"/>
    <n v="453"/>
    <n v="0.99558498896247238"/>
    <n v="19.032258064516128"/>
    <n v="0.95805739514348787"/>
  </r>
  <r>
    <d v="2026-10-11T00:00:00"/>
    <x v="3"/>
    <x v="0"/>
    <x v="2"/>
    <x v="0"/>
    <n v="460"/>
    <n v="419"/>
    <n v="24"/>
    <n v="395"/>
    <n v="59"/>
    <n v="0.12291666666666666"/>
    <n v="100"/>
    <n v="30800"/>
    <n v="39500"/>
    <n v="8700"/>
    <n v="0.91086956521739126"/>
    <n v="5.7279236276849645E-2"/>
    <n v="0.22025316455696203"/>
    <n v="77.974683544303801"/>
    <n v="421"/>
    <n v="0.99524940617577196"/>
    <n v="22.025316455696203"/>
    <n v="0.93824228028503565"/>
  </r>
  <r>
    <d v="2026-10-11T00:00:00"/>
    <x v="3"/>
    <x v="1"/>
    <x v="0"/>
    <x v="2"/>
    <n v="480"/>
    <n v="425"/>
    <n v="21"/>
    <n v="404"/>
    <n v="38"/>
    <n v="7.9166666666666663E-2"/>
    <n v="90"/>
    <n v="30800"/>
    <n v="36360"/>
    <n v="5560"/>
    <n v="0.88541666666666663"/>
    <n v="4.9411764705882349E-2"/>
    <n v="0.15291529152915292"/>
    <n v="76.237623762376231"/>
    <n v="442"/>
    <n v="0.96153846153846156"/>
    <n v="13.762376237623762"/>
    <n v="0.91402714932126694"/>
  </r>
  <r>
    <d v="2026-10-11T00:00:00"/>
    <x v="3"/>
    <x v="1"/>
    <x v="1"/>
    <x v="0"/>
    <n v="440"/>
    <n v="405"/>
    <n v="27"/>
    <n v="378"/>
    <n v="54"/>
    <n v="0.1125"/>
    <n v="100"/>
    <n v="30800"/>
    <n v="37800"/>
    <n v="7000"/>
    <n v="0.92045454545454541"/>
    <n v="6.6666666666666666E-2"/>
    <n v="0.18518518518518517"/>
    <n v="81.481481481481481"/>
    <n v="426"/>
    <n v="0.95070422535211263"/>
    <n v="18.518518518518519"/>
    <n v="0.88732394366197187"/>
  </r>
  <r>
    <d v="2026-10-11T00:00:00"/>
    <x v="3"/>
    <x v="1"/>
    <x v="2"/>
    <x v="1"/>
    <n v="410"/>
    <n v="363"/>
    <n v="22"/>
    <n v="341"/>
    <n v="52"/>
    <n v="0.10833333333333334"/>
    <n v="120"/>
    <n v="30800"/>
    <n v="40920"/>
    <n v="10120"/>
    <n v="0.88536585365853659"/>
    <n v="6.0606060606060608E-2"/>
    <n v="0.24731182795698925"/>
    <n v="90.322580645161295"/>
    <n v="428"/>
    <n v="0.84813084112149528"/>
    <n v="29.677419354838708"/>
    <n v="0.79672897196261683"/>
  </r>
  <r>
    <d v="2026-10-11T00:00:00"/>
    <x v="3"/>
    <x v="2"/>
    <x v="0"/>
    <x v="0"/>
    <n v="430"/>
    <n v="424"/>
    <n v="17"/>
    <n v="407"/>
    <n v="25"/>
    <n v="5.2083333333333336E-2"/>
    <n v="100"/>
    <n v="30800"/>
    <n v="40700"/>
    <n v="9900"/>
    <n v="0.98604651162790702"/>
    <n v="4.0094339622641507E-2"/>
    <n v="0.24324324324324326"/>
    <n v="75.675675675675677"/>
    <n v="455"/>
    <n v="0.93186813186813189"/>
    <n v="24.324324324324323"/>
    <n v="0.89450549450549455"/>
  </r>
  <r>
    <d v="2026-10-11T00:00:00"/>
    <x v="3"/>
    <x v="2"/>
    <x v="1"/>
    <x v="1"/>
    <n v="400"/>
    <n v="379"/>
    <n v="11"/>
    <n v="368"/>
    <n v="25"/>
    <n v="5.2083333333333336E-2"/>
    <n v="120"/>
    <n v="30800"/>
    <n v="44160"/>
    <n v="13360"/>
    <n v="0.94750000000000001"/>
    <n v="2.9023746701846966E-2"/>
    <n v="0.30253623188405798"/>
    <n v="83.695652173913047"/>
    <n v="455"/>
    <n v="0.83296703296703301"/>
    <n v="36.304347826086953"/>
    <n v="0.8087912087912088"/>
  </r>
  <r>
    <d v="2026-10-11T00:00:00"/>
    <x v="3"/>
    <x v="2"/>
    <x v="2"/>
    <x v="2"/>
    <n v="510"/>
    <n v="476"/>
    <n v="18"/>
    <n v="458"/>
    <n v="26"/>
    <n v="5.4166666666666669E-2"/>
    <n v="90"/>
    <n v="30800"/>
    <n v="41220"/>
    <n v="10420"/>
    <n v="0.93333333333333335"/>
    <n v="3.7815126050420166E-2"/>
    <n v="0.25278990781174188"/>
    <n v="67.248908296943227"/>
    <n v="454"/>
    <n v="1.0484581497797356"/>
    <n v="22.751091703056769"/>
    <n v="1.0088105726872247"/>
  </r>
  <r>
    <d v="2026-10-12T00:00:00"/>
    <x v="3"/>
    <x v="0"/>
    <x v="0"/>
    <x v="2"/>
    <n v="500"/>
    <n v="469"/>
    <n v="15"/>
    <n v="454"/>
    <n v="30"/>
    <n v="6.25E-2"/>
    <n v="90"/>
    <n v="30800"/>
    <n v="40860"/>
    <n v="10060"/>
    <n v="0.93799999999999994"/>
    <n v="3.1982942430703626E-2"/>
    <n v="0.24620655898188937"/>
    <n v="67.841409691629963"/>
    <n v="450"/>
    <n v="1.0422222222222222"/>
    <n v="22.158590308370044"/>
    <n v="1.0088888888888889"/>
  </r>
  <r>
    <d v="2026-10-12T00:00:00"/>
    <x v="3"/>
    <x v="0"/>
    <x v="1"/>
    <x v="0"/>
    <n v="440"/>
    <n v="418"/>
    <n v="20"/>
    <n v="398"/>
    <n v="39"/>
    <n v="8.1250000000000003E-2"/>
    <n v="100"/>
    <n v="30800"/>
    <n v="39800"/>
    <n v="9000"/>
    <n v="0.95"/>
    <n v="4.784688995215311E-2"/>
    <n v="0.22613065326633167"/>
    <n v="77.386934673366838"/>
    <n v="441"/>
    <n v="0.94784580498866211"/>
    <n v="22.613065326633166"/>
    <n v="0.9024943310657596"/>
  </r>
  <r>
    <d v="2026-10-12T00:00:00"/>
    <x v="3"/>
    <x v="0"/>
    <x v="2"/>
    <x v="1"/>
    <n v="400"/>
    <n v="371"/>
    <n v="17"/>
    <n v="354"/>
    <n v="52"/>
    <n v="0.10833333333333334"/>
    <n v="120"/>
    <n v="30800"/>
    <n v="42480"/>
    <n v="11680"/>
    <n v="0.92749999999999999"/>
    <n v="4.5822102425876012E-2"/>
    <n v="0.27495291902071561"/>
    <n v="87.005649717514117"/>
    <n v="428"/>
    <n v="0.86682242990654201"/>
    <n v="32.994350282485875"/>
    <n v="0.82710280373831779"/>
  </r>
  <r>
    <d v="2026-10-12T00:00:00"/>
    <x v="3"/>
    <x v="1"/>
    <x v="0"/>
    <x v="0"/>
    <n v="460"/>
    <n v="415"/>
    <n v="27"/>
    <n v="388"/>
    <n v="46"/>
    <n v="9.583333333333334E-2"/>
    <n v="100"/>
    <n v="30800"/>
    <n v="38800"/>
    <n v="8000"/>
    <n v="0.90217391304347827"/>
    <n v="6.5060240963855417E-2"/>
    <n v="0.20618556701030927"/>
    <n v="79.381443298969074"/>
    <n v="434"/>
    <n v="0.95622119815668205"/>
    <n v="20.618556701030929"/>
    <n v="0.89400921658986177"/>
  </r>
  <r>
    <d v="2026-10-12T00:00:00"/>
    <x v="3"/>
    <x v="1"/>
    <x v="1"/>
    <x v="1"/>
    <n v="390"/>
    <n v="347"/>
    <n v="17"/>
    <n v="330"/>
    <n v="60"/>
    <n v="0.125"/>
    <n v="120"/>
    <n v="30800"/>
    <n v="39600"/>
    <n v="8800"/>
    <n v="0.88974358974358969"/>
    <n v="4.8991354466858789E-2"/>
    <n v="0.22222222222222221"/>
    <n v="93.333333333333329"/>
    <n v="420"/>
    <n v="0.82619047619047614"/>
    <n v="26.666666666666668"/>
    <n v="0.7857142857142857"/>
  </r>
  <r>
    <d v="2026-10-12T00:00:00"/>
    <x v="3"/>
    <x v="1"/>
    <x v="2"/>
    <x v="2"/>
    <n v="510"/>
    <n v="448"/>
    <n v="26"/>
    <n v="422"/>
    <n v="64"/>
    <n v="0.13333333333333333"/>
    <n v="90"/>
    <n v="30800"/>
    <n v="37980"/>
    <n v="7180"/>
    <n v="0.8784313725490196"/>
    <n v="5.8035714285714288E-2"/>
    <n v="0.18904686677198526"/>
    <n v="72.985781990521332"/>
    <n v="416"/>
    <n v="1.0769230769230769"/>
    <n v="17.014218009478672"/>
    <n v="1.0144230769230769"/>
  </r>
  <r>
    <d v="2026-10-12T00:00:00"/>
    <x v="3"/>
    <x v="2"/>
    <x v="0"/>
    <x v="1"/>
    <n v="410"/>
    <n v="408"/>
    <n v="9"/>
    <n v="399"/>
    <n v="29"/>
    <n v="6.0416666666666667E-2"/>
    <n v="120"/>
    <n v="30800"/>
    <n v="47880"/>
    <n v="17080"/>
    <n v="0.99512195121951219"/>
    <n v="2.2058823529411766E-2"/>
    <n v="0.35672514619883039"/>
    <n v="77.192982456140356"/>
    <n v="451"/>
    <n v="0.90465631929046564"/>
    <n v="42.807017543859651"/>
    <n v="0.88470066518847001"/>
  </r>
  <r>
    <d v="2026-10-12T00:00:00"/>
    <x v="3"/>
    <x v="2"/>
    <x v="1"/>
    <x v="2"/>
    <n v="480"/>
    <n v="457"/>
    <n v="13"/>
    <n v="444"/>
    <n v="31"/>
    <n v="6.458333333333334E-2"/>
    <n v="90"/>
    <n v="30800"/>
    <n v="39960"/>
    <n v="9160"/>
    <n v="0.95208333333333328"/>
    <n v="2.8446389496717725E-2"/>
    <n v="0.22922922922922923"/>
    <n v="69.369369369369366"/>
    <n v="449"/>
    <n v="1.0178173719376391"/>
    <n v="20.63063063063063"/>
    <n v="0.98886414253897548"/>
  </r>
  <r>
    <d v="2026-10-12T00:00:00"/>
    <x v="3"/>
    <x v="2"/>
    <x v="2"/>
    <x v="0"/>
    <n v="460"/>
    <n v="443"/>
    <n v="22"/>
    <n v="421"/>
    <n v="48"/>
    <n v="0.1"/>
    <n v="100"/>
    <n v="30800"/>
    <n v="42100"/>
    <n v="11300"/>
    <n v="0.96304347826086956"/>
    <n v="4.9661399548532728E-2"/>
    <n v="0.26840855106888362"/>
    <n v="73.159144893111645"/>
    <n v="432"/>
    <n v="1.025462962962963"/>
    <n v="26.840855106888363"/>
    <n v="0.97453703703703709"/>
  </r>
  <r>
    <d v="2026-10-13T00:00:00"/>
    <x v="3"/>
    <x v="0"/>
    <x v="0"/>
    <x v="0"/>
    <n v="440"/>
    <n v="433"/>
    <n v="16"/>
    <n v="417"/>
    <n v="47"/>
    <n v="9.7916666666666666E-2"/>
    <n v="100"/>
    <n v="30800"/>
    <n v="41700"/>
    <n v="10900"/>
    <n v="0.98409090909090913"/>
    <n v="3.695150115473441E-2"/>
    <n v="0.26139088729016785"/>
    <n v="73.860911270983209"/>
    <n v="433"/>
    <n v="1"/>
    <n v="26.139088729016787"/>
    <n v="0.96304849884526555"/>
  </r>
  <r>
    <d v="2026-10-13T00:00:00"/>
    <x v="3"/>
    <x v="0"/>
    <x v="1"/>
    <x v="1"/>
    <n v="400"/>
    <n v="377"/>
    <n v="11"/>
    <n v="366"/>
    <n v="46"/>
    <n v="9.583333333333334E-2"/>
    <n v="120"/>
    <n v="30800"/>
    <n v="43920"/>
    <n v="13120"/>
    <n v="0.9425"/>
    <n v="2.9177718832891247E-2"/>
    <n v="0.2987249544626594"/>
    <n v="84.15300546448087"/>
    <n v="434"/>
    <n v="0.86866359447004604"/>
    <n v="35.846994535519123"/>
    <n v="0.84331797235023043"/>
  </r>
  <r>
    <d v="2026-10-13T00:00:00"/>
    <x v="3"/>
    <x v="0"/>
    <x v="2"/>
    <x v="2"/>
    <n v="490"/>
    <n v="435"/>
    <n v="20"/>
    <n v="415"/>
    <n v="42"/>
    <n v="8.7499999999999994E-2"/>
    <n v="90"/>
    <n v="30800"/>
    <n v="37350"/>
    <n v="6550"/>
    <n v="0.88775510204081631"/>
    <n v="4.5977011494252873E-2"/>
    <n v="0.1753681392235609"/>
    <n v="74.216867469879517"/>
    <n v="438"/>
    <n v="0.99315068493150682"/>
    <n v="15.783132530120483"/>
    <n v="0.94748858447488582"/>
  </r>
  <r>
    <d v="2026-10-13T00:00:00"/>
    <x v="3"/>
    <x v="1"/>
    <x v="0"/>
    <x v="1"/>
    <n v="400"/>
    <n v="366"/>
    <n v="16"/>
    <n v="350"/>
    <n v="56"/>
    <n v="0.11666666666666667"/>
    <n v="120"/>
    <n v="30800"/>
    <n v="42000"/>
    <n v="11200"/>
    <n v="0.91500000000000004"/>
    <n v="4.3715846994535519E-2"/>
    <n v="0.26666666666666666"/>
    <n v="88"/>
    <n v="424"/>
    <n v="0.8632075471698113"/>
    <n v="32"/>
    <n v="0.82547169811320753"/>
  </r>
  <r>
    <d v="2026-10-13T00:00:00"/>
    <x v="3"/>
    <x v="1"/>
    <x v="1"/>
    <x v="2"/>
    <n v="520"/>
    <n v="453"/>
    <n v="23"/>
    <n v="430"/>
    <n v="50"/>
    <n v="0.10416666666666667"/>
    <n v="90"/>
    <n v="30800"/>
    <n v="38700"/>
    <n v="7900"/>
    <n v="0.87115384615384617"/>
    <n v="5.0772626931567331E-2"/>
    <n v="0.20413436692506459"/>
    <n v="71.627906976744185"/>
    <n v="430"/>
    <n v="1.0534883720930233"/>
    <n v="18.372093023255815"/>
    <n v="1"/>
  </r>
  <r>
    <d v="2026-10-13T00:00:00"/>
    <x v="3"/>
    <x v="1"/>
    <x v="2"/>
    <x v="0"/>
    <n v="460"/>
    <n v="395"/>
    <n v="28"/>
    <n v="367"/>
    <n v="54"/>
    <n v="0.1125"/>
    <n v="100"/>
    <n v="30800"/>
    <n v="36700"/>
    <n v="5900"/>
    <n v="0.85869565217391308"/>
    <n v="7.0886075949367092E-2"/>
    <n v="0.16076294277929154"/>
    <n v="83.923705722070849"/>
    <n v="426"/>
    <n v="0.92723004694835676"/>
    <n v="16.076294277929154"/>
    <n v="0.86150234741784038"/>
  </r>
  <r>
    <d v="2026-10-13T00:00:00"/>
    <x v="3"/>
    <x v="2"/>
    <x v="0"/>
    <x v="2"/>
    <n v="520"/>
    <n v="509"/>
    <n v="15"/>
    <n v="494"/>
    <n v="22"/>
    <n v="4.583333333333333E-2"/>
    <n v="90"/>
    <n v="30800"/>
    <n v="44460"/>
    <n v="13660"/>
    <n v="0.97884615384615381"/>
    <n v="2.9469548133595286E-2"/>
    <n v="0.30724246513720199"/>
    <n v="62.348178137651821"/>
    <n v="458"/>
    <n v="1.1113537117903931"/>
    <n v="27.651821862348179"/>
    <n v="1.0786026200873362"/>
  </r>
  <r>
    <d v="2026-10-13T00:00:00"/>
    <x v="3"/>
    <x v="2"/>
    <x v="1"/>
    <x v="0"/>
    <n v="440"/>
    <n v="437"/>
    <n v="17"/>
    <n v="420"/>
    <n v="41"/>
    <n v="8.5416666666666669E-2"/>
    <n v="100"/>
    <n v="30800"/>
    <n v="42000"/>
    <n v="11200"/>
    <n v="0.99318181818181817"/>
    <n v="3.8901601830663615E-2"/>
    <n v="0.26666666666666666"/>
    <n v="73.333333333333329"/>
    <n v="439"/>
    <n v="0.99544419134396356"/>
    <n v="26.666666666666668"/>
    <n v="0.9567198177676538"/>
  </r>
  <r>
    <d v="2026-10-13T00:00:00"/>
    <x v="3"/>
    <x v="2"/>
    <x v="2"/>
    <x v="1"/>
    <n v="400"/>
    <n v="372"/>
    <n v="10"/>
    <n v="362"/>
    <n v="28"/>
    <n v="5.8333333333333334E-2"/>
    <n v="120"/>
    <n v="30800"/>
    <n v="43440"/>
    <n v="12640"/>
    <n v="0.93"/>
    <n v="2.6881720430107527E-2"/>
    <n v="0.29097605893186002"/>
    <n v="85.082872928176798"/>
    <n v="452"/>
    <n v="0.82300884955752207"/>
    <n v="34.917127071823202"/>
    <n v="0.80088495575221241"/>
  </r>
  <r>
    <d v="2026-10-14T00:00:00"/>
    <x v="3"/>
    <x v="0"/>
    <x v="0"/>
    <x v="1"/>
    <n v="400"/>
    <n v="383"/>
    <n v="11"/>
    <n v="372"/>
    <n v="28"/>
    <n v="5.8333333333333334E-2"/>
    <n v="120"/>
    <n v="30800"/>
    <n v="44640"/>
    <n v="13840"/>
    <n v="0.95750000000000002"/>
    <n v="2.8720626631853787E-2"/>
    <n v="0.31003584229390679"/>
    <n v="82.795698924731184"/>
    <n v="452"/>
    <n v="0.84734513274336287"/>
    <n v="37.204301075268816"/>
    <n v="0.82300884955752207"/>
  </r>
  <r>
    <d v="2026-10-14T00:00:00"/>
    <x v="3"/>
    <x v="0"/>
    <x v="1"/>
    <x v="2"/>
    <n v="510"/>
    <n v="496"/>
    <n v="21"/>
    <n v="475"/>
    <n v="38"/>
    <n v="7.9166666666666663E-2"/>
    <n v="90"/>
    <n v="30800"/>
    <n v="42750"/>
    <n v="11950"/>
    <n v="0.97254901960784312"/>
    <n v="4.2338709677419352E-2"/>
    <n v="0.27953216374269008"/>
    <n v="64.84210526315789"/>
    <n v="442"/>
    <n v="1.1221719457013575"/>
    <n v="25.157894736842106"/>
    <n v="1.0746606334841629"/>
  </r>
  <r>
    <d v="2026-10-14T00:00:00"/>
    <x v="3"/>
    <x v="0"/>
    <x v="2"/>
    <x v="0"/>
    <n v="460"/>
    <n v="433"/>
    <n v="25"/>
    <n v="408"/>
    <n v="60"/>
    <n v="0.125"/>
    <n v="100"/>
    <n v="30800"/>
    <n v="40800"/>
    <n v="10000"/>
    <n v="0.94130434782608696"/>
    <n v="5.7736720554272515E-2"/>
    <n v="0.24509803921568626"/>
    <n v="75.490196078431367"/>
    <n v="420"/>
    <n v="1.0309523809523808"/>
    <n v="24.509803921568629"/>
    <n v="0.97142857142857142"/>
  </r>
  <r>
    <d v="2026-10-14T00:00:00"/>
    <x v="3"/>
    <x v="1"/>
    <x v="0"/>
    <x v="2"/>
    <n v="510"/>
    <n v="475"/>
    <n v="23"/>
    <n v="452"/>
    <n v="45"/>
    <n v="9.375E-2"/>
    <n v="90"/>
    <n v="30800"/>
    <n v="40680"/>
    <n v="9880"/>
    <n v="0.93137254901960786"/>
    <n v="4.8421052631578948E-2"/>
    <n v="0.24287118977384464"/>
    <n v="68.141592920353986"/>
    <n v="435"/>
    <n v="1.0919540229885059"/>
    <n v="21.858407079646017"/>
    <n v="1.0390804597701149"/>
  </r>
  <r>
    <d v="2026-10-14T00:00:00"/>
    <x v="3"/>
    <x v="1"/>
    <x v="1"/>
    <x v="0"/>
    <n v="460"/>
    <n v="411"/>
    <n v="26"/>
    <n v="385"/>
    <n v="60"/>
    <n v="0.125"/>
    <n v="100"/>
    <n v="30800"/>
    <n v="38500"/>
    <n v="7700"/>
    <n v="0.89347826086956517"/>
    <n v="6.3260340632603412E-2"/>
    <n v="0.2"/>
    <n v="80"/>
    <n v="420"/>
    <n v="0.97857142857142854"/>
    <n v="20"/>
    <n v="0.91666666666666663"/>
  </r>
  <r>
    <d v="2026-10-14T00:00:00"/>
    <x v="3"/>
    <x v="1"/>
    <x v="2"/>
    <x v="1"/>
    <n v="410"/>
    <n v="348"/>
    <n v="22"/>
    <n v="326"/>
    <n v="59"/>
    <n v="0.12291666666666666"/>
    <n v="120"/>
    <n v="30800"/>
    <n v="39120"/>
    <n v="8320"/>
    <n v="0.84878048780487803"/>
    <n v="6.3218390804597707E-2"/>
    <n v="0.21267893660531698"/>
    <n v="94.478527607361968"/>
    <n v="421"/>
    <n v="0.82660332541567694"/>
    <n v="25.521472392638035"/>
    <n v="0.77434679334916867"/>
  </r>
  <r>
    <d v="2026-10-14T00:00:00"/>
    <x v="3"/>
    <x v="2"/>
    <x v="0"/>
    <x v="0"/>
    <n v="470"/>
    <n v="458"/>
    <n v="14"/>
    <n v="444"/>
    <n v="23"/>
    <n v="4.791666666666667E-2"/>
    <n v="100"/>
    <n v="30800"/>
    <n v="44400"/>
    <n v="13600"/>
    <n v="0.97446808510638294"/>
    <n v="3.0567685589519649E-2"/>
    <n v="0.30630630630630629"/>
    <n v="69.369369369369366"/>
    <n v="457"/>
    <n v="1.0021881838074398"/>
    <n v="30.63063063063063"/>
    <n v="0.97155361050328226"/>
  </r>
  <r>
    <d v="2026-10-14T00:00:00"/>
    <x v="3"/>
    <x v="2"/>
    <x v="1"/>
    <x v="1"/>
    <n v="390"/>
    <n v="374"/>
    <n v="12"/>
    <n v="362"/>
    <n v="27"/>
    <n v="5.6250000000000001E-2"/>
    <n v="120"/>
    <n v="30800"/>
    <n v="43440"/>
    <n v="12640"/>
    <n v="0.95897435897435901"/>
    <n v="3.2085561497326207E-2"/>
    <n v="0.29097605893186002"/>
    <n v="85.082872928176798"/>
    <n v="453"/>
    <n v="0.82560706401766004"/>
    <n v="34.917127071823202"/>
    <n v="0.79911699779249445"/>
  </r>
  <r>
    <d v="2026-10-14T00:00:00"/>
    <x v="3"/>
    <x v="2"/>
    <x v="2"/>
    <x v="2"/>
    <n v="500"/>
    <n v="458"/>
    <n v="16"/>
    <n v="442"/>
    <n v="24"/>
    <n v="0.05"/>
    <n v="90"/>
    <n v="30800"/>
    <n v="39780"/>
    <n v="8980"/>
    <n v="0.91600000000000004"/>
    <n v="3.4934497816593885E-2"/>
    <n v="0.22574157868275516"/>
    <n v="69.68325791855203"/>
    <n v="456"/>
    <n v="1.0043859649122806"/>
    <n v="20.316742081447963"/>
    <n v="0.9692982456140351"/>
  </r>
  <r>
    <d v="2026-10-15T00:00:00"/>
    <x v="3"/>
    <x v="0"/>
    <x v="0"/>
    <x v="2"/>
    <n v="490"/>
    <n v="480"/>
    <n v="17"/>
    <n v="463"/>
    <n v="19"/>
    <n v="3.9583333333333331E-2"/>
    <n v="90"/>
    <n v="30800"/>
    <n v="41670"/>
    <n v="10870"/>
    <n v="0.97959183673469385"/>
    <n v="3.5416666666666666E-2"/>
    <n v="0.26085913126949845"/>
    <n v="66.522678185745136"/>
    <n v="461"/>
    <n v="1.0412147505422993"/>
    <n v="23.477321814254861"/>
    <n v="1.0043383947939262"/>
  </r>
  <r>
    <d v="2026-10-15T00:00:00"/>
    <x v="3"/>
    <x v="0"/>
    <x v="1"/>
    <x v="0"/>
    <n v="460"/>
    <n v="427"/>
    <n v="19"/>
    <n v="408"/>
    <n v="38"/>
    <n v="7.9166666666666663E-2"/>
    <n v="100"/>
    <n v="30800"/>
    <n v="40800"/>
    <n v="10000"/>
    <n v="0.92826086956521736"/>
    <n v="4.449648711943794E-2"/>
    <n v="0.24509803921568626"/>
    <n v="75.490196078431367"/>
    <n v="442"/>
    <n v="0.9660633484162896"/>
    <n v="24.509803921568629"/>
    <n v="0.92307692307692313"/>
  </r>
  <r>
    <d v="2026-10-15T00:00:00"/>
    <x v="3"/>
    <x v="0"/>
    <x v="2"/>
    <x v="1"/>
    <n v="390"/>
    <n v="364"/>
    <n v="17"/>
    <n v="347"/>
    <n v="42"/>
    <n v="8.7499999999999994E-2"/>
    <n v="120"/>
    <n v="30800"/>
    <n v="41640"/>
    <n v="10840"/>
    <n v="0.93333333333333335"/>
    <n v="4.6703296703296704E-2"/>
    <n v="0.26032660902977905"/>
    <n v="88.760806916426517"/>
    <n v="438"/>
    <n v="0.83105022831050224"/>
    <n v="31.239193083573486"/>
    <n v="0.79223744292237441"/>
  </r>
  <r>
    <d v="2026-10-15T00:00:00"/>
    <x v="3"/>
    <x v="1"/>
    <x v="0"/>
    <x v="0"/>
    <n v="460"/>
    <n v="405"/>
    <n v="22"/>
    <n v="383"/>
    <n v="62"/>
    <n v="0.12916666666666668"/>
    <n v="100"/>
    <n v="30800"/>
    <n v="38300"/>
    <n v="7500"/>
    <n v="0.88043478260869568"/>
    <n v="5.4320987654320987E-2"/>
    <n v="0.195822454308094"/>
    <n v="80.417754569190606"/>
    <n v="418"/>
    <n v="0.96889952153110048"/>
    <n v="19.582245430809401"/>
    <n v="0.91626794258373201"/>
  </r>
  <r>
    <d v="2026-10-15T00:00:00"/>
    <x v="3"/>
    <x v="1"/>
    <x v="1"/>
    <x v="1"/>
    <n v="400"/>
    <n v="364"/>
    <n v="19"/>
    <n v="345"/>
    <n v="44"/>
    <n v="9.166666666666666E-2"/>
    <n v="120"/>
    <n v="30800"/>
    <n v="41400"/>
    <n v="10600"/>
    <n v="0.91"/>
    <n v="5.21978021978022E-2"/>
    <n v="0.2560386473429952"/>
    <n v="89.275362318840578"/>
    <n v="436"/>
    <n v="0.83486238532110091"/>
    <n v="30.724637681159422"/>
    <n v="0.79128440366972475"/>
  </r>
  <r>
    <d v="2026-10-15T00:00:00"/>
    <x v="3"/>
    <x v="1"/>
    <x v="2"/>
    <x v="2"/>
    <n v="490"/>
    <n v="418"/>
    <n v="29"/>
    <n v="389"/>
    <n v="62"/>
    <n v="0.12916666666666668"/>
    <n v="90"/>
    <n v="30800"/>
    <n v="35010"/>
    <n v="4210"/>
    <n v="0.85306122448979593"/>
    <n v="6.9377990430622011E-2"/>
    <n v="0.1202513567552128"/>
    <n v="79.177377892030847"/>
    <n v="418"/>
    <n v="1"/>
    <n v="10.822622107969151"/>
    <n v="0.93062200956937802"/>
  </r>
  <r>
    <d v="2026-10-15T00:00:00"/>
    <x v="3"/>
    <x v="2"/>
    <x v="0"/>
    <x v="1"/>
    <n v="400"/>
    <n v="401"/>
    <n v="11"/>
    <n v="390"/>
    <n v="18"/>
    <n v="3.7499999999999999E-2"/>
    <n v="120"/>
    <n v="30800"/>
    <n v="46800"/>
    <n v="16000"/>
    <n v="1.0024999999999999"/>
    <n v="2.7431421446384038E-2"/>
    <n v="0.34188034188034189"/>
    <n v="78.974358974358978"/>
    <n v="462"/>
    <n v="0.86796536796536794"/>
    <n v="41.025641025641029"/>
    <n v="0.8441558441558441"/>
  </r>
  <r>
    <d v="2026-10-15T00:00:00"/>
    <x v="3"/>
    <x v="2"/>
    <x v="1"/>
    <x v="2"/>
    <n v="490"/>
    <n v="474"/>
    <n v="11"/>
    <n v="463"/>
    <n v="25"/>
    <n v="5.2083333333333336E-2"/>
    <n v="90"/>
    <n v="30800"/>
    <n v="41670"/>
    <n v="10870"/>
    <n v="0.96734693877551026"/>
    <n v="2.3206751054852322E-2"/>
    <n v="0.26085913126949845"/>
    <n v="66.522678185745136"/>
    <n v="455"/>
    <n v="1.0417582417582418"/>
    <n v="23.477321814254861"/>
    <n v="1.0175824175824175"/>
  </r>
  <r>
    <d v="2026-10-15T00:00:00"/>
    <x v="3"/>
    <x v="2"/>
    <x v="2"/>
    <x v="0"/>
    <n v="470"/>
    <n v="425"/>
    <n v="21"/>
    <n v="404"/>
    <n v="49"/>
    <n v="0.10208333333333333"/>
    <n v="100"/>
    <n v="30800"/>
    <n v="40400"/>
    <n v="9600"/>
    <n v="0.9042553191489362"/>
    <n v="4.9411764705882349E-2"/>
    <n v="0.23762376237623761"/>
    <n v="76.237623762376231"/>
    <n v="431"/>
    <n v="0.9860788863109049"/>
    <n v="23.762376237623762"/>
    <n v="0.93735498839907194"/>
  </r>
  <r>
    <d v="2026-10-16T00:00:00"/>
    <x v="3"/>
    <x v="0"/>
    <x v="0"/>
    <x v="0"/>
    <n v="450"/>
    <n v="418"/>
    <n v="19"/>
    <n v="399"/>
    <n v="33"/>
    <n v="6.8750000000000006E-2"/>
    <n v="100"/>
    <n v="30800"/>
    <n v="39900"/>
    <n v="9100"/>
    <n v="0.92888888888888888"/>
    <n v="4.5454545454545456E-2"/>
    <n v="0.22807017543859648"/>
    <n v="77.192982456140356"/>
    <n v="447"/>
    <n v="0.93512304250559286"/>
    <n v="22.807017543859651"/>
    <n v="0.89261744966442957"/>
  </r>
  <r>
    <d v="2026-10-16T00:00:00"/>
    <x v="3"/>
    <x v="0"/>
    <x v="1"/>
    <x v="1"/>
    <n v="380"/>
    <n v="351"/>
    <n v="12"/>
    <n v="339"/>
    <n v="35"/>
    <n v="7.2916666666666671E-2"/>
    <n v="120"/>
    <n v="30800"/>
    <n v="40680"/>
    <n v="9880"/>
    <n v="0.92368421052631577"/>
    <n v="3.4188034188034191E-2"/>
    <n v="0.24287118977384464"/>
    <n v="90.855457227138643"/>
    <n v="445"/>
    <n v="0.78876404494382024"/>
    <n v="29.144542772861357"/>
    <n v="0.76179775280898876"/>
  </r>
  <r>
    <d v="2026-10-16T00:00:00"/>
    <x v="3"/>
    <x v="0"/>
    <x v="2"/>
    <x v="2"/>
    <n v="500"/>
    <n v="449"/>
    <n v="21"/>
    <n v="428"/>
    <n v="33"/>
    <n v="6.8750000000000006E-2"/>
    <n v="90"/>
    <n v="30800"/>
    <n v="38520"/>
    <n v="7720"/>
    <n v="0.89800000000000002"/>
    <n v="4.6770601336302897E-2"/>
    <n v="0.20041536863966772"/>
    <n v="71.962616822429908"/>
    <n v="447"/>
    <n v="1.0044742729306488"/>
    <n v="18.037383177570092"/>
    <n v="0.95749440715883671"/>
  </r>
  <r>
    <d v="2026-10-16T00:00:00"/>
    <x v="3"/>
    <x v="1"/>
    <x v="0"/>
    <x v="1"/>
    <n v="400"/>
    <n v="364"/>
    <n v="16"/>
    <n v="348"/>
    <n v="51"/>
    <n v="0.10625"/>
    <n v="120"/>
    <n v="30800"/>
    <n v="41760"/>
    <n v="10960"/>
    <n v="0.91"/>
    <n v="4.3956043956043959E-2"/>
    <n v="0.26245210727969348"/>
    <n v="88.505747126436788"/>
    <n v="429"/>
    <n v="0.84848484848484851"/>
    <n v="31.494252873563219"/>
    <n v="0.81118881118881114"/>
  </r>
  <r>
    <d v="2026-10-16T00:00:00"/>
    <x v="3"/>
    <x v="1"/>
    <x v="1"/>
    <x v="2"/>
    <n v="490"/>
    <n v="443"/>
    <n v="23"/>
    <n v="420"/>
    <n v="50"/>
    <n v="0.10416666666666667"/>
    <n v="90"/>
    <n v="30800"/>
    <n v="37800"/>
    <n v="7000"/>
    <n v="0.90408163265306118"/>
    <n v="5.1918735891647853E-2"/>
    <n v="0.18518518518518517"/>
    <n v="73.333333333333329"/>
    <n v="430"/>
    <n v="1.0302325581395348"/>
    <n v="16.666666666666668"/>
    <n v="0.97674418604651159"/>
  </r>
  <r>
    <d v="2026-10-16T00:00:00"/>
    <x v="3"/>
    <x v="1"/>
    <x v="2"/>
    <x v="0"/>
    <n v="450"/>
    <n v="390"/>
    <n v="32"/>
    <n v="358"/>
    <n v="75"/>
    <n v="0.15625"/>
    <n v="100"/>
    <n v="30800"/>
    <n v="35800"/>
    <n v="5000"/>
    <n v="0.8666666666666667"/>
    <n v="8.2051282051282051E-2"/>
    <n v="0.13966480446927373"/>
    <n v="86.033519553072622"/>
    <n v="405"/>
    <n v="0.96296296296296291"/>
    <n v="13.966480446927374"/>
    <n v="0.88395061728395063"/>
  </r>
  <r>
    <d v="2026-10-16T00:00:00"/>
    <x v="3"/>
    <x v="2"/>
    <x v="0"/>
    <x v="2"/>
    <n v="510"/>
    <n v="503"/>
    <n v="16"/>
    <n v="487"/>
    <n v="22"/>
    <n v="4.583333333333333E-2"/>
    <n v="90"/>
    <n v="30800"/>
    <n v="43830"/>
    <n v="13030"/>
    <n v="0.98627450980392162"/>
    <n v="3.1809145129224649E-2"/>
    <n v="0.297284964636094"/>
    <n v="63.244353182751539"/>
    <n v="458"/>
    <n v="1.0982532751091703"/>
    <n v="26.755646817248461"/>
    <n v="1.0633187772925765"/>
  </r>
  <r>
    <d v="2026-10-16T00:00:00"/>
    <x v="3"/>
    <x v="2"/>
    <x v="1"/>
    <x v="0"/>
    <n v="460"/>
    <n v="434"/>
    <n v="21"/>
    <n v="413"/>
    <n v="45"/>
    <n v="9.375E-2"/>
    <n v="100"/>
    <n v="30800"/>
    <n v="41300"/>
    <n v="10500"/>
    <n v="0.94347826086956521"/>
    <n v="4.8387096774193547E-2"/>
    <n v="0.25423728813559321"/>
    <n v="74.576271186440678"/>
    <n v="435"/>
    <n v="0.99770114942528731"/>
    <n v="25.423728813559322"/>
    <n v="0.94942528735632181"/>
  </r>
  <r>
    <d v="2026-10-16T00:00:00"/>
    <x v="3"/>
    <x v="2"/>
    <x v="2"/>
    <x v="1"/>
    <n v="400"/>
    <n v="361"/>
    <n v="12"/>
    <n v="349"/>
    <n v="27"/>
    <n v="5.6250000000000001E-2"/>
    <n v="120"/>
    <n v="30800"/>
    <n v="41880"/>
    <n v="11080"/>
    <n v="0.90249999999999997"/>
    <n v="3.3240997229916899E-2"/>
    <n v="0.26456542502387775"/>
    <n v="88.252148997134668"/>
    <n v="453"/>
    <n v="0.79690949227373065"/>
    <n v="31.747851002865328"/>
    <n v="0.77041942604856517"/>
  </r>
  <r>
    <d v="2026-10-17T00:00:00"/>
    <x v="3"/>
    <x v="0"/>
    <x v="0"/>
    <x v="1"/>
    <n v="400"/>
    <n v="386"/>
    <n v="13"/>
    <n v="373"/>
    <n v="27"/>
    <n v="5.6250000000000001E-2"/>
    <n v="120"/>
    <n v="30800"/>
    <n v="44760"/>
    <n v="13960"/>
    <n v="0.96499999999999997"/>
    <n v="3.367875647668394E-2"/>
    <n v="0.31188561215370869"/>
    <n v="82.573726541554961"/>
    <n v="453"/>
    <n v="0.85209713024282563"/>
    <n v="37.426273458445039"/>
    <n v="0.82339955849889623"/>
  </r>
  <r>
    <d v="2026-10-17T00:00:00"/>
    <x v="3"/>
    <x v="0"/>
    <x v="1"/>
    <x v="2"/>
    <n v="500"/>
    <n v="473"/>
    <n v="17"/>
    <n v="456"/>
    <n v="42"/>
    <n v="8.7499999999999994E-2"/>
    <n v="90"/>
    <n v="30800"/>
    <n v="41040"/>
    <n v="10240"/>
    <n v="0.94599999999999995"/>
    <n v="3.5940803382663845E-2"/>
    <n v="0.24951267056530213"/>
    <n v="67.543859649122808"/>
    <n v="438"/>
    <n v="1.0799086757990868"/>
    <n v="22.456140350877192"/>
    <n v="1.0410958904109588"/>
  </r>
  <r>
    <d v="2026-10-17T00:00:00"/>
    <x v="3"/>
    <x v="0"/>
    <x v="2"/>
    <x v="0"/>
    <n v="430"/>
    <n v="400"/>
    <n v="23"/>
    <n v="377"/>
    <n v="56"/>
    <n v="0.11666666666666667"/>
    <n v="100"/>
    <n v="30800"/>
    <n v="37700"/>
    <n v="6900"/>
    <n v="0.93023255813953487"/>
    <n v="5.7500000000000002E-2"/>
    <n v="0.1830238726790451"/>
    <n v="81.697612732095493"/>
    <n v="424"/>
    <n v="0.94339622641509435"/>
    <n v="18.302387267904511"/>
    <n v="0.88915094339622647"/>
  </r>
  <r>
    <d v="2026-10-17T00:00:00"/>
    <x v="3"/>
    <x v="1"/>
    <x v="0"/>
    <x v="2"/>
    <n v="500"/>
    <n v="446"/>
    <n v="21"/>
    <n v="425"/>
    <n v="48"/>
    <n v="0.1"/>
    <n v="90"/>
    <n v="30800"/>
    <n v="38250"/>
    <n v="7450"/>
    <n v="0.89200000000000002"/>
    <n v="4.708520179372197E-2"/>
    <n v="0.19477124183006536"/>
    <n v="72.470588235294116"/>
    <n v="432"/>
    <n v="1.0324074074074074"/>
    <n v="17.529411764705884"/>
    <n v="0.98379629629629628"/>
  </r>
  <r>
    <d v="2026-10-17T00:00:00"/>
    <x v="3"/>
    <x v="1"/>
    <x v="1"/>
    <x v="0"/>
    <n v="470"/>
    <n v="412"/>
    <n v="24"/>
    <n v="388"/>
    <n v="51"/>
    <n v="0.10625"/>
    <n v="100"/>
    <n v="30800"/>
    <n v="38800"/>
    <n v="8000"/>
    <n v="0.87659574468085111"/>
    <n v="5.8252427184466021E-2"/>
    <n v="0.20618556701030927"/>
    <n v="79.381443298969074"/>
    <n v="429"/>
    <n v="0.96037296037296038"/>
    <n v="20.618556701030929"/>
    <n v="0.90442890442890445"/>
  </r>
  <r>
    <d v="2026-10-17T00:00:00"/>
    <x v="3"/>
    <x v="1"/>
    <x v="2"/>
    <x v="1"/>
    <n v="410"/>
    <n v="364"/>
    <n v="20"/>
    <n v="344"/>
    <n v="67"/>
    <n v="0.13958333333333334"/>
    <n v="120"/>
    <n v="30800"/>
    <n v="41280"/>
    <n v="10480"/>
    <n v="0.8878048780487805"/>
    <n v="5.4945054945054944E-2"/>
    <n v="0.25387596899224807"/>
    <n v="89.534883720930239"/>
    <n v="413"/>
    <n v="0.88135593220338981"/>
    <n v="30.465116279069768"/>
    <n v="0.83292978208232449"/>
  </r>
  <r>
    <d v="2026-10-17T00:00:00"/>
    <x v="3"/>
    <x v="2"/>
    <x v="0"/>
    <x v="0"/>
    <n v="460"/>
    <n v="438"/>
    <n v="19"/>
    <n v="419"/>
    <n v="26"/>
    <n v="5.4166666666666669E-2"/>
    <n v="100"/>
    <n v="30800"/>
    <n v="41900"/>
    <n v="11100"/>
    <n v="0.95217391304347831"/>
    <n v="4.3378995433789952E-2"/>
    <n v="0.2649164677804296"/>
    <n v="73.508353221957037"/>
    <n v="454"/>
    <n v="0.96475770925110127"/>
    <n v="26.491646778042959"/>
    <n v="0.9229074889867841"/>
  </r>
  <r>
    <d v="2026-10-17T00:00:00"/>
    <x v="3"/>
    <x v="2"/>
    <x v="1"/>
    <x v="1"/>
    <n v="410"/>
    <n v="394"/>
    <n v="12"/>
    <n v="382"/>
    <n v="19"/>
    <n v="3.9583333333333331E-2"/>
    <n v="120"/>
    <n v="30800"/>
    <n v="45840"/>
    <n v="15040"/>
    <n v="0.96097560975609753"/>
    <n v="3.0456852791878174E-2"/>
    <n v="0.32809773123909247"/>
    <n v="80.6282722513089"/>
    <n v="461"/>
    <n v="0.85466377440347074"/>
    <n v="39.3717277486911"/>
    <n v="0.82863340563991328"/>
  </r>
  <r>
    <d v="2026-10-17T00:00:00"/>
    <x v="3"/>
    <x v="2"/>
    <x v="2"/>
    <x v="2"/>
    <n v="500"/>
    <n v="465"/>
    <n v="22"/>
    <n v="443"/>
    <n v="23"/>
    <n v="4.791666666666667E-2"/>
    <n v="90"/>
    <n v="30800"/>
    <n v="39870"/>
    <n v="9070"/>
    <n v="0.93"/>
    <n v="4.7311827956989246E-2"/>
    <n v="0.2274893403561575"/>
    <n v="69.525959367945831"/>
    <n v="457"/>
    <n v="1.0175054704595186"/>
    <n v="20.474040632054177"/>
    <n v="0.96936542669584247"/>
  </r>
  <r>
    <d v="2026-10-18T00:00:00"/>
    <x v="3"/>
    <x v="0"/>
    <x v="0"/>
    <x v="2"/>
    <n v="510"/>
    <n v="480"/>
    <n v="16"/>
    <n v="464"/>
    <n v="31"/>
    <n v="6.458333333333334E-2"/>
    <n v="90"/>
    <n v="30800"/>
    <n v="41760"/>
    <n v="10960"/>
    <n v="0.94117647058823528"/>
    <n v="3.3333333333333333E-2"/>
    <n v="0.26245210727969348"/>
    <n v="66.379310344827587"/>
    <n v="449"/>
    <n v="1.069042316258352"/>
    <n v="23.620689655172413"/>
    <n v="1.0334075723830736"/>
  </r>
  <r>
    <d v="2026-10-18T00:00:00"/>
    <x v="3"/>
    <x v="0"/>
    <x v="1"/>
    <x v="0"/>
    <n v="460"/>
    <n v="421"/>
    <n v="18"/>
    <n v="403"/>
    <n v="37"/>
    <n v="7.7083333333333337E-2"/>
    <n v="100"/>
    <n v="30800"/>
    <n v="40300"/>
    <n v="9500"/>
    <n v="0.91521739130434787"/>
    <n v="4.2755344418052253E-2"/>
    <n v="0.23573200992555832"/>
    <n v="76.426799007444174"/>
    <n v="443"/>
    <n v="0.95033860045146723"/>
    <n v="23.573200992555833"/>
    <n v="0.90970654627539504"/>
  </r>
  <r>
    <d v="2026-10-18T00:00:00"/>
    <x v="3"/>
    <x v="0"/>
    <x v="2"/>
    <x v="1"/>
    <n v="390"/>
    <n v="350"/>
    <n v="13"/>
    <n v="337"/>
    <n v="51"/>
    <n v="0.10625"/>
    <n v="120"/>
    <n v="30800"/>
    <n v="40440"/>
    <n v="9640"/>
    <n v="0.89743589743589747"/>
    <n v="3.7142857142857144E-2"/>
    <n v="0.23837784371909002"/>
    <n v="91.394658753709194"/>
    <n v="429"/>
    <n v="0.81585081585081587"/>
    <n v="28.605341246290802"/>
    <n v="0.78554778554778559"/>
  </r>
  <r>
    <d v="2026-10-18T00:00:00"/>
    <x v="3"/>
    <x v="1"/>
    <x v="0"/>
    <x v="0"/>
    <n v="440"/>
    <n v="395"/>
    <n v="27"/>
    <n v="368"/>
    <n v="52"/>
    <n v="0.10833333333333334"/>
    <n v="100"/>
    <n v="30800"/>
    <n v="36800"/>
    <n v="6000"/>
    <n v="0.89772727272727271"/>
    <n v="6.8354430379746839E-2"/>
    <n v="0.16304347826086957"/>
    <n v="83.695652173913047"/>
    <n v="428"/>
    <n v="0.92289719626168221"/>
    <n v="16.304347826086957"/>
    <n v="0.85981308411214952"/>
  </r>
  <r>
    <d v="2026-10-18T00:00:00"/>
    <x v="3"/>
    <x v="1"/>
    <x v="1"/>
    <x v="1"/>
    <n v="400"/>
    <n v="355"/>
    <n v="16"/>
    <n v="339"/>
    <n v="43"/>
    <n v="8.9583333333333334E-2"/>
    <n v="120"/>
    <n v="30800"/>
    <n v="40680"/>
    <n v="9880"/>
    <n v="0.88749999999999996"/>
    <n v="4.507042253521127E-2"/>
    <n v="0.24287118977384464"/>
    <n v="90.855457227138643"/>
    <n v="437"/>
    <n v="0.81235697940503437"/>
    <n v="29.144542772861357"/>
    <n v="0.77574370709382146"/>
  </r>
  <r>
    <d v="2026-10-18T00:00:00"/>
    <x v="3"/>
    <x v="1"/>
    <x v="2"/>
    <x v="2"/>
    <n v="510"/>
    <n v="444"/>
    <n v="31"/>
    <n v="413"/>
    <n v="66"/>
    <n v="0.13750000000000001"/>
    <n v="90"/>
    <n v="30800"/>
    <n v="37170"/>
    <n v="6370"/>
    <n v="0.87058823529411766"/>
    <n v="6.9819819819819814E-2"/>
    <n v="0.17137476459510359"/>
    <n v="74.576271186440678"/>
    <n v="414"/>
    <n v="1.0724637681159421"/>
    <n v="15.423728813559322"/>
    <n v="0.99758454106280192"/>
  </r>
  <r>
    <d v="2026-10-18T00:00:00"/>
    <x v="3"/>
    <x v="2"/>
    <x v="0"/>
    <x v="1"/>
    <n v="390"/>
    <n v="376"/>
    <n v="6"/>
    <n v="370"/>
    <n v="25"/>
    <n v="5.2083333333333336E-2"/>
    <n v="120"/>
    <n v="30800"/>
    <n v="44400"/>
    <n v="13600"/>
    <n v="0.96410256410256412"/>
    <n v="1.5957446808510637E-2"/>
    <n v="0.30630630630630629"/>
    <n v="83.243243243243242"/>
    <n v="455"/>
    <n v="0.82637362637362632"/>
    <n v="36.756756756756758"/>
    <n v="0.81318681318681318"/>
  </r>
  <r>
    <d v="2026-10-18T00:00:00"/>
    <x v="3"/>
    <x v="2"/>
    <x v="1"/>
    <x v="2"/>
    <n v="480"/>
    <n v="469"/>
    <n v="15"/>
    <n v="454"/>
    <n v="14"/>
    <n v="2.9166666666666667E-2"/>
    <n v="90"/>
    <n v="30800"/>
    <n v="40860"/>
    <n v="10060"/>
    <n v="0.9770833333333333"/>
    <n v="3.1982942430703626E-2"/>
    <n v="0.24620655898188937"/>
    <n v="67.841409691629963"/>
    <n v="466"/>
    <n v="1.0064377682403434"/>
    <n v="22.158590308370044"/>
    <n v="0.97424892703862664"/>
  </r>
  <r>
    <d v="2026-10-18T00:00:00"/>
    <x v="3"/>
    <x v="2"/>
    <x v="2"/>
    <x v="0"/>
    <n v="440"/>
    <n v="400"/>
    <n v="21"/>
    <n v="379"/>
    <n v="40"/>
    <n v="8.3333333333333329E-2"/>
    <n v="100"/>
    <n v="30800"/>
    <n v="37900"/>
    <n v="7100"/>
    <n v="0.90909090909090906"/>
    <n v="5.2499999999999998E-2"/>
    <n v="0.18733509234828497"/>
    <n v="81.266490765171497"/>
    <n v="440"/>
    <n v="0.90909090909090906"/>
    <n v="18.733509234828496"/>
    <n v="0.86136363636363633"/>
  </r>
  <r>
    <d v="2026-10-19T00:00:00"/>
    <x v="3"/>
    <x v="0"/>
    <x v="0"/>
    <x v="0"/>
    <n v="440"/>
    <n v="424"/>
    <n v="18"/>
    <n v="406"/>
    <n v="27"/>
    <n v="5.6250000000000001E-2"/>
    <n v="100"/>
    <n v="30800"/>
    <n v="40600"/>
    <n v="9800"/>
    <n v="0.96363636363636362"/>
    <n v="4.2452830188679243E-2"/>
    <n v="0.2413793103448276"/>
    <n v="75.862068965517238"/>
    <n v="453"/>
    <n v="0.9359823399558499"/>
    <n v="24.137931034482758"/>
    <n v="0.89624724061810157"/>
  </r>
  <r>
    <d v="2026-10-19T00:00:00"/>
    <x v="3"/>
    <x v="0"/>
    <x v="1"/>
    <x v="1"/>
    <n v="400"/>
    <n v="368"/>
    <n v="9"/>
    <n v="359"/>
    <n v="36"/>
    <n v="7.4999999999999997E-2"/>
    <n v="120"/>
    <n v="30800"/>
    <n v="43080"/>
    <n v="12280"/>
    <n v="0.92"/>
    <n v="2.4456521739130436E-2"/>
    <n v="0.2850510677808728"/>
    <n v="85.793871866295262"/>
    <n v="444"/>
    <n v="0.8288288288288288"/>
    <n v="34.206128133704738"/>
    <n v="0.80855855855855852"/>
  </r>
  <r>
    <d v="2026-10-19T00:00:00"/>
    <x v="3"/>
    <x v="0"/>
    <x v="2"/>
    <x v="2"/>
    <n v="510"/>
    <n v="462"/>
    <n v="24"/>
    <n v="438"/>
    <n v="34"/>
    <n v="7.0833333333333331E-2"/>
    <n v="90"/>
    <n v="30800"/>
    <n v="39420"/>
    <n v="8620"/>
    <n v="0.90588235294117647"/>
    <n v="5.1948051948051951E-2"/>
    <n v="0.21867072552004058"/>
    <n v="70.319634703196343"/>
    <n v="446"/>
    <n v="1.0358744394618835"/>
    <n v="19.680365296803654"/>
    <n v="0.98206278026905824"/>
  </r>
  <r>
    <d v="2026-10-19T00:00:00"/>
    <x v="3"/>
    <x v="1"/>
    <x v="0"/>
    <x v="1"/>
    <n v="400"/>
    <n v="371"/>
    <n v="18"/>
    <n v="353"/>
    <n v="41"/>
    <n v="8.5416666666666669E-2"/>
    <n v="120"/>
    <n v="30800"/>
    <n v="42360"/>
    <n v="11560"/>
    <n v="0.92749999999999999"/>
    <n v="4.8517520215633422E-2"/>
    <n v="0.27289896128423041"/>
    <n v="87.252124645892351"/>
    <n v="439"/>
    <n v="0.84510250569476086"/>
    <n v="32.747875354107649"/>
    <n v="0.80410022779043278"/>
  </r>
  <r>
    <d v="2026-10-19T00:00:00"/>
    <x v="3"/>
    <x v="1"/>
    <x v="1"/>
    <x v="2"/>
    <n v="500"/>
    <n v="448"/>
    <n v="26"/>
    <n v="422"/>
    <n v="56"/>
    <n v="0.11666666666666667"/>
    <n v="90"/>
    <n v="30800"/>
    <n v="37980"/>
    <n v="7180"/>
    <n v="0.89600000000000002"/>
    <n v="5.8035714285714288E-2"/>
    <n v="0.18904686677198526"/>
    <n v="72.985781990521332"/>
    <n v="424"/>
    <n v="1.0566037735849056"/>
    <n v="17.014218009478672"/>
    <n v="0.99528301886792447"/>
  </r>
  <r>
    <d v="2026-10-19T00:00:00"/>
    <x v="3"/>
    <x v="1"/>
    <x v="2"/>
    <x v="0"/>
    <n v="450"/>
    <n v="390"/>
    <n v="28"/>
    <n v="362"/>
    <n v="65"/>
    <n v="0.13541666666666666"/>
    <n v="100"/>
    <n v="30800"/>
    <n v="36200"/>
    <n v="5400"/>
    <n v="0.8666666666666667"/>
    <n v="7.179487179487179E-2"/>
    <n v="0.14917127071823205"/>
    <n v="85.082872928176798"/>
    <n v="415"/>
    <n v="0.93975903614457834"/>
    <n v="14.917127071823204"/>
    <n v="0.87228915662650608"/>
  </r>
  <r>
    <d v="2026-10-19T00:00:00"/>
    <x v="3"/>
    <x v="2"/>
    <x v="0"/>
    <x v="2"/>
    <n v="500"/>
    <n v="494"/>
    <n v="12"/>
    <n v="482"/>
    <n v="16"/>
    <n v="3.3333333333333333E-2"/>
    <n v="90"/>
    <n v="30800"/>
    <n v="43380"/>
    <n v="12580"/>
    <n v="0.98799999999999999"/>
    <n v="2.4291497975708502E-2"/>
    <n v="0.28999538958045185"/>
    <n v="63.900414937759336"/>
    <n v="464"/>
    <n v="1.0646551724137931"/>
    <n v="26.099585062240664"/>
    <n v="1.0387931034482758"/>
  </r>
  <r>
    <d v="2026-10-19T00:00:00"/>
    <x v="3"/>
    <x v="2"/>
    <x v="1"/>
    <x v="0"/>
    <n v="440"/>
    <n v="417"/>
    <n v="15"/>
    <n v="402"/>
    <n v="46"/>
    <n v="9.583333333333334E-2"/>
    <n v="100"/>
    <n v="30800"/>
    <n v="40200"/>
    <n v="9400"/>
    <n v="0.94772727272727275"/>
    <n v="3.5971223021582732E-2"/>
    <n v="0.23383084577114427"/>
    <n v="76.616915422885569"/>
    <n v="434"/>
    <n v="0.96082949308755761"/>
    <n v="23.383084577114428"/>
    <n v="0.92626728110599077"/>
  </r>
  <r>
    <d v="2026-10-19T00:00:00"/>
    <x v="3"/>
    <x v="2"/>
    <x v="2"/>
    <x v="1"/>
    <n v="400"/>
    <n v="371"/>
    <n v="10"/>
    <n v="361"/>
    <n v="38"/>
    <n v="7.9166666666666663E-2"/>
    <n v="120"/>
    <n v="30800"/>
    <n v="43320"/>
    <n v="12520"/>
    <n v="0.92749999999999999"/>
    <n v="2.6954177897574125E-2"/>
    <n v="0.28901200369344415"/>
    <n v="85.31855955678671"/>
    <n v="442"/>
    <n v="0.83936651583710409"/>
    <n v="34.681440443213297"/>
    <n v="0.81674208144796379"/>
  </r>
  <r>
    <d v="2026-10-20T00:00:00"/>
    <x v="3"/>
    <x v="0"/>
    <x v="0"/>
    <x v="1"/>
    <n v="390"/>
    <n v="376"/>
    <n v="12"/>
    <n v="364"/>
    <n v="37"/>
    <n v="7.7083333333333337E-2"/>
    <n v="120"/>
    <n v="30800"/>
    <n v="43680"/>
    <n v="12880"/>
    <n v="0.96410256410256412"/>
    <n v="3.1914893617021274E-2"/>
    <n v="0.29487179487179488"/>
    <n v="84.615384615384613"/>
    <n v="443"/>
    <n v="0.84875846501128671"/>
    <n v="35.384615384615387"/>
    <n v="0.82167042889390518"/>
  </r>
  <r>
    <d v="2026-10-20T00:00:00"/>
    <x v="3"/>
    <x v="0"/>
    <x v="1"/>
    <x v="2"/>
    <n v="510"/>
    <n v="480"/>
    <n v="15"/>
    <n v="465"/>
    <n v="37"/>
    <n v="7.7083333333333337E-2"/>
    <n v="90"/>
    <n v="30800"/>
    <n v="41850"/>
    <n v="11050"/>
    <n v="0.94117647058823528"/>
    <n v="3.125E-2"/>
    <n v="0.26403823178016728"/>
    <n v="66.236559139784944"/>
    <n v="443"/>
    <n v="1.0835214446952597"/>
    <n v="23.763440860215052"/>
    <n v="1.0496613995485327"/>
  </r>
  <r>
    <d v="2026-10-20T00:00:00"/>
    <x v="3"/>
    <x v="0"/>
    <x v="2"/>
    <x v="0"/>
    <n v="450"/>
    <n v="399"/>
    <n v="24"/>
    <n v="375"/>
    <n v="48"/>
    <n v="0.1"/>
    <n v="100"/>
    <n v="30800"/>
    <n v="37500"/>
    <n v="6700"/>
    <n v="0.88666666666666671"/>
    <n v="6.0150375939849621E-2"/>
    <n v="0.17866666666666667"/>
    <n v="82.13333333333334"/>
    <n v="432"/>
    <n v="0.92361111111111116"/>
    <n v="17.866666666666667"/>
    <n v="0.86805555555555558"/>
  </r>
  <r>
    <d v="2026-10-20T00:00:00"/>
    <x v="3"/>
    <x v="1"/>
    <x v="0"/>
    <x v="2"/>
    <n v="490"/>
    <n v="427"/>
    <n v="22"/>
    <n v="405"/>
    <n v="47"/>
    <n v="9.7916666666666666E-2"/>
    <n v="90"/>
    <n v="30800"/>
    <n v="36450"/>
    <n v="5650"/>
    <n v="0.87142857142857144"/>
    <n v="5.1522248243559721E-2"/>
    <n v="0.15500685871056241"/>
    <n v="76.049382716049379"/>
    <n v="433"/>
    <n v="0.98614318706697457"/>
    <n v="13.950617283950617"/>
    <n v="0.9353348729792148"/>
  </r>
  <r>
    <d v="2026-10-20T00:00:00"/>
    <x v="3"/>
    <x v="1"/>
    <x v="1"/>
    <x v="0"/>
    <n v="460"/>
    <n v="413"/>
    <n v="26"/>
    <n v="387"/>
    <n v="71"/>
    <n v="0.14791666666666667"/>
    <n v="100"/>
    <n v="30800"/>
    <n v="38700"/>
    <n v="7900"/>
    <n v="0.89782608695652177"/>
    <n v="6.2953995157384993E-2"/>
    <n v="0.20413436692506459"/>
    <n v="79.586563307493535"/>
    <n v="409"/>
    <n v="1.0097799511002445"/>
    <n v="20.413436692506458"/>
    <n v="0.94621026894865523"/>
  </r>
  <r>
    <d v="2026-10-20T00:00:00"/>
    <x v="3"/>
    <x v="1"/>
    <x v="2"/>
    <x v="1"/>
    <n v="410"/>
    <n v="349"/>
    <n v="23"/>
    <n v="326"/>
    <n v="54"/>
    <n v="0.1125"/>
    <n v="120"/>
    <n v="30800"/>
    <n v="39120"/>
    <n v="8320"/>
    <n v="0.85121951219512193"/>
    <n v="6.5902578796561598E-2"/>
    <n v="0.21267893660531698"/>
    <n v="94.478527607361968"/>
    <n v="426"/>
    <n v="0.81924882629107976"/>
    <n v="25.521472392638035"/>
    <n v="0.76525821596244137"/>
  </r>
  <r>
    <d v="2026-10-20T00:00:00"/>
    <x v="3"/>
    <x v="2"/>
    <x v="0"/>
    <x v="0"/>
    <n v="440"/>
    <n v="429"/>
    <n v="17"/>
    <n v="412"/>
    <n v="23"/>
    <n v="4.791666666666667E-2"/>
    <n v="100"/>
    <n v="30800"/>
    <n v="41200"/>
    <n v="10400"/>
    <n v="0.97499999999999998"/>
    <n v="3.9627039627039624E-2"/>
    <n v="0.25242718446601942"/>
    <n v="74.757281553398059"/>
    <n v="457"/>
    <n v="0.93873085339168494"/>
    <n v="25.242718446601941"/>
    <n v="0.90153172866520792"/>
  </r>
  <r>
    <d v="2026-10-20T00:00:00"/>
    <x v="3"/>
    <x v="2"/>
    <x v="1"/>
    <x v="1"/>
    <n v="400"/>
    <n v="379"/>
    <n v="8"/>
    <n v="371"/>
    <n v="34"/>
    <n v="7.0833333333333331E-2"/>
    <n v="120"/>
    <n v="30800"/>
    <n v="44520"/>
    <n v="13720"/>
    <n v="0.94750000000000001"/>
    <n v="2.1108179419525065E-2"/>
    <n v="0.3081761006289308"/>
    <n v="83.018867924528308"/>
    <n v="446"/>
    <n v="0.84977578475336324"/>
    <n v="36.981132075471699"/>
    <n v="0.83183856502242148"/>
  </r>
  <r>
    <d v="2026-10-20T00:00:00"/>
    <x v="3"/>
    <x v="2"/>
    <x v="2"/>
    <x v="2"/>
    <n v="490"/>
    <n v="443"/>
    <n v="16"/>
    <n v="427"/>
    <n v="40"/>
    <n v="8.3333333333333329E-2"/>
    <n v="90"/>
    <n v="30800"/>
    <n v="38430"/>
    <n v="7630"/>
    <n v="0.90408163265306118"/>
    <n v="3.6117381489841983E-2"/>
    <n v="0.19854280510018216"/>
    <n v="72.131147540983605"/>
    <n v="440"/>
    <n v="1.0068181818181818"/>
    <n v="17.868852459016395"/>
    <n v="0.97045454545454546"/>
  </r>
  <r>
    <d v="2026-10-21T00:00:00"/>
    <x v="3"/>
    <x v="0"/>
    <x v="0"/>
    <x v="2"/>
    <n v="510"/>
    <n v="474"/>
    <n v="13"/>
    <n v="461"/>
    <n v="28"/>
    <n v="5.8333333333333334E-2"/>
    <n v="90"/>
    <n v="30800"/>
    <n v="41490"/>
    <n v="10690"/>
    <n v="0.92941176470588238"/>
    <n v="2.7426160337552744E-2"/>
    <n v="0.25765244637261991"/>
    <n v="66.811279826464215"/>
    <n v="452"/>
    <n v="1.0486725663716814"/>
    <n v="23.188720173535792"/>
    <n v="1.0199115044247788"/>
  </r>
  <r>
    <d v="2026-10-21T00:00:00"/>
    <x v="3"/>
    <x v="0"/>
    <x v="1"/>
    <x v="0"/>
    <n v="440"/>
    <n v="407"/>
    <n v="22"/>
    <n v="385"/>
    <n v="41"/>
    <n v="8.5416666666666669E-2"/>
    <n v="100"/>
    <n v="30800"/>
    <n v="38500"/>
    <n v="7700"/>
    <n v="0.92500000000000004"/>
    <n v="5.4054054054054057E-2"/>
    <n v="0.2"/>
    <n v="80"/>
    <n v="439"/>
    <n v="0.92710706150341682"/>
    <n v="20"/>
    <n v="0.87699316628701596"/>
  </r>
  <r>
    <d v="2026-10-21T00:00:00"/>
    <x v="3"/>
    <x v="0"/>
    <x v="2"/>
    <x v="1"/>
    <n v="410"/>
    <n v="360"/>
    <n v="12"/>
    <n v="348"/>
    <n v="55"/>
    <n v="0.11458333333333333"/>
    <n v="120"/>
    <n v="30800"/>
    <n v="41760"/>
    <n v="10960"/>
    <n v="0.87804878048780488"/>
    <n v="3.3333333333333333E-2"/>
    <n v="0.26245210727969348"/>
    <n v="88.505747126436788"/>
    <n v="425"/>
    <n v="0.84705882352941175"/>
    <n v="31.494252873563219"/>
    <n v="0.81882352941176473"/>
  </r>
  <r>
    <d v="2026-10-21T00:00:00"/>
    <x v="3"/>
    <x v="1"/>
    <x v="0"/>
    <x v="0"/>
    <n v="430"/>
    <n v="393"/>
    <n v="22"/>
    <n v="371"/>
    <n v="56"/>
    <n v="0.11666666666666667"/>
    <n v="100"/>
    <n v="30800"/>
    <n v="37100"/>
    <n v="6300"/>
    <n v="0.913953488372093"/>
    <n v="5.5979643765903309E-2"/>
    <n v="0.16981132075471697"/>
    <n v="83.018867924528308"/>
    <n v="424"/>
    <n v="0.92688679245283023"/>
    <n v="16.981132075471699"/>
    <n v="0.875"/>
  </r>
  <r>
    <d v="2026-10-21T00:00:00"/>
    <x v="3"/>
    <x v="1"/>
    <x v="1"/>
    <x v="1"/>
    <n v="390"/>
    <n v="354"/>
    <n v="20"/>
    <n v="334"/>
    <n v="43"/>
    <n v="8.9583333333333334E-2"/>
    <n v="120"/>
    <n v="30800"/>
    <n v="40080"/>
    <n v="9280"/>
    <n v="0.90769230769230769"/>
    <n v="5.6497175141242938E-2"/>
    <n v="0.2315369261477046"/>
    <n v="92.215568862275447"/>
    <n v="437"/>
    <n v="0.81006864988558347"/>
    <n v="27.78443113772455"/>
    <n v="0.76430205949656749"/>
  </r>
  <r>
    <d v="2026-10-21T00:00:00"/>
    <x v="3"/>
    <x v="1"/>
    <x v="2"/>
    <x v="2"/>
    <n v="520"/>
    <n v="452"/>
    <n v="28"/>
    <n v="424"/>
    <n v="58"/>
    <n v="0.12083333333333333"/>
    <n v="90"/>
    <n v="30800"/>
    <n v="38160"/>
    <n v="7360"/>
    <n v="0.86923076923076925"/>
    <n v="6.1946902654867256E-2"/>
    <n v="0.19287211740041929"/>
    <n v="72.64150943396227"/>
    <n v="422"/>
    <n v="1.0710900473933649"/>
    <n v="17.358490566037737"/>
    <n v="1.0047393364928909"/>
  </r>
  <r>
    <d v="2026-10-21T00:00:00"/>
    <x v="3"/>
    <x v="2"/>
    <x v="0"/>
    <x v="1"/>
    <n v="410"/>
    <n v="385"/>
    <n v="8"/>
    <n v="377"/>
    <n v="34"/>
    <n v="7.0833333333333331E-2"/>
    <n v="120"/>
    <n v="30800"/>
    <n v="45240"/>
    <n v="14440"/>
    <n v="0.93902439024390238"/>
    <n v="2.0779220779220779E-2"/>
    <n v="0.31918656056587091"/>
    <n v="81.697612732095493"/>
    <n v="446"/>
    <n v="0.86322869955156956"/>
    <n v="38.302387267904507"/>
    <n v="0.8452914798206278"/>
  </r>
  <r>
    <d v="2026-10-21T00:00:00"/>
    <x v="3"/>
    <x v="2"/>
    <x v="1"/>
    <x v="2"/>
    <n v="500"/>
    <n v="493"/>
    <n v="15"/>
    <n v="478"/>
    <n v="33"/>
    <n v="6.8750000000000006E-2"/>
    <n v="90"/>
    <n v="30800"/>
    <n v="43020"/>
    <n v="12220"/>
    <n v="0.98599999999999999"/>
    <n v="3.0425963488843813E-2"/>
    <n v="0.28405392840539284"/>
    <n v="64.43514644351464"/>
    <n v="447"/>
    <n v="1.1029082774049217"/>
    <n v="25.564853556485357"/>
    <n v="1.0693512304250559"/>
  </r>
  <r>
    <d v="2026-10-21T00:00:00"/>
    <x v="3"/>
    <x v="2"/>
    <x v="2"/>
    <x v="0"/>
    <n v="470"/>
    <n v="426"/>
    <n v="23"/>
    <n v="403"/>
    <n v="51"/>
    <n v="0.10625"/>
    <n v="100"/>
    <n v="30800"/>
    <n v="40300"/>
    <n v="9500"/>
    <n v="0.90638297872340423"/>
    <n v="5.39906103286385E-2"/>
    <n v="0.23573200992555832"/>
    <n v="76.426799007444174"/>
    <n v="429"/>
    <n v="0.99300699300699302"/>
    <n v="23.573200992555833"/>
    <n v="0.93939393939393945"/>
  </r>
  <r>
    <d v="2026-10-22T00:00:00"/>
    <x v="3"/>
    <x v="0"/>
    <x v="0"/>
    <x v="0"/>
    <n v="450"/>
    <n v="419"/>
    <n v="19"/>
    <n v="400"/>
    <n v="29"/>
    <n v="6.0416666666666667E-2"/>
    <n v="100"/>
    <n v="30800"/>
    <n v="40000"/>
    <n v="9200"/>
    <n v="0.93111111111111111"/>
    <n v="4.5346062052505964E-2"/>
    <n v="0.23"/>
    <n v="77"/>
    <n v="451"/>
    <n v="0.92904656319290468"/>
    <n v="23"/>
    <n v="0.88691796008869184"/>
  </r>
  <r>
    <d v="2026-10-22T00:00:00"/>
    <x v="3"/>
    <x v="0"/>
    <x v="1"/>
    <x v="1"/>
    <n v="410"/>
    <n v="392"/>
    <n v="11"/>
    <n v="381"/>
    <n v="28"/>
    <n v="5.8333333333333334E-2"/>
    <n v="120"/>
    <n v="30800"/>
    <n v="45720"/>
    <n v="14920"/>
    <n v="0.95609756097560972"/>
    <n v="2.8061224489795918E-2"/>
    <n v="0.32633420822397202"/>
    <n v="80.839895013123353"/>
    <n v="452"/>
    <n v="0.86725663716814161"/>
    <n v="39.16010498687664"/>
    <n v="0.84292035398230092"/>
  </r>
  <r>
    <d v="2026-10-22T00:00:00"/>
    <x v="3"/>
    <x v="0"/>
    <x v="2"/>
    <x v="2"/>
    <n v="510"/>
    <n v="456"/>
    <n v="18"/>
    <n v="438"/>
    <n v="34"/>
    <n v="7.0833333333333331E-2"/>
    <n v="90"/>
    <n v="30800"/>
    <n v="39420"/>
    <n v="8620"/>
    <n v="0.89411764705882357"/>
    <n v="3.9473684210526314E-2"/>
    <n v="0.21867072552004058"/>
    <n v="70.319634703196343"/>
    <n v="446"/>
    <n v="1.0224215246636772"/>
    <n v="19.680365296803654"/>
    <n v="0.98206278026905824"/>
  </r>
  <r>
    <d v="2026-10-22T00:00:00"/>
    <x v="3"/>
    <x v="1"/>
    <x v="0"/>
    <x v="1"/>
    <n v="390"/>
    <n v="356"/>
    <n v="14"/>
    <n v="342"/>
    <n v="37"/>
    <n v="7.7083333333333337E-2"/>
    <n v="120"/>
    <n v="30800"/>
    <n v="41040"/>
    <n v="10240"/>
    <n v="0.9128205128205128"/>
    <n v="3.9325842696629212E-2"/>
    <n v="0.24951267056530213"/>
    <n v="90.058479532163744"/>
    <n v="443"/>
    <n v="0.80361173814898423"/>
    <n v="29.941520467836256"/>
    <n v="0.77200902934537241"/>
  </r>
  <r>
    <d v="2026-10-22T00:00:00"/>
    <x v="3"/>
    <x v="1"/>
    <x v="1"/>
    <x v="2"/>
    <n v="510"/>
    <n v="451"/>
    <n v="25"/>
    <n v="426"/>
    <n v="49"/>
    <n v="0.10208333333333333"/>
    <n v="90"/>
    <n v="30800"/>
    <n v="38340"/>
    <n v="7540"/>
    <n v="0.88431372549019605"/>
    <n v="5.543237250554324E-2"/>
    <n v="0.19666145018257694"/>
    <n v="72.300469483568079"/>
    <n v="431"/>
    <n v="1.0464037122969838"/>
    <n v="17.699530516431924"/>
    <n v="0.98839907192575405"/>
  </r>
  <r>
    <d v="2026-10-22T00:00:00"/>
    <x v="3"/>
    <x v="1"/>
    <x v="2"/>
    <x v="0"/>
    <n v="440"/>
    <n v="376"/>
    <n v="29"/>
    <n v="347"/>
    <n v="64"/>
    <n v="0.13333333333333333"/>
    <n v="100"/>
    <n v="30800"/>
    <n v="34700"/>
    <n v="3900"/>
    <n v="0.8545454545454545"/>
    <n v="7.7127659574468085E-2"/>
    <n v="0.11239193083573487"/>
    <n v="88.760806916426517"/>
    <n v="416"/>
    <n v="0.90384615384615385"/>
    <n v="11.239193083573488"/>
    <n v="0.83413461538461542"/>
  </r>
  <r>
    <d v="2026-10-22T00:00:00"/>
    <x v="3"/>
    <x v="2"/>
    <x v="0"/>
    <x v="2"/>
    <n v="480"/>
    <n v="459"/>
    <n v="9"/>
    <n v="450"/>
    <n v="22"/>
    <n v="4.583333333333333E-2"/>
    <n v="90"/>
    <n v="30800"/>
    <n v="40500"/>
    <n v="9700"/>
    <n v="0.95625000000000004"/>
    <n v="1.9607843137254902E-2"/>
    <n v="0.23950617283950618"/>
    <n v="68.444444444444443"/>
    <n v="458"/>
    <n v="1.0021834061135371"/>
    <n v="21.555555555555557"/>
    <n v="0.98253275109170302"/>
  </r>
  <r>
    <d v="2026-10-22T00:00:00"/>
    <x v="3"/>
    <x v="2"/>
    <x v="1"/>
    <x v="0"/>
    <n v="440"/>
    <n v="413"/>
    <n v="21"/>
    <n v="392"/>
    <n v="42"/>
    <n v="8.7499999999999994E-2"/>
    <n v="100"/>
    <n v="30800"/>
    <n v="39200"/>
    <n v="8400"/>
    <n v="0.9386363636363636"/>
    <n v="5.0847457627118647E-2"/>
    <n v="0.21428571428571427"/>
    <n v="78.571428571428569"/>
    <n v="438"/>
    <n v="0.94292237442922378"/>
    <n v="21.428571428571427"/>
    <n v="0.89497716894977164"/>
  </r>
  <r>
    <d v="2026-10-22T00:00:00"/>
    <x v="3"/>
    <x v="2"/>
    <x v="2"/>
    <x v="1"/>
    <n v="410"/>
    <n v="378"/>
    <n v="11"/>
    <n v="367"/>
    <n v="45"/>
    <n v="9.375E-2"/>
    <n v="120"/>
    <n v="30800"/>
    <n v="44040"/>
    <n v="13240"/>
    <n v="0.92195121951219516"/>
    <n v="2.9100529100529099E-2"/>
    <n v="0.30063578564940963"/>
    <n v="83.923705722070849"/>
    <n v="435"/>
    <n v="0.86896551724137927"/>
    <n v="36.076294277929158"/>
    <n v="0.84367816091954018"/>
  </r>
  <r>
    <d v="2026-10-23T00:00:00"/>
    <x v="3"/>
    <x v="0"/>
    <x v="0"/>
    <x v="1"/>
    <n v="400"/>
    <n v="369"/>
    <n v="13"/>
    <n v="356"/>
    <n v="33"/>
    <n v="6.8750000000000006E-2"/>
    <n v="120"/>
    <n v="30800"/>
    <n v="42720"/>
    <n v="11920"/>
    <n v="0.92249999999999999"/>
    <n v="3.5230352303523033E-2"/>
    <n v="0.27902621722846443"/>
    <n v="86.516853932584269"/>
    <n v="447"/>
    <n v="0.82550335570469802"/>
    <n v="33.483146067415731"/>
    <n v="0.79642058165548102"/>
  </r>
  <r>
    <d v="2026-10-23T00:00:00"/>
    <x v="3"/>
    <x v="0"/>
    <x v="1"/>
    <x v="2"/>
    <n v="500"/>
    <n v="468"/>
    <n v="17"/>
    <n v="451"/>
    <n v="38"/>
    <n v="7.9166666666666663E-2"/>
    <n v="90"/>
    <n v="30800"/>
    <n v="40590"/>
    <n v="9790"/>
    <n v="0.93600000000000005"/>
    <n v="3.6324786324786328E-2"/>
    <n v="0.24119241192411925"/>
    <n v="68.292682926829272"/>
    <n v="442"/>
    <n v="1.0588235294117647"/>
    <n v="21.707317073170731"/>
    <n v="1.0203619909502262"/>
  </r>
  <r>
    <d v="2026-10-23T00:00:00"/>
    <x v="3"/>
    <x v="0"/>
    <x v="2"/>
    <x v="0"/>
    <n v="450"/>
    <n v="402"/>
    <n v="23"/>
    <n v="379"/>
    <n v="55"/>
    <n v="0.11458333333333333"/>
    <n v="100"/>
    <n v="30800"/>
    <n v="37900"/>
    <n v="7100"/>
    <n v="0.89333333333333331"/>
    <n v="5.721393034825871E-2"/>
    <n v="0.18733509234828497"/>
    <n v="81.266490765171497"/>
    <n v="425"/>
    <n v="0.94588235294117651"/>
    <n v="18.733509234828496"/>
    <n v="0.8917647058823529"/>
  </r>
  <r>
    <d v="2026-10-23T00:00:00"/>
    <x v="3"/>
    <x v="1"/>
    <x v="0"/>
    <x v="2"/>
    <n v="490"/>
    <n v="439"/>
    <n v="22"/>
    <n v="417"/>
    <n v="39"/>
    <n v="8.1250000000000003E-2"/>
    <n v="90"/>
    <n v="30800"/>
    <n v="37530"/>
    <n v="6730"/>
    <n v="0.89591836734693875"/>
    <n v="5.011389521640091E-2"/>
    <n v="0.17932320810018651"/>
    <n v="73.860911270983209"/>
    <n v="441"/>
    <n v="0.99546485260770978"/>
    <n v="16.139088729016787"/>
    <n v="0.94557823129251706"/>
  </r>
  <r>
    <d v="2026-10-23T00:00:00"/>
    <x v="3"/>
    <x v="1"/>
    <x v="1"/>
    <x v="0"/>
    <n v="450"/>
    <n v="384"/>
    <n v="27"/>
    <n v="357"/>
    <n v="60"/>
    <n v="0.125"/>
    <n v="100"/>
    <n v="30800"/>
    <n v="35700"/>
    <n v="4900"/>
    <n v="0.85333333333333339"/>
    <n v="7.03125E-2"/>
    <n v="0.13725490196078433"/>
    <n v="86.274509803921575"/>
    <n v="420"/>
    <n v="0.91428571428571426"/>
    <n v="13.725490196078431"/>
    <n v="0.85"/>
  </r>
  <r>
    <d v="2026-10-23T00:00:00"/>
    <x v="3"/>
    <x v="1"/>
    <x v="2"/>
    <x v="1"/>
    <n v="410"/>
    <n v="353"/>
    <n v="20"/>
    <n v="333"/>
    <n v="68"/>
    <n v="0.14166666666666666"/>
    <n v="120"/>
    <n v="30800"/>
    <n v="39960"/>
    <n v="9160"/>
    <n v="0.86097560975609755"/>
    <n v="5.6657223796033995E-2"/>
    <n v="0.22922922922922923"/>
    <n v="92.492492492492488"/>
    <n v="412"/>
    <n v="0.85679611650485432"/>
    <n v="27.507507507507508"/>
    <n v="0.80825242718446599"/>
  </r>
  <r>
    <d v="2026-10-23T00:00:00"/>
    <x v="3"/>
    <x v="2"/>
    <x v="0"/>
    <x v="0"/>
    <n v="440"/>
    <n v="413"/>
    <n v="19"/>
    <n v="394"/>
    <n v="27"/>
    <n v="5.6250000000000001E-2"/>
    <n v="100"/>
    <n v="30800"/>
    <n v="39400"/>
    <n v="8600"/>
    <n v="0.9386363636363636"/>
    <n v="4.6004842615012108E-2"/>
    <n v="0.21827411167512689"/>
    <n v="78.172588832487307"/>
    <n v="453"/>
    <n v="0.91169977924944812"/>
    <n v="21.82741116751269"/>
    <n v="0.86975717439293598"/>
  </r>
  <r>
    <d v="2026-10-23T00:00:00"/>
    <x v="3"/>
    <x v="2"/>
    <x v="1"/>
    <x v="1"/>
    <n v="400"/>
    <n v="381"/>
    <n v="11"/>
    <n v="370"/>
    <n v="36"/>
    <n v="7.4999999999999997E-2"/>
    <n v="120"/>
    <n v="30800"/>
    <n v="44400"/>
    <n v="13600"/>
    <n v="0.95250000000000001"/>
    <n v="2.8871391076115485E-2"/>
    <n v="0.30630630630630629"/>
    <n v="83.243243243243242"/>
    <n v="444"/>
    <n v="0.85810810810810811"/>
    <n v="36.756756756756758"/>
    <n v="0.83333333333333337"/>
  </r>
  <r>
    <d v="2026-10-23T00:00:00"/>
    <x v="3"/>
    <x v="2"/>
    <x v="2"/>
    <x v="2"/>
    <n v="490"/>
    <n v="457"/>
    <n v="15"/>
    <n v="442"/>
    <n v="34"/>
    <n v="7.0833333333333331E-2"/>
    <n v="90"/>
    <n v="30800"/>
    <n v="39780"/>
    <n v="8980"/>
    <n v="0.93265306122448977"/>
    <n v="3.2822757111597371E-2"/>
    <n v="0.22574157868275516"/>
    <n v="69.68325791855203"/>
    <n v="446"/>
    <n v="1.0246636771300448"/>
    <n v="20.316742081447963"/>
    <n v="0.99103139013452912"/>
  </r>
  <r>
    <d v="2026-10-24T00:00:00"/>
    <x v="3"/>
    <x v="0"/>
    <x v="0"/>
    <x v="2"/>
    <n v="480"/>
    <n v="462"/>
    <n v="12"/>
    <n v="450"/>
    <n v="14"/>
    <n v="2.9166666666666667E-2"/>
    <n v="90"/>
    <n v="30800"/>
    <n v="40500"/>
    <n v="9700"/>
    <n v="0.96250000000000002"/>
    <n v="2.5974025974025976E-2"/>
    <n v="0.23950617283950618"/>
    <n v="68.444444444444443"/>
    <n v="466"/>
    <n v="0.99141630901287559"/>
    <n v="21.555555555555557"/>
    <n v="0.96566523605150212"/>
  </r>
  <r>
    <d v="2026-10-24T00:00:00"/>
    <x v="3"/>
    <x v="0"/>
    <x v="1"/>
    <x v="0"/>
    <n v="440"/>
    <n v="402"/>
    <n v="17"/>
    <n v="385"/>
    <n v="50"/>
    <n v="0.10416666666666667"/>
    <n v="100"/>
    <n v="30800"/>
    <n v="38500"/>
    <n v="7700"/>
    <n v="0.91363636363636369"/>
    <n v="4.228855721393035E-2"/>
    <n v="0.2"/>
    <n v="80"/>
    <n v="430"/>
    <n v="0.93488372093023253"/>
    <n v="20"/>
    <n v="0.89534883720930236"/>
  </r>
  <r>
    <d v="2026-10-24T00:00:00"/>
    <x v="3"/>
    <x v="0"/>
    <x v="2"/>
    <x v="1"/>
    <n v="410"/>
    <n v="371"/>
    <n v="16"/>
    <n v="355"/>
    <n v="39"/>
    <n v="8.1250000000000003E-2"/>
    <n v="120"/>
    <n v="30800"/>
    <n v="42600"/>
    <n v="11800"/>
    <n v="0.90487804878048783"/>
    <n v="4.3126684636118601E-2"/>
    <n v="0.27699530516431925"/>
    <n v="86.760563380281695"/>
    <n v="441"/>
    <n v="0.84126984126984128"/>
    <n v="33.239436619718312"/>
    <n v="0.80498866213151932"/>
  </r>
  <r>
    <d v="2026-10-24T00:00:00"/>
    <x v="3"/>
    <x v="1"/>
    <x v="0"/>
    <x v="0"/>
    <n v="450"/>
    <n v="405"/>
    <n v="22"/>
    <n v="383"/>
    <n v="47"/>
    <n v="9.7916666666666666E-2"/>
    <n v="100"/>
    <n v="30800"/>
    <n v="38300"/>
    <n v="7500"/>
    <n v="0.9"/>
    <n v="5.4320987654320987E-2"/>
    <n v="0.195822454308094"/>
    <n v="80.417754569190606"/>
    <n v="433"/>
    <n v="0.9353348729792148"/>
    <n v="19.582245430809401"/>
    <n v="0.88452655889145493"/>
  </r>
  <r>
    <d v="2026-10-24T00:00:00"/>
    <x v="3"/>
    <x v="1"/>
    <x v="1"/>
    <x v="1"/>
    <n v="400"/>
    <n v="362"/>
    <n v="16"/>
    <n v="346"/>
    <n v="63"/>
    <n v="0.13125000000000001"/>
    <n v="120"/>
    <n v="30800"/>
    <n v="41520"/>
    <n v="10720"/>
    <n v="0.90500000000000003"/>
    <n v="4.4198895027624308E-2"/>
    <n v="0.25818882466281312"/>
    <n v="89.017341040462426"/>
    <n v="417"/>
    <n v="0.86810551558753002"/>
    <n v="30.982658959537574"/>
    <n v="0.82973621103117501"/>
  </r>
  <r>
    <d v="2026-10-24T00:00:00"/>
    <x v="3"/>
    <x v="1"/>
    <x v="2"/>
    <x v="2"/>
    <n v="490"/>
    <n v="425"/>
    <n v="29"/>
    <n v="396"/>
    <n v="55"/>
    <n v="0.11458333333333333"/>
    <n v="90"/>
    <n v="30800"/>
    <n v="35640"/>
    <n v="4840"/>
    <n v="0.86734693877551017"/>
    <n v="6.8235294117647061E-2"/>
    <n v="0.13580246913580246"/>
    <n v="77.777777777777771"/>
    <n v="425"/>
    <n v="1"/>
    <n v="12.222222222222221"/>
    <n v="0.93176470588235294"/>
  </r>
  <r>
    <d v="2026-10-24T00:00:00"/>
    <x v="3"/>
    <x v="2"/>
    <x v="0"/>
    <x v="1"/>
    <n v="410"/>
    <n v="389"/>
    <n v="6"/>
    <n v="383"/>
    <n v="12"/>
    <n v="2.5000000000000001E-2"/>
    <n v="120"/>
    <n v="30800"/>
    <n v="45960"/>
    <n v="15160"/>
    <n v="0.948780487804878"/>
    <n v="1.5424164524421594E-2"/>
    <n v="0.329852045256745"/>
    <n v="80.417754569190606"/>
    <n v="468"/>
    <n v="0.83119658119658124"/>
    <n v="39.582245430809401"/>
    <n v="0.81837606837606836"/>
  </r>
  <r>
    <d v="2026-10-24T00:00:00"/>
    <x v="3"/>
    <x v="2"/>
    <x v="1"/>
    <x v="2"/>
    <n v="480"/>
    <n v="449"/>
    <n v="14"/>
    <n v="435"/>
    <n v="15"/>
    <n v="3.125E-2"/>
    <n v="90"/>
    <n v="30800"/>
    <n v="39150"/>
    <n v="8350"/>
    <n v="0.93541666666666667"/>
    <n v="3.1180400890868598E-2"/>
    <n v="0.21328224776500637"/>
    <n v="70.804597701149419"/>
    <n v="465"/>
    <n v="0.96559139784946235"/>
    <n v="19.195402298850574"/>
    <n v="0.93548387096774188"/>
  </r>
  <r>
    <d v="2026-10-24T00:00:00"/>
    <x v="3"/>
    <x v="2"/>
    <x v="2"/>
    <x v="0"/>
    <n v="450"/>
    <n v="407"/>
    <n v="21"/>
    <n v="386"/>
    <n v="35"/>
    <n v="7.2916666666666671E-2"/>
    <n v="100"/>
    <n v="30800"/>
    <n v="38600"/>
    <n v="7800"/>
    <n v="0.9044444444444445"/>
    <n v="5.1597051597051594E-2"/>
    <n v="0.20207253886010362"/>
    <n v="79.792746113989637"/>
    <n v="445"/>
    <n v="0.91460674157303368"/>
    <n v="20.207253886010363"/>
    <n v="0.86741573033707864"/>
  </r>
  <r>
    <d v="2026-10-25T00:00:00"/>
    <x v="3"/>
    <x v="0"/>
    <x v="0"/>
    <x v="0"/>
    <n v="450"/>
    <n v="415"/>
    <n v="20"/>
    <n v="395"/>
    <n v="36"/>
    <n v="7.4999999999999997E-2"/>
    <n v="100"/>
    <n v="30800"/>
    <n v="39500"/>
    <n v="8700"/>
    <n v="0.92222222222222228"/>
    <n v="4.8192771084337352E-2"/>
    <n v="0.22025316455696203"/>
    <n v="77.974683544303801"/>
    <n v="444"/>
    <n v="0.93468468468468469"/>
    <n v="22.025316455696203"/>
    <n v="0.88963963963963966"/>
  </r>
  <r>
    <d v="2026-10-25T00:00:00"/>
    <x v="3"/>
    <x v="0"/>
    <x v="1"/>
    <x v="1"/>
    <n v="410"/>
    <n v="384"/>
    <n v="14"/>
    <n v="370"/>
    <n v="47"/>
    <n v="9.7916666666666666E-2"/>
    <n v="120"/>
    <n v="30800"/>
    <n v="44400"/>
    <n v="13600"/>
    <n v="0.93658536585365859"/>
    <n v="3.6458333333333336E-2"/>
    <n v="0.30630630630630629"/>
    <n v="83.243243243243242"/>
    <n v="433"/>
    <n v="0.88683602771362591"/>
    <n v="36.756756756756758"/>
    <n v="0.85450346420323331"/>
  </r>
  <r>
    <d v="2026-10-25T00:00:00"/>
    <x v="3"/>
    <x v="0"/>
    <x v="2"/>
    <x v="2"/>
    <n v="500"/>
    <n v="439"/>
    <n v="22"/>
    <n v="417"/>
    <n v="43"/>
    <n v="8.9583333333333334E-2"/>
    <n v="90"/>
    <n v="30800"/>
    <n v="37530"/>
    <n v="6730"/>
    <n v="0.878"/>
    <n v="5.011389521640091E-2"/>
    <n v="0.17932320810018651"/>
    <n v="73.860911270983209"/>
    <n v="437"/>
    <n v="1.0045766590389016"/>
    <n v="16.139088729016787"/>
    <n v="0.95423340961098402"/>
  </r>
  <r>
    <d v="2026-10-25T00:00:00"/>
    <x v="3"/>
    <x v="1"/>
    <x v="0"/>
    <x v="1"/>
    <n v="400"/>
    <n v="360"/>
    <n v="17"/>
    <n v="343"/>
    <n v="55"/>
    <n v="0.11458333333333333"/>
    <n v="120"/>
    <n v="30800"/>
    <n v="41160"/>
    <n v="10360"/>
    <n v="0.9"/>
    <n v="4.7222222222222221E-2"/>
    <n v="0.25170068027210885"/>
    <n v="89.795918367346943"/>
    <n v="425"/>
    <n v="0.84705882352941175"/>
    <n v="30.204081632653061"/>
    <n v="0.80705882352941172"/>
  </r>
  <r>
    <d v="2026-10-25T00:00:00"/>
    <x v="3"/>
    <x v="1"/>
    <x v="1"/>
    <x v="2"/>
    <n v="520"/>
    <n v="471"/>
    <n v="26"/>
    <n v="445"/>
    <n v="48"/>
    <n v="0.1"/>
    <n v="90"/>
    <n v="30800"/>
    <n v="40050"/>
    <n v="9250"/>
    <n v="0.90576923076923077"/>
    <n v="5.5201698513800426E-2"/>
    <n v="0.23096129837702872"/>
    <n v="69.213483146067418"/>
    <n v="432"/>
    <n v="1.0902777777777777"/>
    <n v="20.786516853932586"/>
    <n v="1.0300925925925926"/>
  </r>
  <r>
    <d v="2026-10-25T00:00:00"/>
    <x v="3"/>
    <x v="1"/>
    <x v="2"/>
    <x v="0"/>
    <n v="450"/>
    <n v="387"/>
    <n v="31"/>
    <n v="356"/>
    <n v="64"/>
    <n v="0.13333333333333333"/>
    <n v="100"/>
    <n v="30800"/>
    <n v="35600"/>
    <n v="4800"/>
    <n v="0.86"/>
    <n v="8.0103359173126609E-2"/>
    <n v="0.1348314606741573"/>
    <n v="86.516853932584269"/>
    <n v="416"/>
    <n v="0.93028846153846156"/>
    <n v="13.48314606741573"/>
    <n v="0.85576923076923073"/>
  </r>
  <r>
    <d v="2026-10-25T00:00:00"/>
    <x v="3"/>
    <x v="2"/>
    <x v="0"/>
    <x v="2"/>
    <n v="490"/>
    <n v="472"/>
    <n v="11"/>
    <n v="461"/>
    <n v="22"/>
    <n v="4.583333333333333E-2"/>
    <n v="90"/>
    <n v="30800"/>
    <n v="41490"/>
    <n v="10690"/>
    <n v="0.96326530612244898"/>
    <n v="2.3305084745762712E-2"/>
    <n v="0.25765244637261991"/>
    <n v="66.811279826464215"/>
    <n v="458"/>
    <n v="1.0305676855895196"/>
    <n v="23.188720173535792"/>
    <n v="1.0065502183406114"/>
  </r>
  <r>
    <d v="2026-10-25T00:00:00"/>
    <x v="3"/>
    <x v="2"/>
    <x v="1"/>
    <x v="0"/>
    <n v="440"/>
    <n v="417"/>
    <n v="21"/>
    <n v="396"/>
    <n v="22"/>
    <n v="4.583333333333333E-2"/>
    <n v="100"/>
    <n v="30800"/>
    <n v="39600"/>
    <n v="8800"/>
    <n v="0.94772727272727275"/>
    <n v="5.0359712230215826E-2"/>
    <n v="0.22222222222222221"/>
    <n v="77.777777777777771"/>
    <n v="458"/>
    <n v="0.91048034934497812"/>
    <n v="22.222222222222221"/>
    <n v="0.86462882096069871"/>
  </r>
  <r>
    <d v="2026-10-25T00:00:00"/>
    <x v="3"/>
    <x v="2"/>
    <x v="2"/>
    <x v="1"/>
    <n v="420"/>
    <n v="389"/>
    <n v="14"/>
    <n v="375"/>
    <n v="32"/>
    <n v="6.6666666666666666E-2"/>
    <n v="120"/>
    <n v="30800"/>
    <n v="45000"/>
    <n v="14200"/>
    <n v="0.92619047619047623"/>
    <n v="3.5989717223650387E-2"/>
    <n v="0.31555555555555553"/>
    <n v="82.13333333333334"/>
    <n v="448"/>
    <n v="0.8683035714285714"/>
    <n v="37.866666666666667"/>
    <n v="0.8370535714285714"/>
  </r>
  <r>
    <d v="2026-10-26T00:00:00"/>
    <x v="3"/>
    <x v="0"/>
    <x v="0"/>
    <x v="1"/>
    <n v="390"/>
    <n v="360"/>
    <n v="12"/>
    <n v="348"/>
    <n v="18"/>
    <n v="3.7499999999999999E-2"/>
    <n v="120"/>
    <n v="30800"/>
    <n v="41760"/>
    <n v="10960"/>
    <n v="0.92307692307692313"/>
    <n v="3.3333333333333333E-2"/>
    <n v="0.26245210727969348"/>
    <n v="88.505747126436788"/>
    <n v="462"/>
    <n v="0.77922077922077926"/>
    <n v="31.494252873563219"/>
    <n v="0.75324675324675328"/>
  </r>
  <r>
    <d v="2026-10-26T00:00:00"/>
    <x v="3"/>
    <x v="0"/>
    <x v="1"/>
    <x v="2"/>
    <n v="520"/>
    <n v="484"/>
    <n v="18"/>
    <n v="466"/>
    <n v="38"/>
    <n v="7.9166666666666663E-2"/>
    <n v="90"/>
    <n v="30800"/>
    <n v="41940"/>
    <n v="11140"/>
    <n v="0.93076923076923079"/>
    <n v="3.71900826446281E-2"/>
    <n v="0.26561754887935146"/>
    <n v="66.094420600858371"/>
    <n v="442"/>
    <n v="1.0950226244343892"/>
    <n v="23.905579399141629"/>
    <n v="1.0542986425339367"/>
  </r>
  <r>
    <d v="2026-10-26T00:00:00"/>
    <x v="3"/>
    <x v="0"/>
    <x v="2"/>
    <x v="0"/>
    <n v="440"/>
    <n v="395"/>
    <n v="20"/>
    <n v="375"/>
    <n v="44"/>
    <n v="9.166666666666666E-2"/>
    <n v="100"/>
    <n v="30800"/>
    <n v="37500"/>
    <n v="6700"/>
    <n v="0.89772727272727271"/>
    <n v="5.0632911392405063E-2"/>
    <n v="0.17866666666666667"/>
    <n v="82.13333333333334"/>
    <n v="436"/>
    <n v="0.90596330275229353"/>
    <n v="17.866666666666667"/>
    <n v="0.86009174311926606"/>
  </r>
  <r>
    <d v="2026-10-26T00:00:00"/>
    <x v="3"/>
    <x v="1"/>
    <x v="0"/>
    <x v="2"/>
    <n v="520"/>
    <n v="455"/>
    <n v="21"/>
    <n v="434"/>
    <n v="40"/>
    <n v="8.3333333333333329E-2"/>
    <n v="90"/>
    <n v="30800"/>
    <n v="39060"/>
    <n v="8260"/>
    <n v="0.875"/>
    <n v="4.6153846153846156E-2"/>
    <n v="0.21146953405017921"/>
    <n v="70.967741935483872"/>
    <n v="440"/>
    <n v="1.0340909090909092"/>
    <n v="19.032258064516128"/>
    <n v="0.98636363636363633"/>
  </r>
  <r>
    <d v="2026-10-26T00:00:00"/>
    <x v="3"/>
    <x v="1"/>
    <x v="1"/>
    <x v="0"/>
    <n v="450"/>
    <n v="398"/>
    <n v="25"/>
    <n v="373"/>
    <n v="50"/>
    <n v="0.10416666666666667"/>
    <n v="100"/>
    <n v="30800"/>
    <n v="37300"/>
    <n v="6500"/>
    <n v="0.88444444444444448"/>
    <n v="6.2814070351758788E-2"/>
    <n v="0.17426273458445041"/>
    <n v="82.573726541554961"/>
    <n v="430"/>
    <n v="0.92558139534883721"/>
    <n v="17.426273458445039"/>
    <n v="0.86744186046511629"/>
  </r>
  <r>
    <d v="2026-10-26T00:00:00"/>
    <x v="3"/>
    <x v="1"/>
    <x v="2"/>
    <x v="1"/>
    <n v="410"/>
    <n v="341"/>
    <n v="22"/>
    <n v="319"/>
    <n v="71"/>
    <n v="0.14791666666666667"/>
    <n v="120"/>
    <n v="30800"/>
    <n v="38280"/>
    <n v="7480"/>
    <n v="0.83170731707317069"/>
    <n v="6.4516129032258063E-2"/>
    <n v="0.19540229885057472"/>
    <n v="96.551724137931032"/>
    <n v="409"/>
    <n v="0.83374083129584353"/>
    <n v="23.448275862068964"/>
    <n v="0.77995110024449876"/>
  </r>
  <r>
    <d v="2026-10-26T00:00:00"/>
    <x v="3"/>
    <x v="2"/>
    <x v="0"/>
    <x v="0"/>
    <n v="460"/>
    <n v="431"/>
    <n v="17"/>
    <n v="414"/>
    <n v="16"/>
    <n v="3.3333333333333333E-2"/>
    <n v="100"/>
    <n v="30800"/>
    <n v="41400"/>
    <n v="10600"/>
    <n v="0.93695652173913047"/>
    <n v="3.9443155452436193E-2"/>
    <n v="0.2560386473429952"/>
    <n v="74.39613526570048"/>
    <n v="464"/>
    <n v="0.92887931034482762"/>
    <n v="25.603864734299517"/>
    <n v="0.89224137931034486"/>
  </r>
  <r>
    <d v="2026-10-26T00:00:00"/>
    <x v="3"/>
    <x v="2"/>
    <x v="1"/>
    <x v="1"/>
    <n v="400"/>
    <n v="387"/>
    <n v="13"/>
    <n v="374"/>
    <n v="27"/>
    <n v="5.6250000000000001E-2"/>
    <n v="120"/>
    <n v="30800"/>
    <n v="44880"/>
    <n v="14080"/>
    <n v="0.96750000000000003"/>
    <n v="3.3591731266149873E-2"/>
    <n v="0.31372549019607843"/>
    <n v="82.352941176470594"/>
    <n v="453"/>
    <n v="0.85430463576158944"/>
    <n v="37.647058823529413"/>
    <n v="0.82560706401766004"/>
  </r>
  <r>
    <d v="2026-10-26T00:00:00"/>
    <x v="3"/>
    <x v="2"/>
    <x v="2"/>
    <x v="2"/>
    <n v="520"/>
    <n v="476"/>
    <n v="22"/>
    <n v="454"/>
    <n v="21"/>
    <n v="4.3749999999999997E-2"/>
    <n v="90"/>
    <n v="30800"/>
    <n v="40860"/>
    <n v="10060"/>
    <n v="0.91538461538461535"/>
    <n v="4.6218487394957986E-2"/>
    <n v="0.24620655898188937"/>
    <n v="67.841409691629963"/>
    <n v="459"/>
    <n v="1.037037037037037"/>
    <n v="22.158590308370044"/>
    <n v="0.98910675381263613"/>
  </r>
  <r>
    <d v="2026-10-27T00:00:00"/>
    <x v="3"/>
    <x v="0"/>
    <x v="0"/>
    <x v="2"/>
    <n v="510"/>
    <n v="490"/>
    <n v="19"/>
    <n v="471"/>
    <n v="33"/>
    <n v="6.8750000000000006E-2"/>
    <n v="90"/>
    <n v="30800"/>
    <n v="42390"/>
    <n v="11590"/>
    <n v="0.96078431372549022"/>
    <n v="3.8775510204081633E-2"/>
    <n v="0.27341354092946452"/>
    <n v="65.392781316348191"/>
    <n v="447"/>
    <n v="1.0961968680089484"/>
    <n v="24.607218683651805"/>
    <n v="1.0536912751677852"/>
  </r>
  <r>
    <d v="2026-10-27T00:00:00"/>
    <x v="3"/>
    <x v="0"/>
    <x v="1"/>
    <x v="0"/>
    <n v="450"/>
    <n v="413"/>
    <n v="17"/>
    <n v="396"/>
    <n v="47"/>
    <n v="9.7916666666666666E-2"/>
    <n v="100"/>
    <n v="30800"/>
    <n v="39600"/>
    <n v="8800"/>
    <n v="0.9177777777777778"/>
    <n v="4.1162227602905568E-2"/>
    <n v="0.22222222222222221"/>
    <n v="77.777777777777771"/>
    <n v="433"/>
    <n v="0.95381062355658197"/>
    <n v="22.222222222222221"/>
    <n v="0.91454965357967666"/>
  </r>
  <r>
    <d v="2026-10-27T00:00:00"/>
    <x v="3"/>
    <x v="0"/>
    <x v="2"/>
    <x v="1"/>
    <n v="390"/>
    <n v="351"/>
    <n v="13"/>
    <n v="338"/>
    <n v="32"/>
    <n v="6.6666666666666666E-2"/>
    <n v="120"/>
    <n v="30800"/>
    <n v="40560"/>
    <n v="9760"/>
    <n v="0.9"/>
    <n v="3.7037037037037035E-2"/>
    <n v="0.24063116370808679"/>
    <n v="91.124260355029591"/>
    <n v="448"/>
    <n v="0.7834821428571429"/>
    <n v="28.875739644970412"/>
    <n v="0.7544642857142857"/>
  </r>
  <r>
    <d v="2026-10-27T00:00:00"/>
    <x v="3"/>
    <x v="1"/>
    <x v="0"/>
    <x v="0"/>
    <n v="460"/>
    <n v="406"/>
    <n v="25"/>
    <n v="381"/>
    <n v="60"/>
    <n v="0.125"/>
    <n v="100"/>
    <n v="30800"/>
    <n v="38100"/>
    <n v="7300"/>
    <n v="0.88260869565217392"/>
    <n v="6.1576354679802957E-2"/>
    <n v="0.19160104986876642"/>
    <n v="80.839895013123353"/>
    <n v="420"/>
    <n v="0.96666666666666667"/>
    <n v="19.16010498687664"/>
    <n v="0.90714285714285714"/>
  </r>
  <r>
    <d v="2026-10-27T00:00:00"/>
    <x v="3"/>
    <x v="1"/>
    <x v="1"/>
    <x v="1"/>
    <n v="400"/>
    <n v="345"/>
    <n v="16"/>
    <n v="329"/>
    <n v="55"/>
    <n v="0.11458333333333333"/>
    <n v="120"/>
    <n v="30800"/>
    <n v="39480"/>
    <n v="8680"/>
    <n v="0.86250000000000004"/>
    <n v="4.6376811594202899E-2"/>
    <n v="0.21985815602836881"/>
    <n v="93.61702127659575"/>
    <n v="425"/>
    <n v="0.81176470588235294"/>
    <n v="26.382978723404257"/>
    <n v="0.77411764705882358"/>
  </r>
  <r>
    <d v="2026-10-27T00:00:00"/>
    <x v="3"/>
    <x v="1"/>
    <x v="2"/>
    <x v="2"/>
    <n v="490"/>
    <n v="404"/>
    <n v="26"/>
    <n v="378"/>
    <n v="45"/>
    <n v="9.375E-2"/>
    <n v="90"/>
    <n v="30800"/>
    <n v="34020"/>
    <n v="3220"/>
    <n v="0.82448979591836735"/>
    <n v="6.4356435643564358E-2"/>
    <n v="9.4650205761316872E-2"/>
    <n v="81.481481481481481"/>
    <n v="435"/>
    <n v="0.92873563218390809"/>
    <n v="8.518518518518519"/>
    <n v="0.86896551724137927"/>
  </r>
  <r>
    <d v="2026-10-27T00:00:00"/>
    <x v="3"/>
    <x v="2"/>
    <x v="0"/>
    <x v="1"/>
    <n v="400"/>
    <n v="374"/>
    <n v="8"/>
    <n v="366"/>
    <n v="34"/>
    <n v="7.0833333333333331E-2"/>
    <n v="120"/>
    <n v="30800"/>
    <n v="43920"/>
    <n v="13120"/>
    <n v="0.93500000000000005"/>
    <n v="2.1390374331550801E-2"/>
    <n v="0.2987249544626594"/>
    <n v="84.15300546448087"/>
    <n v="446"/>
    <n v="0.83856502242152464"/>
    <n v="35.846994535519123"/>
    <n v="0.820627802690583"/>
  </r>
  <r>
    <d v="2026-10-27T00:00:00"/>
    <x v="3"/>
    <x v="2"/>
    <x v="1"/>
    <x v="2"/>
    <n v="510"/>
    <n v="483"/>
    <n v="13"/>
    <n v="470"/>
    <n v="24"/>
    <n v="0.05"/>
    <n v="90"/>
    <n v="30800"/>
    <n v="42300"/>
    <n v="11500"/>
    <n v="0.94705882352941173"/>
    <n v="2.6915113871635612E-2"/>
    <n v="0.27186761229314421"/>
    <n v="65.531914893617028"/>
    <n v="456"/>
    <n v="1.0592105263157894"/>
    <n v="24.468085106382979"/>
    <n v="1.0307017543859649"/>
  </r>
  <r>
    <d v="2026-10-27T00:00:00"/>
    <x v="3"/>
    <x v="2"/>
    <x v="2"/>
    <x v="0"/>
    <n v="450"/>
    <n v="415"/>
    <n v="24"/>
    <n v="391"/>
    <n v="44"/>
    <n v="9.166666666666666E-2"/>
    <n v="100"/>
    <n v="30800"/>
    <n v="39100"/>
    <n v="8300"/>
    <n v="0.92222222222222228"/>
    <n v="5.7831325301204821E-2"/>
    <n v="0.21227621483375958"/>
    <n v="78.772378516624045"/>
    <n v="436"/>
    <n v="0.95183486238532111"/>
    <n v="21.227621483375959"/>
    <n v="0.89678899082568808"/>
  </r>
  <r>
    <d v="2026-10-28T00:00:00"/>
    <x v="3"/>
    <x v="0"/>
    <x v="0"/>
    <x v="0"/>
    <n v="440"/>
    <n v="407"/>
    <n v="17"/>
    <n v="390"/>
    <n v="44"/>
    <n v="9.166666666666666E-2"/>
    <n v="100"/>
    <n v="30800"/>
    <n v="39000"/>
    <n v="8200"/>
    <n v="0.92500000000000004"/>
    <n v="4.1769041769041768E-2"/>
    <n v="0.21025641025641026"/>
    <n v="78.974358974358978"/>
    <n v="436"/>
    <n v="0.9334862385321101"/>
    <n v="21.025641025641026"/>
    <n v="0.89449541284403666"/>
  </r>
  <r>
    <d v="2026-10-28T00:00:00"/>
    <x v="3"/>
    <x v="0"/>
    <x v="1"/>
    <x v="1"/>
    <n v="390"/>
    <n v="366"/>
    <n v="12"/>
    <n v="354"/>
    <n v="36"/>
    <n v="7.4999999999999997E-2"/>
    <n v="120"/>
    <n v="30800"/>
    <n v="42480"/>
    <n v="11680"/>
    <n v="0.93846153846153846"/>
    <n v="3.2786885245901641E-2"/>
    <n v="0.27495291902071561"/>
    <n v="87.005649717514117"/>
    <n v="444"/>
    <n v="0.82432432432432434"/>
    <n v="32.994350282485875"/>
    <n v="0.79729729729729726"/>
  </r>
  <r>
    <d v="2026-10-28T00:00:00"/>
    <x v="3"/>
    <x v="0"/>
    <x v="2"/>
    <x v="2"/>
    <n v="490"/>
    <n v="443"/>
    <n v="17"/>
    <n v="426"/>
    <n v="35"/>
    <n v="7.2916666666666671E-2"/>
    <n v="90"/>
    <n v="30800"/>
    <n v="38340"/>
    <n v="7540"/>
    <n v="0.90408163265306118"/>
    <n v="3.8374717832957109E-2"/>
    <n v="0.19666145018257694"/>
    <n v="72.300469483568079"/>
    <n v="445"/>
    <n v="0.99550561797752812"/>
    <n v="17.699530516431924"/>
    <n v="0.95730337078651684"/>
  </r>
  <r>
    <d v="2026-10-28T00:00:00"/>
    <x v="3"/>
    <x v="1"/>
    <x v="0"/>
    <x v="1"/>
    <n v="420"/>
    <n v="376"/>
    <n v="20"/>
    <n v="356"/>
    <n v="50"/>
    <n v="0.10416666666666667"/>
    <n v="120"/>
    <n v="30800"/>
    <n v="42720"/>
    <n v="11920"/>
    <n v="0.89523809523809528"/>
    <n v="5.3191489361702128E-2"/>
    <n v="0.27902621722846443"/>
    <n v="86.516853932584269"/>
    <n v="430"/>
    <n v="0.87441860465116283"/>
    <n v="33.483146067415731"/>
    <n v="0.82790697674418601"/>
  </r>
  <r>
    <d v="2026-10-28T00:00:00"/>
    <x v="3"/>
    <x v="1"/>
    <x v="1"/>
    <x v="2"/>
    <n v="490"/>
    <n v="417"/>
    <n v="25"/>
    <n v="392"/>
    <n v="44"/>
    <n v="9.166666666666666E-2"/>
    <n v="90"/>
    <n v="30800"/>
    <n v="35280"/>
    <n v="4480"/>
    <n v="0.8510204081632653"/>
    <n v="5.9952038369304558E-2"/>
    <n v="0.12698412698412698"/>
    <n v="78.571428571428569"/>
    <n v="436"/>
    <n v="0.95642201834862384"/>
    <n v="11.428571428571429"/>
    <n v="0.8990825688073395"/>
  </r>
  <r>
    <d v="2026-10-28T00:00:00"/>
    <x v="3"/>
    <x v="1"/>
    <x v="2"/>
    <x v="0"/>
    <n v="440"/>
    <n v="379"/>
    <n v="26"/>
    <n v="353"/>
    <n v="77"/>
    <n v="0.16041666666666668"/>
    <n v="100"/>
    <n v="30800"/>
    <n v="35300"/>
    <n v="4500"/>
    <n v="0.86136363636363633"/>
    <n v="6.860158311345646E-2"/>
    <n v="0.12747875354107649"/>
    <n v="87.252124645892351"/>
    <n v="403"/>
    <n v="0.94044665012406947"/>
    <n v="12.747875354107649"/>
    <n v="0.87593052109181146"/>
  </r>
  <r>
    <d v="2026-10-28T00:00:00"/>
    <x v="3"/>
    <x v="2"/>
    <x v="0"/>
    <x v="2"/>
    <n v="490"/>
    <n v="473"/>
    <n v="10"/>
    <n v="463"/>
    <n v="14"/>
    <n v="2.9166666666666667E-2"/>
    <n v="90"/>
    <n v="30800"/>
    <n v="41670"/>
    <n v="10870"/>
    <n v="0.96530612244897962"/>
    <n v="2.1141649048625793E-2"/>
    <n v="0.26085913126949845"/>
    <n v="66.522678185745136"/>
    <n v="466"/>
    <n v="1.0150214592274678"/>
    <n v="23.477321814254861"/>
    <n v="0.99356223175965663"/>
  </r>
  <r>
    <d v="2026-10-28T00:00:00"/>
    <x v="3"/>
    <x v="2"/>
    <x v="1"/>
    <x v="0"/>
    <n v="440"/>
    <n v="425"/>
    <n v="17"/>
    <n v="408"/>
    <n v="37"/>
    <n v="7.7083333333333337E-2"/>
    <n v="100"/>
    <n v="30800"/>
    <n v="40800"/>
    <n v="10000"/>
    <n v="0.96590909090909094"/>
    <n v="0.04"/>
    <n v="0.24509803921568626"/>
    <n v="75.490196078431367"/>
    <n v="443"/>
    <n v="0.95936794582392781"/>
    <n v="24.509803921568629"/>
    <n v="0.92099322799097061"/>
  </r>
  <r>
    <d v="2026-10-28T00:00:00"/>
    <x v="3"/>
    <x v="2"/>
    <x v="2"/>
    <x v="1"/>
    <n v="390"/>
    <n v="364"/>
    <n v="11"/>
    <n v="353"/>
    <n v="40"/>
    <n v="8.3333333333333329E-2"/>
    <n v="120"/>
    <n v="30800"/>
    <n v="42360"/>
    <n v="11560"/>
    <n v="0.93333333333333335"/>
    <n v="3.021978021978022E-2"/>
    <n v="0.27289896128423041"/>
    <n v="87.252124645892351"/>
    <n v="440"/>
    <n v="0.82727272727272727"/>
    <n v="32.747875354107649"/>
    <n v="0.80227272727272725"/>
  </r>
  <r>
    <d v="2026-10-29T00:00:00"/>
    <x v="3"/>
    <x v="0"/>
    <x v="0"/>
    <x v="1"/>
    <n v="410"/>
    <n v="385"/>
    <n v="12"/>
    <n v="373"/>
    <n v="22"/>
    <n v="4.583333333333333E-2"/>
    <n v="120"/>
    <n v="30800"/>
    <n v="44760"/>
    <n v="13960"/>
    <n v="0.93902439024390238"/>
    <n v="3.1168831168831169E-2"/>
    <n v="0.31188561215370869"/>
    <n v="82.573726541554961"/>
    <n v="458"/>
    <n v="0.84061135371179041"/>
    <n v="37.426273458445039"/>
    <n v="0.81441048034934493"/>
  </r>
  <r>
    <d v="2026-10-29T00:00:00"/>
    <x v="3"/>
    <x v="0"/>
    <x v="1"/>
    <x v="2"/>
    <n v="480"/>
    <n v="447"/>
    <n v="18"/>
    <n v="429"/>
    <n v="21"/>
    <n v="4.3749999999999997E-2"/>
    <n v="90"/>
    <n v="30800"/>
    <n v="38610"/>
    <n v="7810"/>
    <n v="0.93125000000000002"/>
    <n v="4.0268456375838924E-2"/>
    <n v="0.20227920227920229"/>
    <n v="71.794871794871796"/>
    <n v="459"/>
    <n v="0.97385620915032678"/>
    <n v="18.205128205128204"/>
    <n v="0.934640522875817"/>
  </r>
  <r>
    <d v="2026-10-29T00:00:00"/>
    <x v="3"/>
    <x v="0"/>
    <x v="2"/>
    <x v="0"/>
    <n v="440"/>
    <n v="389"/>
    <n v="24"/>
    <n v="365"/>
    <n v="55"/>
    <n v="0.11458333333333333"/>
    <n v="100"/>
    <n v="30800"/>
    <n v="36500"/>
    <n v="5700"/>
    <n v="0.88409090909090904"/>
    <n v="6.1696658097686374E-2"/>
    <n v="0.15616438356164383"/>
    <n v="84.38356164383562"/>
    <n v="425"/>
    <n v="0.91529411764705881"/>
    <n v="15.616438356164384"/>
    <n v="0.85882352941176465"/>
  </r>
  <r>
    <d v="2026-10-29T00:00:00"/>
    <x v="3"/>
    <x v="1"/>
    <x v="0"/>
    <x v="2"/>
    <n v="480"/>
    <n v="430"/>
    <n v="18"/>
    <n v="412"/>
    <n v="43"/>
    <n v="8.9583333333333334E-2"/>
    <n v="90"/>
    <n v="30800"/>
    <n v="37080"/>
    <n v="6280"/>
    <n v="0.89583333333333337"/>
    <n v="4.1860465116279069E-2"/>
    <n v="0.16936353829557713"/>
    <n v="74.757281553398059"/>
    <n v="437"/>
    <n v="0.98398169336384445"/>
    <n v="15.242718446601941"/>
    <n v="0.94279176201372994"/>
  </r>
  <r>
    <d v="2026-10-29T00:00:00"/>
    <x v="3"/>
    <x v="1"/>
    <x v="1"/>
    <x v="0"/>
    <n v="440"/>
    <n v="395"/>
    <n v="27"/>
    <n v="368"/>
    <n v="51"/>
    <n v="0.10625"/>
    <n v="100"/>
    <n v="30800"/>
    <n v="36800"/>
    <n v="6000"/>
    <n v="0.89772727272727271"/>
    <n v="6.8354430379746839E-2"/>
    <n v="0.16304347826086957"/>
    <n v="83.695652173913047"/>
    <n v="429"/>
    <n v="0.92074592074592077"/>
    <n v="16.304347826086957"/>
    <n v="0.85780885780885785"/>
  </r>
  <r>
    <d v="2026-10-29T00:00:00"/>
    <x v="3"/>
    <x v="1"/>
    <x v="2"/>
    <x v="1"/>
    <n v="390"/>
    <n v="339"/>
    <n v="19"/>
    <n v="320"/>
    <n v="61"/>
    <n v="0.12708333333333333"/>
    <n v="120"/>
    <n v="30800"/>
    <n v="38400"/>
    <n v="7600"/>
    <n v="0.86923076923076925"/>
    <n v="5.6047197640117993E-2"/>
    <n v="0.19791666666666666"/>
    <n v="96.25"/>
    <n v="419"/>
    <n v="0.80906921241050123"/>
    <n v="23.75"/>
    <n v="0.76372315035799521"/>
  </r>
  <r>
    <d v="2026-10-29T00:00:00"/>
    <x v="3"/>
    <x v="2"/>
    <x v="0"/>
    <x v="0"/>
    <n v="470"/>
    <n v="438"/>
    <n v="15"/>
    <n v="423"/>
    <n v="34"/>
    <n v="7.0833333333333331E-2"/>
    <n v="100"/>
    <n v="30800"/>
    <n v="42300"/>
    <n v="11500"/>
    <n v="0.93191489361702129"/>
    <n v="3.4246575342465752E-2"/>
    <n v="0.27186761229314421"/>
    <n v="72.813238770685572"/>
    <n v="446"/>
    <n v="0.98206278026905824"/>
    <n v="27.186761229314421"/>
    <n v="0.94843049327354256"/>
  </r>
  <r>
    <d v="2026-10-29T00:00:00"/>
    <x v="3"/>
    <x v="2"/>
    <x v="1"/>
    <x v="1"/>
    <n v="390"/>
    <n v="362"/>
    <n v="12"/>
    <n v="350"/>
    <n v="34"/>
    <n v="7.0833333333333331E-2"/>
    <n v="120"/>
    <n v="30800"/>
    <n v="42000"/>
    <n v="11200"/>
    <n v="0.92820512820512824"/>
    <n v="3.3149171270718231E-2"/>
    <n v="0.26666666666666666"/>
    <n v="88"/>
    <n v="446"/>
    <n v="0.81165919282511212"/>
    <n v="32"/>
    <n v="0.7847533632286996"/>
  </r>
  <r>
    <d v="2026-10-29T00:00:00"/>
    <x v="3"/>
    <x v="2"/>
    <x v="2"/>
    <x v="2"/>
    <n v="480"/>
    <n v="452"/>
    <n v="16"/>
    <n v="436"/>
    <n v="33"/>
    <n v="6.8750000000000006E-2"/>
    <n v="90"/>
    <n v="30800"/>
    <n v="39240"/>
    <n v="8440"/>
    <n v="0.94166666666666665"/>
    <n v="3.5398230088495575E-2"/>
    <n v="0.21508664627930682"/>
    <n v="70.642201834862391"/>
    <n v="447"/>
    <n v="1.0111856823266219"/>
    <n v="19.357798165137616"/>
    <n v="0.97539149888143173"/>
  </r>
  <r>
    <d v="2026-10-30T00:00:00"/>
    <x v="3"/>
    <x v="0"/>
    <x v="0"/>
    <x v="2"/>
    <n v="510"/>
    <n v="463"/>
    <n v="16"/>
    <n v="447"/>
    <n v="24"/>
    <n v="0.05"/>
    <n v="90"/>
    <n v="30800"/>
    <n v="40230"/>
    <n v="9430"/>
    <n v="0.90784313725490196"/>
    <n v="3.4557235421166309E-2"/>
    <n v="0.23440218742232166"/>
    <n v="68.903803131991054"/>
    <n v="456"/>
    <n v="1.0153508771929824"/>
    <n v="21.096196868008949"/>
    <n v="0.98026315789473684"/>
  </r>
  <r>
    <d v="2026-10-30T00:00:00"/>
    <x v="3"/>
    <x v="0"/>
    <x v="1"/>
    <x v="0"/>
    <n v="440"/>
    <n v="420"/>
    <n v="24"/>
    <n v="396"/>
    <n v="38"/>
    <n v="7.9166666666666663E-2"/>
    <n v="100"/>
    <n v="30800"/>
    <n v="39600"/>
    <n v="8800"/>
    <n v="0.95454545454545459"/>
    <n v="5.7142857142857141E-2"/>
    <n v="0.22222222222222221"/>
    <n v="77.777777777777771"/>
    <n v="442"/>
    <n v="0.95022624434389136"/>
    <n v="22.222222222222221"/>
    <n v="0.89592760180995479"/>
  </r>
  <r>
    <d v="2026-10-30T00:00:00"/>
    <x v="3"/>
    <x v="0"/>
    <x v="2"/>
    <x v="1"/>
    <n v="400"/>
    <n v="367"/>
    <n v="17"/>
    <n v="350"/>
    <n v="31"/>
    <n v="6.458333333333334E-2"/>
    <n v="120"/>
    <n v="30800"/>
    <n v="42000"/>
    <n v="11200"/>
    <n v="0.91749999999999998"/>
    <n v="4.632152588555858E-2"/>
    <n v="0.26666666666666666"/>
    <n v="88"/>
    <n v="449"/>
    <n v="0.81737193763919824"/>
    <n v="32"/>
    <n v="0.77951002227171495"/>
  </r>
  <r>
    <d v="2026-10-30T00:00:00"/>
    <x v="3"/>
    <x v="1"/>
    <x v="0"/>
    <x v="0"/>
    <n v="470"/>
    <n v="409"/>
    <n v="24"/>
    <n v="385"/>
    <n v="53"/>
    <n v="0.11041666666666666"/>
    <n v="100"/>
    <n v="30800"/>
    <n v="38500"/>
    <n v="7700"/>
    <n v="0.87021276595744679"/>
    <n v="5.8679706601466992E-2"/>
    <n v="0.2"/>
    <n v="80"/>
    <n v="427"/>
    <n v="0.95784543325526927"/>
    <n v="20"/>
    <n v="0.90163934426229508"/>
  </r>
  <r>
    <d v="2026-10-30T00:00:00"/>
    <x v="3"/>
    <x v="1"/>
    <x v="1"/>
    <x v="1"/>
    <n v="390"/>
    <n v="347"/>
    <n v="18"/>
    <n v="329"/>
    <n v="64"/>
    <n v="0.13333333333333333"/>
    <n v="120"/>
    <n v="30800"/>
    <n v="39480"/>
    <n v="8680"/>
    <n v="0.88974358974358969"/>
    <n v="5.1873198847262249E-2"/>
    <n v="0.21985815602836881"/>
    <n v="93.61702127659575"/>
    <n v="416"/>
    <n v="0.83413461538461542"/>
    <n v="26.382978723404257"/>
    <n v="0.79086538461538458"/>
  </r>
  <r>
    <d v="2026-10-30T00:00:00"/>
    <x v="3"/>
    <x v="1"/>
    <x v="2"/>
    <x v="2"/>
    <n v="510"/>
    <n v="437"/>
    <n v="27"/>
    <n v="410"/>
    <n v="62"/>
    <n v="0.12916666666666668"/>
    <n v="90"/>
    <n v="30800"/>
    <n v="36900"/>
    <n v="6100"/>
    <n v="0.85686274509803917"/>
    <n v="6.1784897025171627E-2"/>
    <n v="0.16531165311653118"/>
    <n v="75.121951219512198"/>
    <n v="418"/>
    <n v="1.0454545454545454"/>
    <n v="14.878048780487806"/>
    <n v="0.98086124401913877"/>
  </r>
  <r>
    <d v="2026-10-30T00:00:00"/>
    <x v="3"/>
    <x v="2"/>
    <x v="0"/>
    <x v="1"/>
    <n v="400"/>
    <n v="378"/>
    <n v="9"/>
    <n v="369"/>
    <n v="24"/>
    <n v="0.05"/>
    <n v="120"/>
    <n v="30800"/>
    <n v="44280"/>
    <n v="13480"/>
    <n v="0.94499999999999995"/>
    <n v="2.3809523809523808E-2"/>
    <n v="0.30442637759710928"/>
    <n v="83.468834688346888"/>
    <n v="456"/>
    <n v="0.82894736842105265"/>
    <n v="36.531165311653119"/>
    <n v="0.80921052631578949"/>
  </r>
  <r>
    <d v="2026-10-30T00:00:00"/>
    <x v="3"/>
    <x v="2"/>
    <x v="1"/>
    <x v="2"/>
    <n v="490"/>
    <n v="468"/>
    <n v="15"/>
    <n v="453"/>
    <n v="33"/>
    <n v="6.8750000000000006E-2"/>
    <n v="90"/>
    <n v="30800"/>
    <n v="40770"/>
    <n v="9970"/>
    <n v="0.95510204081632655"/>
    <n v="3.2051282051282048E-2"/>
    <n v="0.24454255580083395"/>
    <n v="67.99116997792494"/>
    <n v="447"/>
    <n v="1.0469798657718121"/>
    <n v="22.008830022075056"/>
    <n v="1.0134228187919463"/>
  </r>
  <r>
    <d v="2026-10-30T00:00:00"/>
    <x v="3"/>
    <x v="2"/>
    <x v="2"/>
    <x v="0"/>
    <n v="460"/>
    <n v="416"/>
    <n v="23"/>
    <n v="393"/>
    <n v="44"/>
    <n v="9.166666666666666E-2"/>
    <n v="100"/>
    <n v="30800"/>
    <n v="39300"/>
    <n v="8500"/>
    <n v="0.90434782608695652"/>
    <n v="5.5288461538461536E-2"/>
    <n v="0.21628498727735368"/>
    <n v="78.371501272264638"/>
    <n v="436"/>
    <n v="0.95412844036697253"/>
    <n v="21.628498727735369"/>
    <n v="0.90137614678899081"/>
  </r>
  <r>
    <d v="2026-10-31T00:00:00"/>
    <x v="3"/>
    <x v="0"/>
    <x v="0"/>
    <x v="0"/>
    <n v="450"/>
    <n v="432"/>
    <n v="21"/>
    <n v="411"/>
    <n v="43"/>
    <n v="8.9583333333333334E-2"/>
    <n v="100"/>
    <n v="30800"/>
    <n v="41100"/>
    <n v="10300"/>
    <n v="0.96"/>
    <n v="4.8611111111111112E-2"/>
    <n v="0.25060827250608275"/>
    <n v="74.93917274939173"/>
    <n v="437"/>
    <n v="0.98855835240274603"/>
    <n v="25.060827250608273"/>
    <n v="0.94050343249427915"/>
  </r>
  <r>
    <d v="2026-10-31T00:00:00"/>
    <x v="3"/>
    <x v="0"/>
    <x v="1"/>
    <x v="1"/>
    <n v="410"/>
    <n v="375"/>
    <n v="13"/>
    <n v="362"/>
    <n v="48"/>
    <n v="0.1"/>
    <n v="120"/>
    <n v="30800"/>
    <n v="43440"/>
    <n v="12640"/>
    <n v="0.91463414634146345"/>
    <n v="3.4666666666666665E-2"/>
    <n v="0.29097605893186002"/>
    <n v="85.082872928176798"/>
    <n v="432"/>
    <n v="0.86805555555555558"/>
    <n v="34.917127071823202"/>
    <n v="0.83796296296296291"/>
  </r>
  <r>
    <d v="2026-10-31T00:00:00"/>
    <x v="3"/>
    <x v="0"/>
    <x v="2"/>
    <x v="2"/>
    <n v="490"/>
    <n v="448"/>
    <n v="18"/>
    <n v="430"/>
    <n v="26"/>
    <n v="5.4166666666666669E-2"/>
    <n v="90"/>
    <n v="30800"/>
    <n v="38700"/>
    <n v="7900"/>
    <n v="0.91428571428571426"/>
    <n v="4.0178571428571432E-2"/>
    <n v="0.20413436692506459"/>
    <n v="71.627906976744185"/>
    <n v="454"/>
    <n v="0.986784140969163"/>
    <n v="18.372093023255815"/>
    <n v="0.94713656387665202"/>
  </r>
  <r>
    <d v="2026-10-31T00:00:00"/>
    <x v="3"/>
    <x v="1"/>
    <x v="0"/>
    <x v="1"/>
    <n v="410"/>
    <n v="361"/>
    <n v="16"/>
    <n v="345"/>
    <n v="50"/>
    <n v="0.10416666666666667"/>
    <n v="120"/>
    <n v="30800"/>
    <n v="41400"/>
    <n v="10600"/>
    <n v="0.88048780487804879"/>
    <n v="4.4321329639889197E-2"/>
    <n v="0.2560386473429952"/>
    <n v="89.275362318840578"/>
    <n v="430"/>
    <n v="0.83953488372093021"/>
    <n v="30.724637681159422"/>
    <n v="0.80232558139534882"/>
  </r>
  <r>
    <d v="2026-10-31T00:00:00"/>
    <x v="3"/>
    <x v="1"/>
    <x v="1"/>
    <x v="2"/>
    <n v="520"/>
    <n v="448"/>
    <n v="27"/>
    <n v="421"/>
    <n v="41"/>
    <n v="8.5416666666666669E-2"/>
    <n v="90"/>
    <n v="30800"/>
    <n v="37890"/>
    <n v="7090"/>
    <n v="0.86153846153846159"/>
    <n v="6.0267857142857144E-2"/>
    <n v="0.18712061229875956"/>
    <n v="73.159144893111645"/>
    <n v="439"/>
    <n v="1.0205011389521641"/>
    <n v="16.840855106888363"/>
    <n v="0.95899772209567202"/>
  </r>
  <r>
    <d v="2026-10-31T00:00:00"/>
    <x v="3"/>
    <x v="1"/>
    <x v="2"/>
    <x v="0"/>
    <n v="440"/>
    <n v="379"/>
    <n v="29"/>
    <n v="350"/>
    <n v="62"/>
    <n v="0.12916666666666668"/>
    <n v="100"/>
    <n v="30800"/>
    <n v="35000"/>
    <n v="4200"/>
    <n v="0.86136363636363633"/>
    <n v="7.6517150395778361E-2"/>
    <n v="0.12"/>
    <n v="88"/>
    <n v="418"/>
    <n v="0.90669856459330145"/>
    <n v="12"/>
    <n v="0.83732057416267947"/>
  </r>
  <r>
    <d v="2026-10-31T00:00:00"/>
    <x v="3"/>
    <x v="2"/>
    <x v="0"/>
    <x v="2"/>
    <n v="500"/>
    <n v="469"/>
    <n v="10"/>
    <n v="459"/>
    <n v="26"/>
    <n v="5.4166666666666669E-2"/>
    <n v="90"/>
    <n v="30800"/>
    <n v="41310"/>
    <n v="10510"/>
    <n v="0.93799999999999994"/>
    <n v="2.1321961620469083E-2"/>
    <n v="0.25441781650931977"/>
    <n v="67.102396514161214"/>
    <n v="454"/>
    <n v="1.0330396475770924"/>
    <n v="22.897603485838779"/>
    <n v="1.0110132158590308"/>
  </r>
  <r>
    <d v="2026-10-31T00:00:00"/>
    <x v="3"/>
    <x v="2"/>
    <x v="1"/>
    <x v="0"/>
    <n v="440"/>
    <n v="421"/>
    <n v="18"/>
    <n v="403"/>
    <n v="38"/>
    <n v="7.9166666666666663E-2"/>
    <n v="100"/>
    <n v="30800"/>
    <n v="40300"/>
    <n v="9500"/>
    <n v="0.95681818181818179"/>
    <n v="4.2755344418052253E-2"/>
    <n v="0.23573200992555832"/>
    <n v="76.426799007444174"/>
    <n v="442"/>
    <n v="0.95248868778280538"/>
    <n v="23.573200992555833"/>
    <n v="0.91176470588235292"/>
  </r>
  <r>
    <d v="2026-10-31T00:00:00"/>
    <x v="3"/>
    <x v="2"/>
    <x v="2"/>
    <x v="1"/>
    <n v="400"/>
    <n v="370"/>
    <n v="11"/>
    <n v="359"/>
    <n v="35"/>
    <n v="7.2916666666666671E-2"/>
    <n v="120"/>
    <n v="30800"/>
    <n v="43080"/>
    <n v="12280"/>
    <n v="0.92500000000000004"/>
    <n v="2.9729729729729731E-2"/>
    <n v="0.2850510677808728"/>
    <n v="85.793871866295262"/>
    <n v="445"/>
    <n v="0.8314606741573034"/>
    <n v="34.206128133704738"/>
    <n v="0.80674157303370786"/>
  </r>
  <r>
    <d v="2026-11-01T00:00:00"/>
    <x v="4"/>
    <x v="0"/>
    <x v="0"/>
    <x v="0"/>
    <n v="450"/>
    <n v="411"/>
    <n v="16"/>
    <n v="395"/>
    <n v="36"/>
    <n v="7.4999999999999997E-2"/>
    <n v="100"/>
    <n v="30800"/>
    <n v="39500"/>
    <n v="8700"/>
    <n v="0.91333333333333333"/>
    <n v="3.8929440389294405E-2"/>
    <n v="0.22025316455696203"/>
    <n v="77.974683544303801"/>
    <n v="444"/>
    <n v="0.92567567567567566"/>
    <n v="22.025316455696203"/>
    <n v="0.88963963963963966"/>
  </r>
  <r>
    <d v="2026-11-01T00:00:00"/>
    <x v="4"/>
    <x v="0"/>
    <x v="1"/>
    <x v="1"/>
    <n v="410"/>
    <n v="390"/>
    <n v="11"/>
    <n v="379"/>
    <n v="46"/>
    <n v="9.583333333333334E-2"/>
    <n v="120"/>
    <n v="30800"/>
    <n v="45480"/>
    <n v="14680"/>
    <n v="0.95121951219512191"/>
    <n v="2.8205128205128206E-2"/>
    <n v="0.3227792436235708"/>
    <n v="81.266490765171497"/>
    <n v="434"/>
    <n v="0.89861751152073732"/>
    <n v="38.733509234828496"/>
    <n v="0.87327188940092171"/>
  </r>
  <r>
    <d v="2026-11-01T00:00:00"/>
    <x v="4"/>
    <x v="0"/>
    <x v="2"/>
    <x v="2"/>
    <n v="510"/>
    <n v="443"/>
    <n v="23"/>
    <n v="420"/>
    <n v="40"/>
    <n v="8.3333333333333329E-2"/>
    <n v="90"/>
    <n v="30800"/>
    <n v="37800"/>
    <n v="7000"/>
    <n v="0.86862745098039218"/>
    <n v="5.1918735891647853E-2"/>
    <n v="0.18518518518518517"/>
    <n v="73.333333333333329"/>
    <n v="440"/>
    <n v="1.0068181818181818"/>
    <n v="16.666666666666668"/>
    <n v="0.95454545454545459"/>
  </r>
  <r>
    <d v="2026-11-01T00:00:00"/>
    <x v="4"/>
    <x v="1"/>
    <x v="0"/>
    <x v="1"/>
    <n v="400"/>
    <n v="349"/>
    <n v="16"/>
    <n v="333"/>
    <n v="43"/>
    <n v="8.9583333333333334E-2"/>
    <n v="120"/>
    <n v="30800"/>
    <n v="39960"/>
    <n v="9160"/>
    <n v="0.87250000000000005"/>
    <n v="4.5845272206303724E-2"/>
    <n v="0.22922922922922923"/>
    <n v="92.492492492492488"/>
    <n v="437"/>
    <n v="0.7986270022883295"/>
    <n v="27.507507507507508"/>
    <n v="0.76201372997711669"/>
  </r>
  <r>
    <d v="2026-11-01T00:00:00"/>
    <x v="4"/>
    <x v="1"/>
    <x v="1"/>
    <x v="2"/>
    <n v="500"/>
    <n v="423"/>
    <n v="25"/>
    <n v="398"/>
    <n v="50"/>
    <n v="0.10416666666666667"/>
    <n v="90"/>
    <n v="30800"/>
    <n v="35820"/>
    <n v="5020"/>
    <n v="0.84599999999999997"/>
    <n v="5.9101654846335699E-2"/>
    <n v="0.14014517029592408"/>
    <n v="77.386934673366838"/>
    <n v="430"/>
    <n v="0.98372093023255813"/>
    <n v="12.613065326633166"/>
    <n v="0.92558139534883721"/>
  </r>
  <r>
    <d v="2026-11-01T00:00:00"/>
    <x v="4"/>
    <x v="1"/>
    <x v="2"/>
    <x v="0"/>
    <n v="450"/>
    <n v="392"/>
    <n v="30"/>
    <n v="362"/>
    <n v="71"/>
    <n v="0.14791666666666667"/>
    <n v="100"/>
    <n v="30800"/>
    <n v="36200"/>
    <n v="5400"/>
    <n v="0.87111111111111106"/>
    <n v="7.6530612244897961E-2"/>
    <n v="0.14917127071823205"/>
    <n v="85.082872928176798"/>
    <n v="409"/>
    <n v="0.95843520782396086"/>
    <n v="14.917127071823204"/>
    <n v="0.88508557457212711"/>
  </r>
  <r>
    <d v="2026-11-01T00:00:00"/>
    <x v="4"/>
    <x v="2"/>
    <x v="0"/>
    <x v="2"/>
    <n v="510"/>
    <n v="493"/>
    <n v="9"/>
    <n v="484"/>
    <n v="8"/>
    <n v="1.6666666666666666E-2"/>
    <n v="90"/>
    <n v="30800"/>
    <n v="43560"/>
    <n v="12760"/>
    <n v="0.96666666666666667"/>
    <n v="1.8255578093306288E-2"/>
    <n v="0.29292929292929293"/>
    <n v="63.636363636363633"/>
    <n v="472"/>
    <n v="1.0444915254237288"/>
    <n v="26.363636363636363"/>
    <n v="1.0254237288135593"/>
  </r>
  <r>
    <d v="2026-11-01T00:00:00"/>
    <x v="4"/>
    <x v="2"/>
    <x v="1"/>
    <x v="0"/>
    <n v="450"/>
    <n v="435"/>
    <n v="21"/>
    <n v="414"/>
    <n v="29"/>
    <n v="6.0416666666666667E-2"/>
    <n v="100"/>
    <n v="30800"/>
    <n v="41400"/>
    <n v="10600"/>
    <n v="0.96666666666666667"/>
    <n v="4.8275862068965517E-2"/>
    <n v="0.2560386473429952"/>
    <n v="74.39613526570048"/>
    <n v="451"/>
    <n v="0.96452328159645229"/>
    <n v="25.603864734299517"/>
    <n v="0.91796008869179602"/>
  </r>
  <r>
    <d v="2026-11-01T00:00:00"/>
    <x v="4"/>
    <x v="2"/>
    <x v="2"/>
    <x v="1"/>
    <n v="400"/>
    <n v="377"/>
    <n v="10"/>
    <n v="367"/>
    <n v="35"/>
    <n v="7.2916666666666671E-2"/>
    <n v="120"/>
    <n v="30800"/>
    <n v="44040"/>
    <n v="13240"/>
    <n v="0.9425"/>
    <n v="2.6525198938992044E-2"/>
    <n v="0.30063578564940963"/>
    <n v="83.923705722070849"/>
    <n v="445"/>
    <n v="0.84719101123595508"/>
    <n v="36.076294277929158"/>
    <n v="0.82471910112359548"/>
  </r>
  <r>
    <d v="2026-11-02T00:00:00"/>
    <x v="4"/>
    <x v="0"/>
    <x v="0"/>
    <x v="1"/>
    <n v="410"/>
    <n v="394"/>
    <n v="9"/>
    <n v="385"/>
    <n v="32"/>
    <n v="6.6666666666666666E-2"/>
    <n v="120"/>
    <n v="30800"/>
    <n v="46200"/>
    <n v="15400"/>
    <n v="0.96097560975609753"/>
    <n v="2.2842639593908629E-2"/>
    <n v="0.33333333333333331"/>
    <n v="80"/>
    <n v="448"/>
    <n v="0.8794642857142857"/>
    <n v="40"/>
    <n v="0.859375"/>
  </r>
  <r>
    <d v="2026-11-02T00:00:00"/>
    <x v="4"/>
    <x v="0"/>
    <x v="1"/>
    <x v="2"/>
    <n v="520"/>
    <n v="489"/>
    <n v="16"/>
    <n v="473"/>
    <n v="25"/>
    <n v="5.2083333333333336E-2"/>
    <n v="90"/>
    <n v="30800"/>
    <n v="42570"/>
    <n v="11770"/>
    <n v="0.94038461538461537"/>
    <n v="3.2719836400817999E-2"/>
    <n v="0.27648578811369506"/>
    <n v="65.116279069767444"/>
    <n v="455"/>
    <n v="1.0747252747252747"/>
    <n v="24.88372093023256"/>
    <n v="1.0395604395604396"/>
  </r>
  <r>
    <d v="2026-11-02T00:00:00"/>
    <x v="4"/>
    <x v="0"/>
    <x v="2"/>
    <x v="0"/>
    <n v="440"/>
    <n v="404"/>
    <n v="24"/>
    <n v="380"/>
    <n v="40"/>
    <n v="8.3333333333333329E-2"/>
    <n v="100"/>
    <n v="30800"/>
    <n v="38000"/>
    <n v="7200"/>
    <n v="0.91818181818181821"/>
    <n v="5.9405940594059403E-2"/>
    <n v="0.18947368421052632"/>
    <n v="81.05263157894737"/>
    <n v="440"/>
    <n v="0.91818181818181821"/>
    <n v="18.94736842105263"/>
    <n v="0.86363636363636365"/>
  </r>
  <r>
    <d v="2026-11-02T00:00:00"/>
    <x v="4"/>
    <x v="1"/>
    <x v="0"/>
    <x v="2"/>
    <n v="510"/>
    <n v="449"/>
    <n v="24"/>
    <n v="425"/>
    <n v="34"/>
    <n v="7.0833333333333331E-2"/>
    <n v="90"/>
    <n v="30800"/>
    <n v="38250"/>
    <n v="7450"/>
    <n v="0.88039215686274508"/>
    <n v="5.3452115812917596E-2"/>
    <n v="0.19477124183006536"/>
    <n v="72.470588235294116"/>
    <n v="446"/>
    <n v="1.006726457399103"/>
    <n v="17.529411764705884"/>
    <n v="0.952914798206278"/>
  </r>
  <r>
    <d v="2026-11-02T00:00:00"/>
    <x v="4"/>
    <x v="1"/>
    <x v="1"/>
    <x v="0"/>
    <n v="460"/>
    <n v="414"/>
    <n v="29"/>
    <n v="385"/>
    <n v="52"/>
    <n v="0.10833333333333334"/>
    <n v="100"/>
    <n v="30800"/>
    <n v="38500"/>
    <n v="7700"/>
    <n v="0.9"/>
    <n v="7.0048309178743967E-2"/>
    <n v="0.2"/>
    <n v="80"/>
    <n v="428"/>
    <n v="0.96728971962616828"/>
    <n v="20"/>
    <n v="0.89953271028037385"/>
  </r>
  <r>
    <d v="2026-11-02T00:00:00"/>
    <x v="4"/>
    <x v="1"/>
    <x v="2"/>
    <x v="1"/>
    <n v="400"/>
    <n v="336"/>
    <n v="18"/>
    <n v="318"/>
    <n v="67"/>
    <n v="0.13958333333333334"/>
    <n v="120"/>
    <n v="30800"/>
    <n v="38160"/>
    <n v="7360"/>
    <n v="0.84"/>
    <n v="5.3571428571428568E-2"/>
    <n v="0.19287211740041929"/>
    <n v="96.855345911949684"/>
    <n v="413"/>
    <n v="0.81355932203389836"/>
    <n v="23.144654088050313"/>
    <n v="0.76997578692493951"/>
  </r>
  <r>
    <d v="2026-11-02T00:00:00"/>
    <x v="4"/>
    <x v="2"/>
    <x v="0"/>
    <x v="0"/>
    <n v="460"/>
    <n v="427"/>
    <n v="15"/>
    <n v="412"/>
    <n v="35"/>
    <n v="7.2916666666666671E-2"/>
    <n v="100"/>
    <n v="30800"/>
    <n v="41200"/>
    <n v="10400"/>
    <n v="0.92826086956521736"/>
    <n v="3.5128805620608897E-2"/>
    <n v="0.25242718446601942"/>
    <n v="74.757281553398059"/>
    <n v="445"/>
    <n v="0.95955056179775278"/>
    <n v="25.242718446601941"/>
    <n v="0.92584269662921348"/>
  </r>
  <r>
    <d v="2026-11-02T00:00:00"/>
    <x v="4"/>
    <x v="2"/>
    <x v="1"/>
    <x v="1"/>
    <n v="410"/>
    <n v="377"/>
    <n v="8"/>
    <n v="369"/>
    <n v="31"/>
    <n v="6.458333333333334E-2"/>
    <n v="120"/>
    <n v="30800"/>
    <n v="44280"/>
    <n v="13480"/>
    <n v="0.91951219512195126"/>
    <n v="2.1220159151193633E-2"/>
    <n v="0.30442637759710928"/>
    <n v="83.468834688346888"/>
    <n v="449"/>
    <n v="0.83964365256124718"/>
    <n v="36.531165311653119"/>
    <n v="0.82182628062360796"/>
  </r>
  <r>
    <d v="2026-11-02T00:00:00"/>
    <x v="4"/>
    <x v="2"/>
    <x v="2"/>
    <x v="2"/>
    <n v="490"/>
    <n v="448"/>
    <n v="17"/>
    <n v="431"/>
    <n v="34"/>
    <n v="7.0833333333333331E-2"/>
    <n v="90"/>
    <n v="30800"/>
    <n v="38790"/>
    <n v="7990"/>
    <n v="0.91428571428571426"/>
    <n v="3.7946428571428568E-2"/>
    <n v="0.20598092291827791"/>
    <n v="71.461716937354993"/>
    <n v="446"/>
    <n v="1.0044843049327354"/>
    <n v="18.538283062645011"/>
    <n v="0.96636771300448432"/>
  </r>
  <r>
    <d v="2026-11-03T00:00:00"/>
    <x v="4"/>
    <x v="0"/>
    <x v="0"/>
    <x v="2"/>
    <n v="520"/>
    <n v="481"/>
    <n v="14"/>
    <n v="467"/>
    <n v="37"/>
    <n v="7.7083333333333337E-2"/>
    <n v="90"/>
    <n v="30800"/>
    <n v="42030"/>
    <n v="11230"/>
    <n v="0.92500000000000004"/>
    <n v="2.9106029106029108E-2"/>
    <n v="0.26719010230787532"/>
    <n v="65.952890792291214"/>
    <n v="443"/>
    <n v="1.0857787810383748"/>
    <n v="24.047109207708779"/>
    <n v="1.0541760722347631"/>
  </r>
  <r>
    <d v="2026-11-03T00:00:00"/>
    <x v="4"/>
    <x v="0"/>
    <x v="1"/>
    <x v="0"/>
    <n v="460"/>
    <n v="426"/>
    <n v="22"/>
    <n v="404"/>
    <n v="34"/>
    <n v="7.0833333333333331E-2"/>
    <n v="100"/>
    <n v="30800"/>
    <n v="40400"/>
    <n v="9600"/>
    <n v="0.92608695652173911"/>
    <n v="5.1643192488262914E-2"/>
    <n v="0.23762376237623761"/>
    <n v="76.237623762376231"/>
    <n v="446"/>
    <n v="0.95515695067264572"/>
    <n v="23.762376237623762"/>
    <n v="0.905829596412556"/>
  </r>
  <r>
    <d v="2026-11-03T00:00:00"/>
    <x v="4"/>
    <x v="0"/>
    <x v="2"/>
    <x v="1"/>
    <n v="410"/>
    <n v="358"/>
    <n v="16"/>
    <n v="342"/>
    <n v="44"/>
    <n v="9.166666666666666E-2"/>
    <n v="120"/>
    <n v="30800"/>
    <n v="41040"/>
    <n v="10240"/>
    <n v="0.87317073170731707"/>
    <n v="4.4692737430167599E-2"/>
    <n v="0.24951267056530213"/>
    <n v="90.058479532163744"/>
    <n v="436"/>
    <n v="0.82110091743119262"/>
    <n v="29.941520467836256"/>
    <n v="0.7844036697247706"/>
  </r>
  <r>
    <d v="2026-11-03T00:00:00"/>
    <x v="4"/>
    <x v="1"/>
    <x v="0"/>
    <x v="0"/>
    <n v="440"/>
    <n v="395"/>
    <n v="24"/>
    <n v="371"/>
    <n v="61"/>
    <n v="0.12708333333333333"/>
    <n v="100"/>
    <n v="30800"/>
    <n v="37100"/>
    <n v="6300"/>
    <n v="0.89772727272727271"/>
    <n v="6.0759493670886074E-2"/>
    <n v="0.16981132075471697"/>
    <n v="83.018867924528308"/>
    <n v="419"/>
    <n v="0.94272076372315039"/>
    <n v="16.981132075471699"/>
    <n v="0.88544152744630067"/>
  </r>
  <r>
    <d v="2026-11-03T00:00:00"/>
    <x v="4"/>
    <x v="1"/>
    <x v="1"/>
    <x v="1"/>
    <n v="390"/>
    <n v="332"/>
    <n v="15"/>
    <n v="317"/>
    <n v="62"/>
    <n v="0.12916666666666668"/>
    <n v="120"/>
    <n v="30800"/>
    <n v="38040"/>
    <n v="7240"/>
    <n v="0.85128205128205126"/>
    <n v="4.5180722891566265E-2"/>
    <n v="0.19032597266035753"/>
    <n v="97.160883280757105"/>
    <n v="418"/>
    <n v="0.79425837320574166"/>
    <n v="22.839116719242902"/>
    <n v="0.75837320574162681"/>
  </r>
  <r>
    <d v="2026-11-03T00:00:00"/>
    <x v="4"/>
    <x v="1"/>
    <x v="2"/>
    <x v="2"/>
    <n v="480"/>
    <n v="404"/>
    <n v="25"/>
    <n v="379"/>
    <n v="44"/>
    <n v="9.166666666666666E-2"/>
    <n v="90"/>
    <n v="30800"/>
    <n v="34110"/>
    <n v="3310"/>
    <n v="0.84166666666666667"/>
    <n v="6.1881188118811881E-2"/>
    <n v="9.7038991498094404E-2"/>
    <n v="81.266490765171497"/>
    <n v="436"/>
    <n v="0.92660550458715596"/>
    <n v="8.7335092348284959"/>
    <n v="0.86926605504587151"/>
  </r>
  <r>
    <d v="2026-11-03T00:00:00"/>
    <x v="4"/>
    <x v="2"/>
    <x v="0"/>
    <x v="1"/>
    <n v="410"/>
    <n v="384"/>
    <n v="9"/>
    <n v="375"/>
    <n v="25"/>
    <n v="5.2083333333333336E-2"/>
    <n v="120"/>
    <n v="30800"/>
    <n v="45000"/>
    <n v="14200"/>
    <n v="0.93658536585365859"/>
    <n v="2.34375E-2"/>
    <n v="0.31555555555555553"/>
    <n v="82.13333333333334"/>
    <n v="455"/>
    <n v="0.84395604395604396"/>
    <n v="37.866666666666667"/>
    <n v="0.82417582417582413"/>
  </r>
  <r>
    <d v="2026-11-03T00:00:00"/>
    <x v="4"/>
    <x v="2"/>
    <x v="1"/>
    <x v="2"/>
    <n v="500"/>
    <n v="459"/>
    <n v="15"/>
    <n v="444"/>
    <n v="19"/>
    <n v="3.9583333333333331E-2"/>
    <n v="90"/>
    <n v="30800"/>
    <n v="39960"/>
    <n v="9160"/>
    <n v="0.91800000000000004"/>
    <n v="3.2679738562091505E-2"/>
    <n v="0.22922922922922923"/>
    <n v="69.369369369369366"/>
    <n v="461"/>
    <n v="0.99566160520607372"/>
    <n v="20.63063063063063"/>
    <n v="0.96312364425162689"/>
  </r>
  <r>
    <d v="2026-11-03T00:00:00"/>
    <x v="4"/>
    <x v="2"/>
    <x v="2"/>
    <x v="0"/>
    <n v="440"/>
    <n v="405"/>
    <n v="23"/>
    <n v="382"/>
    <n v="34"/>
    <n v="7.0833333333333331E-2"/>
    <n v="100"/>
    <n v="30800"/>
    <n v="38200"/>
    <n v="7400"/>
    <n v="0.92045454545454541"/>
    <n v="5.6790123456790124E-2"/>
    <n v="0.193717277486911"/>
    <n v="80.6282722513089"/>
    <n v="446"/>
    <n v="0.90807174887892372"/>
    <n v="19.3717277486911"/>
    <n v="0.8565022421524664"/>
  </r>
  <r>
    <d v="2026-11-04T00:00:00"/>
    <x v="4"/>
    <x v="0"/>
    <x v="0"/>
    <x v="0"/>
    <n v="440"/>
    <n v="398"/>
    <n v="17"/>
    <n v="381"/>
    <n v="27"/>
    <n v="5.6250000000000001E-2"/>
    <n v="100"/>
    <n v="30800"/>
    <n v="38100"/>
    <n v="7300"/>
    <n v="0.90454545454545454"/>
    <n v="4.2713567839195977E-2"/>
    <n v="0.19160104986876642"/>
    <n v="80.839895013123353"/>
    <n v="453"/>
    <n v="0.87858719646799122"/>
    <n v="19.16010498687664"/>
    <n v="0.84105960264900659"/>
  </r>
  <r>
    <d v="2026-11-04T00:00:00"/>
    <x v="4"/>
    <x v="0"/>
    <x v="1"/>
    <x v="1"/>
    <n v="410"/>
    <n v="386"/>
    <n v="11"/>
    <n v="375"/>
    <n v="27"/>
    <n v="5.6250000000000001E-2"/>
    <n v="120"/>
    <n v="30800"/>
    <n v="45000"/>
    <n v="14200"/>
    <n v="0.94146341463414629"/>
    <n v="2.8497409326424871E-2"/>
    <n v="0.31555555555555553"/>
    <n v="82.13333333333334"/>
    <n v="453"/>
    <n v="0.85209713024282563"/>
    <n v="37.866666666666667"/>
    <n v="0.82781456953642385"/>
  </r>
  <r>
    <d v="2026-11-04T00:00:00"/>
    <x v="4"/>
    <x v="0"/>
    <x v="2"/>
    <x v="2"/>
    <n v="480"/>
    <n v="442"/>
    <n v="17"/>
    <n v="425"/>
    <n v="35"/>
    <n v="7.2916666666666671E-2"/>
    <n v="90"/>
    <n v="30800"/>
    <n v="38250"/>
    <n v="7450"/>
    <n v="0.92083333333333328"/>
    <n v="3.8461538461538464E-2"/>
    <n v="0.19477124183006536"/>
    <n v="72.470588235294116"/>
    <n v="445"/>
    <n v="0.99325842696629218"/>
    <n v="17.529411764705884"/>
    <n v="0.9550561797752809"/>
  </r>
  <r>
    <d v="2026-11-04T00:00:00"/>
    <x v="4"/>
    <x v="1"/>
    <x v="0"/>
    <x v="1"/>
    <n v="410"/>
    <n v="366"/>
    <n v="17"/>
    <n v="349"/>
    <n v="53"/>
    <n v="0.11041666666666666"/>
    <n v="120"/>
    <n v="30800"/>
    <n v="41880"/>
    <n v="11080"/>
    <n v="0.89268292682926831"/>
    <n v="4.6448087431693992E-2"/>
    <n v="0.26456542502387775"/>
    <n v="88.252148997134668"/>
    <n v="427"/>
    <n v="0.8571428571428571"/>
    <n v="31.747851002865328"/>
    <n v="0.81733021077283374"/>
  </r>
  <r>
    <d v="2026-11-04T00:00:00"/>
    <x v="4"/>
    <x v="1"/>
    <x v="1"/>
    <x v="2"/>
    <n v="520"/>
    <n v="461"/>
    <n v="24"/>
    <n v="437"/>
    <n v="39"/>
    <n v="8.1250000000000003E-2"/>
    <n v="90"/>
    <n v="30800"/>
    <n v="39330"/>
    <n v="8530"/>
    <n v="0.8865384615384615"/>
    <n v="5.2060737527114966E-2"/>
    <n v="0.21688278667683702"/>
    <n v="70.480549199084663"/>
    <n v="441"/>
    <n v="1.0453514739229024"/>
    <n v="19.519450800915333"/>
    <n v="0.99092970521541945"/>
  </r>
  <r>
    <d v="2026-11-04T00:00:00"/>
    <x v="4"/>
    <x v="1"/>
    <x v="2"/>
    <x v="0"/>
    <n v="460"/>
    <n v="382"/>
    <n v="31"/>
    <n v="351"/>
    <n v="56"/>
    <n v="0.11666666666666667"/>
    <n v="100"/>
    <n v="30800"/>
    <n v="35100"/>
    <n v="4300"/>
    <n v="0.83043478260869563"/>
    <n v="8.1151832460732987E-2"/>
    <n v="0.12250712250712251"/>
    <n v="87.749287749287745"/>
    <n v="424"/>
    <n v="0.90094339622641506"/>
    <n v="12.250712250712251"/>
    <n v="0.82783018867924529"/>
  </r>
  <r>
    <d v="2026-11-04T00:00:00"/>
    <x v="4"/>
    <x v="2"/>
    <x v="0"/>
    <x v="2"/>
    <n v="510"/>
    <n v="472"/>
    <n v="12"/>
    <n v="460"/>
    <n v="8"/>
    <n v="1.6666666666666666E-2"/>
    <n v="90"/>
    <n v="30800"/>
    <n v="41400"/>
    <n v="10600"/>
    <n v="0.92549019607843142"/>
    <n v="2.5423728813559324E-2"/>
    <n v="0.2560386473429952"/>
    <n v="66.956521739130437"/>
    <n v="472"/>
    <n v="1"/>
    <n v="23.043478260869566"/>
    <n v="0.97457627118644063"/>
  </r>
  <r>
    <d v="2026-11-04T00:00:00"/>
    <x v="4"/>
    <x v="2"/>
    <x v="1"/>
    <x v="0"/>
    <n v="440"/>
    <n v="412"/>
    <n v="16"/>
    <n v="396"/>
    <n v="28"/>
    <n v="5.8333333333333334E-2"/>
    <n v="100"/>
    <n v="30800"/>
    <n v="39600"/>
    <n v="8800"/>
    <n v="0.9363636363636364"/>
    <n v="3.8834951456310676E-2"/>
    <n v="0.22222222222222221"/>
    <n v="77.777777777777771"/>
    <n v="452"/>
    <n v="0.91150442477876104"/>
    <n v="22.222222222222221"/>
    <n v="0.87610619469026552"/>
  </r>
  <r>
    <d v="2026-11-04T00:00:00"/>
    <x v="4"/>
    <x v="2"/>
    <x v="2"/>
    <x v="1"/>
    <n v="390"/>
    <n v="357"/>
    <n v="15"/>
    <n v="342"/>
    <n v="39"/>
    <n v="8.1250000000000003E-2"/>
    <n v="120"/>
    <n v="30800"/>
    <n v="41040"/>
    <n v="10240"/>
    <n v="0.91538461538461535"/>
    <n v="4.2016806722689079E-2"/>
    <n v="0.24951267056530213"/>
    <n v="90.058479532163744"/>
    <n v="441"/>
    <n v="0.80952380952380953"/>
    <n v="29.941520467836256"/>
    <n v="0.77551020408163263"/>
  </r>
  <r>
    <d v="2026-11-05T00:00:00"/>
    <x v="4"/>
    <x v="0"/>
    <x v="0"/>
    <x v="1"/>
    <n v="400"/>
    <n v="377"/>
    <n v="13"/>
    <n v="364"/>
    <n v="40"/>
    <n v="8.3333333333333329E-2"/>
    <n v="120"/>
    <n v="30800"/>
    <n v="43680"/>
    <n v="12880"/>
    <n v="0.9425"/>
    <n v="3.4482758620689655E-2"/>
    <n v="0.29487179487179488"/>
    <n v="84.615384615384613"/>
    <n v="440"/>
    <n v="0.85681818181818181"/>
    <n v="35.384615384615387"/>
    <n v="0.82727272727272727"/>
  </r>
  <r>
    <d v="2026-11-05T00:00:00"/>
    <x v="4"/>
    <x v="0"/>
    <x v="1"/>
    <x v="2"/>
    <n v="500"/>
    <n v="471"/>
    <n v="16"/>
    <n v="455"/>
    <n v="38"/>
    <n v="7.9166666666666663E-2"/>
    <n v="90"/>
    <n v="30800"/>
    <n v="40950"/>
    <n v="10150"/>
    <n v="0.94199999999999995"/>
    <n v="3.3970276008492568E-2"/>
    <n v="0.24786324786324787"/>
    <n v="67.692307692307693"/>
    <n v="442"/>
    <n v="1.0656108597285068"/>
    <n v="22.307692307692307"/>
    <n v="1.0294117647058822"/>
  </r>
  <r>
    <d v="2026-11-05T00:00:00"/>
    <x v="4"/>
    <x v="0"/>
    <x v="2"/>
    <x v="0"/>
    <n v="440"/>
    <n v="382"/>
    <n v="22"/>
    <n v="360"/>
    <n v="52"/>
    <n v="0.10833333333333334"/>
    <n v="100"/>
    <n v="30800"/>
    <n v="36000"/>
    <n v="5200"/>
    <n v="0.86818181818181817"/>
    <n v="5.7591623036649213E-2"/>
    <n v="0.14444444444444443"/>
    <n v="85.555555555555557"/>
    <n v="428"/>
    <n v="0.89252336448598135"/>
    <n v="14.444444444444445"/>
    <n v="0.84112149532710279"/>
  </r>
  <r>
    <d v="2026-11-05T00:00:00"/>
    <x v="4"/>
    <x v="1"/>
    <x v="0"/>
    <x v="2"/>
    <n v="500"/>
    <n v="450"/>
    <n v="25"/>
    <n v="425"/>
    <n v="38"/>
    <n v="7.9166666666666663E-2"/>
    <n v="90"/>
    <n v="30800"/>
    <n v="38250"/>
    <n v="7450"/>
    <n v="0.9"/>
    <n v="5.5555555555555552E-2"/>
    <n v="0.19477124183006536"/>
    <n v="72.470588235294116"/>
    <n v="442"/>
    <n v="1.0180995475113122"/>
    <n v="17.529411764705884"/>
    <n v="0.96153846153846156"/>
  </r>
  <r>
    <d v="2026-11-05T00:00:00"/>
    <x v="4"/>
    <x v="1"/>
    <x v="1"/>
    <x v="0"/>
    <n v="470"/>
    <n v="395"/>
    <n v="23"/>
    <n v="372"/>
    <n v="68"/>
    <n v="0.14166666666666666"/>
    <n v="100"/>
    <n v="30800"/>
    <n v="37200"/>
    <n v="6400"/>
    <n v="0.84042553191489366"/>
    <n v="5.8227848101265821E-2"/>
    <n v="0.17204301075268819"/>
    <n v="82.795698924731184"/>
    <n v="412"/>
    <n v="0.95873786407766992"/>
    <n v="17.204301075268816"/>
    <n v="0.90291262135922334"/>
  </r>
  <r>
    <d v="2026-11-05T00:00:00"/>
    <x v="4"/>
    <x v="1"/>
    <x v="2"/>
    <x v="1"/>
    <n v="410"/>
    <n v="338"/>
    <n v="21"/>
    <n v="317"/>
    <n v="62"/>
    <n v="0.12916666666666668"/>
    <n v="120"/>
    <n v="30800"/>
    <n v="38040"/>
    <n v="7240"/>
    <n v="0.82439024390243898"/>
    <n v="6.2130177514792898E-2"/>
    <n v="0.19032597266035753"/>
    <n v="97.160883280757105"/>
    <n v="418"/>
    <n v="0.80861244019138756"/>
    <n v="22.839116719242902"/>
    <n v="0.75837320574162681"/>
  </r>
  <r>
    <d v="2026-11-05T00:00:00"/>
    <x v="4"/>
    <x v="2"/>
    <x v="0"/>
    <x v="0"/>
    <n v="430"/>
    <n v="405"/>
    <n v="17"/>
    <n v="388"/>
    <n v="21"/>
    <n v="4.3749999999999997E-2"/>
    <n v="100"/>
    <n v="30800"/>
    <n v="38800"/>
    <n v="8000"/>
    <n v="0.94186046511627908"/>
    <n v="4.1975308641975309E-2"/>
    <n v="0.20618556701030927"/>
    <n v="79.381443298969074"/>
    <n v="459"/>
    <n v="0.88235294117647056"/>
    <n v="20.618556701030929"/>
    <n v="0.84531590413943358"/>
  </r>
  <r>
    <d v="2026-11-05T00:00:00"/>
    <x v="4"/>
    <x v="2"/>
    <x v="1"/>
    <x v="1"/>
    <n v="400"/>
    <n v="381"/>
    <n v="9"/>
    <n v="372"/>
    <n v="19"/>
    <n v="3.9583333333333331E-2"/>
    <n v="120"/>
    <n v="30800"/>
    <n v="44640"/>
    <n v="13840"/>
    <n v="0.95250000000000001"/>
    <n v="2.3622047244094488E-2"/>
    <n v="0.31003584229390679"/>
    <n v="82.795698924731184"/>
    <n v="461"/>
    <n v="0.82646420824295008"/>
    <n v="37.204301075268816"/>
    <n v="0.80694143167028198"/>
  </r>
  <r>
    <d v="2026-11-05T00:00:00"/>
    <x v="4"/>
    <x v="2"/>
    <x v="2"/>
    <x v="2"/>
    <n v="490"/>
    <n v="448"/>
    <n v="19"/>
    <n v="429"/>
    <n v="21"/>
    <n v="4.3749999999999997E-2"/>
    <n v="90"/>
    <n v="30800"/>
    <n v="38610"/>
    <n v="7810"/>
    <n v="0.91428571428571426"/>
    <n v="4.2410714285714288E-2"/>
    <n v="0.20227920227920229"/>
    <n v="71.794871794871796"/>
    <n v="459"/>
    <n v="0.97603485838779958"/>
    <n v="18.205128205128204"/>
    <n v="0.934640522875817"/>
  </r>
  <r>
    <d v="2026-11-06T00:00:00"/>
    <x v="4"/>
    <x v="0"/>
    <x v="0"/>
    <x v="2"/>
    <n v="490"/>
    <n v="463"/>
    <n v="16"/>
    <n v="447"/>
    <n v="13"/>
    <n v="2.7083333333333334E-2"/>
    <n v="90"/>
    <n v="30800"/>
    <n v="40230"/>
    <n v="9430"/>
    <n v="0.94489795918367347"/>
    <n v="3.4557235421166309E-2"/>
    <n v="0.23440218742232166"/>
    <n v="68.903803131991054"/>
    <n v="467"/>
    <n v="0.99143468950749469"/>
    <n v="21.096196868008949"/>
    <n v="0.95717344753747324"/>
  </r>
  <r>
    <d v="2026-11-06T00:00:00"/>
    <x v="4"/>
    <x v="0"/>
    <x v="1"/>
    <x v="0"/>
    <n v="440"/>
    <n v="414"/>
    <n v="23"/>
    <n v="391"/>
    <n v="45"/>
    <n v="9.375E-2"/>
    <n v="100"/>
    <n v="30800"/>
    <n v="39100"/>
    <n v="8300"/>
    <n v="0.94090909090909092"/>
    <n v="5.5555555555555552E-2"/>
    <n v="0.21227621483375958"/>
    <n v="78.772378516624045"/>
    <n v="435"/>
    <n v="0.9517241379310345"/>
    <n v="21.227621483375959"/>
    <n v="0.89885057471264362"/>
  </r>
  <r>
    <d v="2026-11-06T00:00:00"/>
    <x v="4"/>
    <x v="0"/>
    <x v="2"/>
    <x v="1"/>
    <n v="410"/>
    <n v="369"/>
    <n v="15"/>
    <n v="354"/>
    <n v="51"/>
    <n v="0.10625"/>
    <n v="120"/>
    <n v="30800"/>
    <n v="42480"/>
    <n v="11680"/>
    <n v="0.9"/>
    <n v="4.065040650406504E-2"/>
    <n v="0.27495291902071561"/>
    <n v="87.005649717514117"/>
    <n v="429"/>
    <n v="0.8601398601398601"/>
    <n v="32.994350282485875"/>
    <n v="0.82517482517482521"/>
  </r>
  <r>
    <d v="2026-11-06T00:00:00"/>
    <x v="4"/>
    <x v="1"/>
    <x v="0"/>
    <x v="0"/>
    <n v="460"/>
    <n v="406"/>
    <n v="24"/>
    <n v="382"/>
    <n v="54"/>
    <n v="0.1125"/>
    <n v="100"/>
    <n v="30800"/>
    <n v="38200"/>
    <n v="7400"/>
    <n v="0.88260869565217392"/>
    <n v="5.9113300492610835E-2"/>
    <n v="0.193717277486911"/>
    <n v="80.6282722513089"/>
    <n v="426"/>
    <n v="0.95305164319248825"/>
    <n v="19.3717277486911"/>
    <n v="0.89671361502347413"/>
  </r>
  <r>
    <d v="2026-11-06T00:00:00"/>
    <x v="4"/>
    <x v="1"/>
    <x v="1"/>
    <x v="1"/>
    <n v="410"/>
    <n v="352"/>
    <n v="19"/>
    <n v="333"/>
    <n v="53"/>
    <n v="0.11041666666666666"/>
    <n v="120"/>
    <n v="30800"/>
    <n v="39960"/>
    <n v="9160"/>
    <n v="0.85853658536585364"/>
    <n v="5.3977272727272728E-2"/>
    <n v="0.22922922922922923"/>
    <n v="92.492492492492488"/>
    <n v="427"/>
    <n v="0.82435597189695553"/>
    <n v="27.507507507507508"/>
    <n v="0.77985948477751754"/>
  </r>
  <r>
    <d v="2026-11-06T00:00:00"/>
    <x v="4"/>
    <x v="1"/>
    <x v="2"/>
    <x v="2"/>
    <n v="500"/>
    <n v="412"/>
    <n v="27"/>
    <n v="385"/>
    <n v="55"/>
    <n v="0.11458333333333333"/>
    <n v="90"/>
    <n v="30800"/>
    <n v="34650"/>
    <n v="3850"/>
    <n v="0.82399999999999995"/>
    <n v="6.553398058252427E-2"/>
    <n v="0.1111111111111111"/>
    <n v="80"/>
    <n v="425"/>
    <n v="0.96941176470588231"/>
    <n v="10"/>
    <n v="0.90588235294117647"/>
  </r>
  <r>
    <d v="2026-11-06T00:00:00"/>
    <x v="4"/>
    <x v="2"/>
    <x v="0"/>
    <x v="1"/>
    <n v="420"/>
    <n v="394"/>
    <n v="6"/>
    <n v="388"/>
    <n v="22"/>
    <n v="4.583333333333333E-2"/>
    <n v="120"/>
    <n v="30800"/>
    <n v="46560"/>
    <n v="15760"/>
    <n v="0.93809523809523809"/>
    <n v="1.5228426395939087E-2"/>
    <n v="0.33848797250859108"/>
    <n v="79.381443298969074"/>
    <n v="458"/>
    <n v="0.86026200873362446"/>
    <n v="40.618556701030926"/>
    <n v="0.84716157205240172"/>
  </r>
  <r>
    <d v="2026-11-06T00:00:00"/>
    <x v="4"/>
    <x v="2"/>
    <x v="1"/>
    <x v="2"/>
    <n v="500"/>
    <n v="460"/>
    <n v="15"/>
    <n v="445"/>
    <n v="17"/>
    <n v="3.5416666666666666E-2"/>
    <n v="90"/>
    <n v="30800"/>
    <n v="40050"/>
    <n v="9250"/>
    <n v="0.92"/>
    <n v="3.2608695652173912E-2"/>
    <n v="0.23096129837702872"/>
    <n v="69.213483146067418"/>
    <n v="463"/>
    <n v="0.99352051835853128"/>
    <n v="20.786516853932586"/>
    <n v="0.9611231101511879"/>
  </r>
  <r>
    <d v="2026-11-06T00:00:00"/>
    <x v="4"/>
    <x v="2"/>
    <x v="2"/>
    <x v="0"/>
    <n v="440"/>
    <n v="408"/>
    <n v="20"/>
    <n v="388"/>
    <n v="38"/>
    <n v="7.9166666666666663E-2"/>
    <n v="100"/>
    <n v="30800"/>
    <n v="38800"/>
    <n v="8000"/>
    <n v="0.92727272727272725"/>
    <n v="4.9019607843137254E-2"/>
    <n v="0.20618556701030927"/>
    <n v="79.381443298969074"/>
    <n v="442"/>
    <n v="0.92307692307692313"/>
    <n v="20.618556701030929"/>
    <n v="0.87782805429864252"/>
  </r>
  <r>
    <d v="2026-11-07T00:00:00"/>
    <x v="4"/>
    <x v="0"/>
    <x v="0"/>
    <x v="0"/>
    <n v="440"/>
    <n v="398"/>
    <n v="20"/>
    <n v="378"/>
    <n v="34"/>
    <n v="7.0833333333333331E-2"/>
    <n v="100"/>
    <n v="30800"/>
    <n v="37800"/>
    <n v="7000"/>
    <n v="0.90454545454545454"/>
    <n v="5.0251256281407038E-2"/>
    <n v="0.18518518518518517"/>
    <n v="81.481481481481481"/>
    <n v="446"/>
    <n v="0.8923766816143498"/>
    <n v="18.518518518518519"/>
    <n v="0.84753363228699552"/>
  </r>
  <r>
    <d v="2026-11-07T00:00:00"/>
    <x v="4"/>
    <x v="0"/>
    <x v="1"/>
    <x v="1"/>
    <n v="410"/>
    <n v="373"/>
    <n v="12"/>
    <n v="361"/>
    <n v="30"/>
    <n v="6.25E-2"/>
    <n v="120"/>
    <n v="30800"/>
    <n v="43320"/>
    <n v="12520"/>
    <n v="0.90975609756097564"/>
    <n v="3.2171581769436998E-2"/>
    <n v="0.28901200369344415"/>
    <n v="85.31855955678671"/>
    <n v="450"/>
    <n v="0.8288888888888889"/>
    <n v="34.681440443213297"/>
    <n v="0.80222222222222217"/>
  </r>
  <r>
    <d v="2026-11-07T00:00:00"/>
    <x v="4"/>
    <x v="0"/>
    <x v="2"/>
    <x v="2"/>
    <n v="490"/>
    <n v="423"/>
    <n v="17"/>
    <n v="406"/>
    <n v="28"/>
    <n v="5.8333333333333334E-2"/>
    <n v="90"/>
    <n v="30800"/>
    <n v="36540"/>
    <n v="5740"/>
    <n v="0.86326530612244901"/>
    <n v="4.0189125295508277E-2"/>
    <n v="0.15708812260536398"/>
    <n v="75.862068965517238"/>
    <n v="452"/>
    <n v="0.93584070796460173"/>
    <n v="14.137931034482758"/>
    <n v="0.89823008849557517"/>
  </r>
  <r>
    <d v="2026-11-07T00:00:00"/>
    <x v="4"/>
    <x v="1"/>
    <x v="0"/>
    <x v="1"/>
    <n v="400"/>
    <n v="359"/>
    <n v="19"/>
    <n v="340"/>
    <n v="40"/>
    <n v="8.3333333333333329E-2"/>
    <n v="120"/>
    <n v="30800"/>
    <n v="40800"/>
    <n v="10000"/>
    <n v="0.89749999999999996"/>
    <n v="5.2924791086350974E-2"/>
    <n v="0.24509803921568626"/>
    <n v="90.588235294117652"/>
    <n v="440"/>
    <n v="0.81590909090909092"/>
    <n v="29.411764705882351"/>
    <n v="0.77272727272727271"/>
  </r>
  <r>
    <d v="2026-11-07T00:00:00"/>
    <x v="4"/>
    <x v="1"/>
    <x v="1"/>
    <x v="2"/>
    <n v="490"/>
    <n v="426"/>
    <n v="26"/>
    <n v="400"/>
    <n v="47"/>
    <n v="9.7916666666666666E-2"/>
    <n v="90"/>
    <n v="30800"/>
    <n v="36000"/>
    <n v="5200"/>
    <n v="0.8693877551020408"/>
    <n v="6.1032863849765258E-2"/>
    <n v="0.14444444444444443"/>
    <n v="77"/>
    <n v="433"/>
    <n v="0.9838337182448037"/>
    <n v="13"/>
    <n v="0.92378752886836024"/>
  </r>
  <r>
    <d v="2026-11-07T00:00:00"/>
    <x v="4"/>
    <x v="1"/>
    <x v="2"/>
    <x v="0"/>
    <n v="440"/>
    <n v="380"/>
    <n v="30"/>
    <n v="350"/>
    <n v="70"/>
    <n v="0.14583333333333334"/>
    <n v="100"/>
    <n v="30800"/>
    <n v="35000"/>
    <n v="4200"/>
    <n v="0.86363636363636365"/>
    <n v="7.8947368421052627E-2"/>
    <n v="0.12"/>
    <n v="88"/>
    <n v="410"/>
    <n v="0.92682926829268297"/>
    <n v="12"/>
    <n v="0.85365853658536583"/>
  </r>
  <r>
    <d v="2026-11-07T00:00:00"/>
    <x v="4"/>
    <x v="2"/>
    <x v="0"/>
    <x v="2"/>
    <n v="520"/>
    <n v="485"/>
    <n v="9"/>
    <n v="476"/>
    <n v="17"/>
    <n v="3.5416666666666666E-2"/>
    <n v="90"/>
    <n v="30800"/>
    <n v="42840"/>
    <n v="12040"/>
    <n v="0.93269230769230771"/>
    <n v="1.8556701030927835E-2"/>
    <n v="0.28104575163398693"/>
    <n v="64.705882352941174"/>
    <n v="463"/>
    <n v="1.0475161987041037"/>
    <n v="25.294117647058822"/>
    <n v="1.0280777537796977"/>
  </r>
  <r>
    <d v="2026-11-07T00:00:00"/>
    <x v="4"/>
    <x v="2"/>
    <x v="1"/>
    <x v="0"/>
    <n v="440"/>
    <n v="409"/>
    <n v="15"/>
    <n v="394"/>
    <n v="41"/>
    <n v="8.5416666666666669E-2"/>
    <n v="100"/>
    <n v="30800"/>
    <n v="39400"/>
    <n v="8600"/>
    <n v="0.92954545454545456"/>
    <n v="3.6674816625916873E-2"/>
    <n v="0.21827411167512689"/>
    <n v="78.172588832487307"/>
    <n v="439"/>
    <n v="0.93166287015945326"/>
    <n v="21.82741116751269"/>
    <n v="0.89749430523917995"/>
  </r>
  <r>
    <d v="2026-11-07T00:00:00"/>
    <x v="4"/>
    <x v="2"/>
    <x v="2"/>
    <x v="1"/>
    <n v="390"/>
    <n v="364"/>
    <n v="10"/>
    <n v="354"/>
    <n v="47"/>
    <n v="9.7916666666666666E-2"/>
    <n v="120"/>
    <n v="30800"/>
    <n v="42480"/>
    <n v="11680"/>
    <n v="0.93333333333333335"/>
    <n v="2.7472527472527472E-2"/>
    <n v="0.27495291902071561"/>
    <n v="87.005649717514117"/>
    <n v="433"/>
    <n v="0.84064665127020788"/>
    <n v="32.994350282485875"/>
    <n v="0.81755196304849886"/>
  </r>
  <r>
    <d v="2026-11-08T00:00:00"/>
    <x v="4"/>
    <x v="0"/>
    <x v="0"/>
    <x v="1"/>
    <n v="410"/>
    <n v="370"/>
    <n v="12"/>
    <n v="358"/>
    <n v="38"/>
    <n v="7.9166666666666663E-2"/>
    <n v="120"/>
    <n v="30800"/>
    <n v="42960"/>
    <n v="12160"/>
    <n v="0.90243902439024393"/>
    <n v="3.2432432432432434E-2"/>
    <n v="0.28305400372439476"/>
    <n v="86.033519553072622"/>
    <n v="442"/>
    <n v="0.83710407239819007"/>
    <n v="33.966480446927378"/>
    <n v="0.80995475113122173"/>
  </r>
  <r>
    <d v="2026-11-08T00:00:00"/>
    <x v="4"/>
    <x v="0"/>
    <x v="1"/>
    <x v="2"/>
    <n v="490"/>
    <n v="442"/>
    <n v="15"/>
    <n v="427"/>
    <n v="30"/>
    <n v="6.25E-2"/>
    <n v="90"/>
    <n v="30800"/>
    <n v="38430"/>
    <n v="7630"/>
    <n v="0.90204081632653066"/>
    <n v="3.3936651583710405E-2"/>
    <n v="0.19854280510018216"/>
    <n v="72.131147540983605"/>
    <n v="450"/>
    <n v="0.98222222222222222"/>
    <n v="17.868852459016395"/>
    <n v="0.94888888888888889"/>
  </r>
  <r>
    <d v="2026-11-08T00:00:00"/>
    <x v="4"/>
    <x v="0"/>
    <x v="2"/>
    <x v="0"/>
    <n v="460"/>
    <n v="403"/>
    <n v="21"/>
    <n v="382"/>
    <n v="39"/>
    <n v="8.1250000000000003E-2"/>
    <n v="100"/>
    <n v="30800"/>
    <n v="38200"/>
    <n v="7400"/>
    <n v="0.87608695652173918"/>
    <n v="5.2109181141439205E-2"/>
    <n v="0.193717277486911"/>
    <n v="80.6282722513089"/>
    <n v="441"/>
    <n v="0.91383219954648531"/>
    <n v="19.3717277486911"/>
    <n v="0.86621315192743764"/>
  </r>
  <r>
    <d v="2026-11-08T00:00:00"/>
    <x v="4"/>
    <x v="1"/>
    <x v="0"/>
    <x v="2"/>
    <n v="520"/>
    <n v="460"/>
    <n v="20"/>
    <n v="440"/>
    <n v="48"/>
    <n v="0.1"/>
    <n v="90"/>
    <n v="30800"/>
    <n v="39600"/>
    <n v="8800"/>
    <n v="0.88461538461538458"/>
    <n v="4.3478260869565216E-2"/>
    <n v="0.22222222222222221"/>
    <n v="70"/>
    <n v="432"/>
    <n v="1.0648148148148149"/>
    <n v="20"/>
    <n v="1.0185185185185186"/>
  </r>
  <r>
    <d v="2026-11-08T00:00:00"/>
    <x v="4"/>
    <x v="1"/>
    <x v="1"/>
    <x v="0"/>
    <n v="450"/>
    <n v="385"/>
    <n v="29"/>
    <n v="356"/>
    <n v="57"/>
    <n v="0.11874999999999999"/>
    <n v="100"/>
    <n v="30800"/>
    <n v="35600"/>
    <n v="4800"/>
    <n v="0.85555555555555551"/>
    <n v="7.5324675324675322E-2"/>
    <n v="0.1348314606741573"/>
    <n v="86.516853932584269"/>
    <n v="423"/>
    <n v="0.91016548463356972"/>
    <n v="13.48314606741573"/>
    <n v="0.84160756501182032"/>
  </r>
  <r>
    <d v="2026-11-08T00:00:00"/>
    <x v="4"/>
    <x v="1"/>
    <x v="2"/>
    <x v="1"/>
    <n v="390"/>
    <n v="318"/>
    <n v="19"/>
    <n v="299"/>
    <n v="59"/>
    <n v="0.12291666666666666"/>
    <n v="120"/>
    <n v="30800"/>
    <n v="35880"/>
    <n v="5080"/>
    <n v="0.81538461538461537"/>
    <n v="5.9748427672955975E-2"/>
    <n v="0.14158305462653289"/>
    <n v="103.01003344481606"/>
    <n v="421"/>
    <n v="0.75534441805225649"/>
    <n v="16.989966555183948"/>
    <n v="0.7102137767220903"/>
  </r>
  <r>
    <d v="2026-11-08T00:00:00"/>
    <x v="4"/>
    <x v="2"/>
    <x v="0"/>
    <x v="0"/>
    <n v="450"/>
    <n v="418"/>
    <n v="16"/>
    <n v="402"/>
    <n v="36"/>
    <n v="7.4999999999999997E-2"/>
    <n v="100"/>
    <n v="30800"/>
    <n v="40200"/>
    <n v="9400"/>
    <n v="0.92888888888888888"/>
    <n v="3.8277511961722487E-2"/>
    <n v="0.23383084577114427"/>
    <n v="76.616915422885569"/>
    <n v="444"/>
    <n v="0.94144144144144148"/>
    <n v="23.383084577114428"/>
    <n v="0.90540540540540537"/>
  </r>
  <r>
    <d v="2026-11-08T00:00:00"/>
    <x v="4"/>
    <x v="2"/>
    <x v="1"/>
    <x v="1"/>
    <n v="390"/>
    <n v="356"/>
    <n v="9"/>
    <n v="347"/>
    <n v="22"/>
    <n v="4.583333333333333E-2"/>
    <n v="120"/>
    <n v="30800"/>
    <n v="41640"/>
    <n v="10840"/>
    <n v="0.9128205128205128"/>
    <n v="2.5280898876404494E-2"/>
    <n v="0.26032660902977905"/>
    <n v="88.760806916426517"/>
    <n v="458"/>
    <n v="0.77729257641921401"/>
    <n v="31.239193083573486"/>
    <n v="0.75764192139737996"/>
  </r>
  <r>
    <d v="2026-11-08T00:00:00"/>
    <x v="4"/>
    <x v="2"/>
    <x v="2"/>
    <x v="2"/>
    <n v="520"/>
    <n v="477"/>
    <n v="20"/>
    <n v="457"/>
    <n v="32"/>
    <n v="6.6666666666666666E-2"/>
    <n v="90"/>
    <n v="30800"/>
    <n v="41130"/>
    <n v="10330"/>
    <n v="0.91730769230769227"/>
    <n v="4.1928721174004195E-2"/>
    <n v="0.2511548747872599"/>
    <n v="67.396061269146614"/>
    <n v="448"/>
    <n v="1.0647321428571428"/>
    <n v="22.603938730853393"/>
    <n v="1.0200892857142858"/>
  </r>
  <r>
    <d v="2026-11-09T00:00:00"/>
    <x v="4"/>
    <x v="0"/>
    <x v="0"/>
    <x v="2"/>
    <n v="490"/>
    <n v="451"/>
    <n v="12"/>
    <n v="439"/>
    <n v="37"/>
    <n v="7.7083333333333337E-2"/>
    <n v="90"/>
    <n v="30800"/>
    <n v="39510"/>
    <n v="8710"/>
    <n v="0.92040816326530617"/>
    <n v="2.6607538802660754E-2"/>
    <n v="0.22045051885598582"/>
    <n v="70.159453302961282"/>
    <n v="443"/>
    <n v="1.0180586907449209"/>
    <n v="19.840546697038725"/>
    <n v="0.99097065462753953"/>
  </r>
  <r>
    <d v="2026-11-09T00:00:00"/>
    <x v="4"/>
    <x v="0"/>
    <x v="1"/>
    <x v="0"/>
    <n v="460"/>
    <n v="412"/>
    <n v="23"/>
    <n v="389"/>
    <n v="54"/>
    <n v="0.1125"/>
    <n v="100"/>
    <n v="30800"/>
    <n v="38900"/>
    <n v="8100"/>
    <n v="0.89565217391304353"/>
    <n v="5.5825242718446605E-2"/>
    <n v="0.20822622107969152"/>
    <n v="79.177377892030847"/>
    <n v="426"/>
    <n v="0.96713615023474175"/>
    <n v="20.822622107969153"/>
    <n v="0.91314553990610325"/>
  </r>
  <r>
    <d v="2026-11-09T00:00:00"/>
    <x v="4"/>
    <x v="0"/>
    <x v="2"/>
    <x v="1"/>
    <n v="400"/>
    <n v="346"/>
    <n v="16"/>
    <n v="330"/>
    <n v="53"/>
    <n v="0.11041666666666666"/>
    <n v="120"/>
    <n v="30800"/>
    <n v="39600"/>
    <n v="8800"/>
    <n v="0.86499999999999999"/>
    <n v="4.6242774566473986E-2"/>
    <n v="0.22222222222222221"/>
    <n v="93.333333333333329"/>
    <n v="427"/>
    <n v="0.81030444964871196"/>
    <n v="26.666666666666668"/>
    <n v="0.77283372365339575"/>
  </r>
  <r>
    <d v="2026-11-09T00:00:00"/>
    <x v="4"/>
    <x v="1"/>
    <x v="0"/>
    <x v="0"/>
    <n v="440"/>
    <n v="382"/>
    <n v="25"/>
    <n v="357"/>
    <n v="65"/>
    <n v="0.13541666666666666"/>
    <n v="100"/>
    <n v="30800"/>
    <n v="35700"/>
    <n v="4900"/>
    <n v="0.86818181818181817"/>
    <n v="6.5445026178010471E-2"/>
    <n v="0.13725490196078433"/>
    <n v="86.274509803921575"/>
    <n v="415"/>
    <n v="0.92048192771084336"/>
    <n v="13.725490196078431"/>
    <n v="0.8602409638554217"/>
  </r>
  <r>
    <d v="2026-11-09T00:00:00"/>
    <x v="4"/>
    <x v="1"/>
    <x v="1"/>
    <x v="1"/>
    <n v="400"/>
    <n v="359"/>
    <n v="16"/>
    <n v="343"/>
    <n v="62"/>
    <n v="0.12916666666666668"/>
    <n v="120"/>
    <n v="30800"/>
    <n v="41160"/>
    <n v="10360"/>
    <n v="0.89749999999999996"/>
    <n v="4.456824512534819E-2"/>
    <n v="0.25170068027210885"/>
    <n v="89.795918367346943"/>
    <n v="418"/>
    <n v="0.85885167464114831"/>
    <n v="30.204081632653061"/>
    <n v="0.82057416267942584"/>
  </r>
  <r>
    <d v="2026-11-09T00:00:00"/>
    <x v="4"/>
    <x v="1"/>
    <x v="2"/>
    <x v="2"/>
    <n v="520"/>
    <n v="433"/>
    <n v="29"/>
    <n v="404"/>
    <n v="65"/>
    <n v="0.13541666666666666"/>
    <n v="90"/>
    <n v="30800"/>
    <n v="36360"/>
    <n v="5560"/>
    <n v="0.83269230769230773"/>
    <n v="6.6974595842956119E-2"/>
    <n v="0.15291529152915292"/>
    <n v="76.237623762376231"/>
    <n v="415"/>
    <n v="1.0433734939759036"/>
    <n v="13.762376237623762"/>
    <n v="0.97349397590361442"/>
  </r>
  <r>
    <d v="2026-11-09T00:00:00"/>
    <x v="4"/>
    <x v="2"/>
    <x v="0"/>
    <x v="1"/>
    <n v="410"/>
    <n v="399"/>
    <n v="8"/>
    <n v="391"/>
    <n v="10"/>
    <n v="2.0833333333333332E-2"/>
    <n v="120"/>
    <n v="30800"/>
    <n v="46920"/>
    <n v="16120"/>
    <n v="0.97317073170731705"/>
    <n v="2.0050125313283207E-2"/>
    <n v="0.34356351236146632"/>
    <n v="78.772378516624045"/>
    <n v="470"/>
    <n v="0.84893617021276591"/>
    <n v="41.227621483375962"/>
    <n v="0.83191489361702131"/>
  </r>
  <r>
    <d v="2026-11-09T00:00:00"/>
    <x v="4"/>
    <x v="2"/>
    <x v="1"/>
    <x v="2"/>
    <n v="500"/>
    <n v="466"/>
    <n v="14"/>
    <n v="452"/>
    <n v="17"/>
    <n v="3.5416666666666666E-2"/>
    <n v="90"/>
    <n v="30800"/>
    <n v="40680"/>
    <n v="9880"/>
    <n v="0.93200000000000005"/>
    <n v="3.0042918454935622E-2"/>
    <n v="0.24287118977384464"/>
    <n v="68.141592920353986"/>
    <n v="463"/>
    <n v="1.0064794816414686"/>
    <n v="21.858407079646017"/>
    <n v="0.97624190064794814"/>
  </r>
  <r>
    <d v="2026-11-09T00:00:00"/>
    <x v="4"/>
    <x v="2"/>
    <x v="2"/>
    <x v="0"/>
    <n v="460"/>
    <n v="422"/>
    <n v="19"/>
    <n v="403"/>
    <n v="31"/>
    <n v="6.458333333333334E-2"/>
    <n v="100"/>
    <n v="30800"/>
    <n v="40300"/>
    <n v="9500"/>
    <n v="0.91739130434782612"/>
    <n v="4.5023696682464455E-2"/>
    <n v="0.23573200992555832"/>
    <n v="76.426799007444174"/>
    <n v="449"/>
    <n v="0.93986636971046766"/>
    <n v="23.573200992555833"/>
    <n v="0.89755011135857465"/>
  </r>
  <r>
    <d v="2026-11-10T00:00:00"/>
    <x v="4"/>
    <x v="0"/>
    <x v="0"/>
    <x v="0"/>
    <n v="460"/>
    <n v="436"/>
    <n v="18"/>
    <n v="418"/>
    <n v="43"/>
    <n v="8.9583333333333334E-2"/>
    <n v="100"/>
    <n v="30800"/>
    <n v="41800"/>
    <n v="11000"/>
    <n v="0.94782608695652171"/>
    <n v="4.1284403669724773E-2"/>
    <n v="0.26315789473684209"/>
    <n v="73.684210526315795"/>
    <n v="437"/>
    <n v="0.99771167048054921"/>
    <n v="26.315789473684209"/>
    <n v="0.95652173913043481"/>
  </r>
  <r>
    <d v="2026-11-10T00:00:00"/>
    <x v="4"/>
    <x v="0"/>
    <x v="1"/>
    <x v="1"/>
    <n v="410"/>
    <n v="378"/>
    <n v="12"/>
    <n v="366"/>
    <n v="38"/>
    <n v="7.9166666666666663E-2"/>
    <n v="120"/>
    <n v="30800"/>
    <n v="43920"/>
    <n v="13120"/>
    <n v="0.92195121951219516"/>
    <n v="3.1746031746031744E-2"/>
    <n v="0.2987249544626594"/>
    <n v="84.15300546448087"/>
    <n v="442"/>
    <n v="0.85520361990950222"/>
    <n v="35.846994535519123"/>
    <n v="0.82805429864253388"/>
  </r>
  <r>
    <d v="2026-11-10T00:00:00"/>
    <x v="4"/>
    <x v="0"/>
    <x v="2"/>
    <x v="2"/>
    <n v="500"/>
    <n v="446"/>
    <n v="23"/>
    <n v="423"/>
    <n v="38"/>
    <n v="7.9166666666666663E-2"/>
    <n v="90"/>
    <n v="30800"/>
    <n v="38070"/>
    <n v="7270"/>
    <n v="0.89200000000000002"/>
    <n v="5.1569506726457402E-2"/>
    <n v="0.19096401365904911"/>
    <n v="72.813238770685572"/>
    <n v="442"/>
    <n v="1.0090497737556561"/>
    <n v="17.186761229314421"/>
    <n v="0.95701357466063353"/>
  </r>
  <r>
    <d v="2026-11-10T00:00:00"/>
    <x v="4"/>
    <x v="1"/>
    <x v="0"/>
    <x v="1"/>
    <n v="390"/>
    <n v="351"/>
    <n v="17"/>
    <n v="334"/>
    <n v="49"/>
    <n v="0.10208333333333333"/>
    <n v="120"/>
    <n v="30800"/>
    <n v="40080"/>
    <n v="9280"/>
    <n v="0.9"/>
    <n v="4.843304843304843E-2"/>
    <n v="0.2315369261477046"/>
    <n v="92.215568862275447"/>
    <n v="431"/>
    <n v="0.81438515081206497"/>
    <n v="27.78443113772455"/>
    <n v="0.77494199535962882"/>
  </r>
  <r>
    <d v="2026-11-10T00:00:00"/>
    <x v="4"/>
    <x v="1"/>
    <x v="1"/>
    <x v="2"/>
    <n v="510"/>
    <n v="445"/>
    <n v="23"/>
    <n v="422"/>
    <n v="59"/>
    <n v="0.12291666666666666"/>
    <n v="90"/>
    <n v="30800"/>
    <n v="37980"/>
    <n v="7180"/>
    <n v="0.87254901960784315"/>
    <n v="5.1685393258426963E-2"/>
    <n v="0.18904686677198526"/>
    <n v="72.985781990521332"/>
    <n v="421"/>
    <n v="1.0570071258907363"/>
    <n v="17.014218009478672"/>
    <n v="1.002375296912114"/>
  </r>
  <r>
    <d v="2026-11-10T00:00:00"/>
    <x v="4"/>
    <x v="1"/>
    <x v="2"/>
    <x v="0"/>
    <n v="430"/>
    <n v="372"/>
    <n v="28"/>
    <n v="344"/>
    <n v="69"/>
    <n v="0.14374999999999999"/>
    <n v="100"/>
    <n v="30800"/>
    <n v="34400"/>
    <n v="3600"/>
    <n v="0.8651162790697674"/>
    <n v="7.5268817204301078E-2"/>
    <n v="0.10465116279069768"/>
    <n v="89.534883720930239"/>
    <n v="411"/>
    <n v="0.9051094890510949"/>
    <n v="10.465116279069768"/>
    <n v="0.83698296836982966"/>
  </r>
  <r>
    <d v="2026-11-10T00:00:00"/>
    <x v="4"/>
    <x v="2"/>
    <x v="0"/>
    <x v="2"/>
    <n v="500"/>
    <n v="474"/>
    <n v="13"/>
    <n v="461"/>
    <n v="19"/>
    <n v="3.9583333333333331E-2"/>
    <n v="90"/>
    <n v="30800"/>
    <n v="41490"/>
    <n v="10690"/>
    <n v="0.94799999999999995"/>
    <n v="2.7426160337552744E-2"/>
    <n v="0.25765244637261991"/>
    <n v="66.811279826464215"/>
    <n v="461"/>
    <n v="1.0281995661605206"/>
    <n v="23.188720173535792"/>
    <n v="1"/>
  </r>
  <r>
    <d v="2026-11-10T00:00:00"/>
    <x v="4"/>
    <x v="2"/>
    <x v="1"/>
    <x v="0"/>
    <n v="440"/>
    <n v="411"/>
    <n v="18"/>
    <n v="393"/>
    <n v="43"/>
    <n v="8.9583333333333334E-2"/>
    <n v="100"/>
    <n v="30800"/>
    <n v="39300"/>
    <n v="8500"/>
    <n v="0.93409090909090908"/>
    <n v="4.3795620437956206E-2"/>
    <n v="0.21628498727735368"/>
    <n v="78.371501272264638"/>
    <n v="437"/>
    <n v="0.94050343249427915"/>
    <n v="21.628498727735369"/>
    <n v="0.89931350114416475"/>
  </r>
  <r>
    <d v="2026-11-10T00:00:00"/>
    <x v="4"/>
    <x v="2"/>
    <x v="2"/>
    <x v="1"/>
    <n v="410"/>
    <n v="370"/>
    <n v="13"/>
    <n v="357"/>
    <n v="44"/>
    <n v="9.166666666666666E-2"/>
    <n v="120"/>
    <n v="30800"/>
    <n v="42840"/>
    <n v="12040"/>
    <n v="0.90243902439024393"/>
    <n v="3.5135135135135137E-2"/>
    <n v="0.28104575163398693"/>
    <n v="86.274509803921575"/>
    <n v="436"/>
    <n v="0.84862385321100919"/>
    <n v="33.725490196078432"/>
    <n v="0.81880733944954132"/>
  </r>
  <r>
    <d v="2026-11-11T00:00:00"/>
    <x v="4"/>
    <x v="0"/>
    <x v="0"/>
    <x v="1"/>
    <n v="390"/>
    <n v="370"/>
    <n v="13"/>
    <n v="357"/>
    <n v="42"/>
    <n v="8.7499999999999994E-2"/>
    <n v="120"/>
    <n v="30800"/>
    <n v="42840"/>
    <n v="12040"/>
    <n v="0.94871794871794868"/>
    <n v="3.5135135135135137E-2"/>
    <n v="0.28104575163398693"/>
    <n v="86.274509803921575"/>
    <n v="438"/>
    <n v="0.84474885844748859"/>
    <n v="33.725490196078432"/>
    <n v="0.81506849315068497"/>
  </r>
  <r>
    <d v="2026-11-11T00:00:00"/>
    <x v="4"/>
    <x v="0"/>
    <x v="1"/>
    <x v="2"/>
    <n v="510"/>
    <n v="477"/>
    <n v="19"/>
    <n v="458"/>
    <n v="34"/>
    <n v="7.0833333333333331E-2"/>
    <n v="90"/>
    <n v="30800"/>
    <n v="41220"/>
    <n v="10420"/>
    <n v="0.93529411764705883"/>
    <n v="3.9832285115303984E-2"/>
    <n v="0.25278990781174188"/>
    <n v="67.248908296943227"/>
    <n v="446"/>
    <n v="1.0695067264573992"/>
    <n v="22.751091703056769"/>
    <n v="1.0269058295964126"/>
  </r>
  <r>
    <d v="2026-11-11T00:00:00"/>
    <x v="4"/>
    <x v="0"/>
    <x v="2"/>
    <x v="0"/>
    <n v="440"/>
    <n v="395"/>
    <n v="22"/>
    <n v="373"/>
    <n v="42"/>
    <n v="8.7499999999999994E-2"/>
    <n v="100"/>
    <n v="30800"/>
    <n v="37300"/>
    <n v="6500"/>
    <n v="0.89772727272727271"/>
    <n v="5.5696202531645568E-2"/>
    <n v="0.17426273458445041"/>
    <n v="82.573726541554961"/>
    <n v="438"/>
    <n v="0.90182648401826482"/>
    <n v="17.426273458445039"/>
    <n v="0.85159817351598177"/>
  </r>
  <r>
    <d v="2026-11-11T00:00:00"/>
    <x v="4"/>
    <x v="1"/>
    <x v="0"/>
    <x v="2"/>
    <n v="520"/>
    <n v="451"/>
    <n v="25"/>
    <n v="426"/>
    <n v="52"/>
    <n v="0.10833333333333334"/>
    <n v="90"/>
    <n v="30800"/>
    <n v="38340"/>
    <n v="7540"/>
    <n v="0.86730769230769234"/>
    <n v="5.543237250554324E-2"/>
    <n v="0.19666145018257694"/>
    <n v="72.300469483568079"/>
    <n v="428"/>
    <n v="1.0537383177570094"/>
    <n v="17.699530516431924"/>
    <n v="0.99532710280373837"/>
  </r>
  <r>
    <d v="2026-11-11T00:00:00"/>
    <x v="4"/>
    <x v="1"/>
    <x v="1"/>
    <x v="0"/>
    <n v="470"/>
    <n v="421"/>
    <n v="30"/>
    <n v="391"/>
    <n v="59"/>
    <n v="0.12291666666666666"/>
    <n v="100"/>
    <n v="30800"/>
    <n v="39100"/>
    <n v="8300"/>
    <n v="0.89574468085106385"/>
    <n v="7.1258907363420429E-2"/>
    <n v="0.21227621483375958"/>
    <n v="78.772378516624045"/>
    <n v="421"/>
    <n v="1"/>
    <n v="21.227621483375959"/>
    <n v="0.92874109263657956"/>
  </r>
  <r>
    <d v="2026-11-11T00:00:00"/>
    <x v="4"/>
    <x v="1"/>
    <x v="2"/>
    <x v="1"/>
    <n v="400"/>
    <n v="339"/>
    <n v="20"/>
    <n v="319"/>
    <n v="53"/>
    <n v="0.11041666666666666"/>
    <n v="120"/>
    <n v="30800"/>
    <n v="38280"/>
    <n v="7480"/>
    <n v="0.84750000000000003"/>
    <n v="5.8997050147492625E-2"/>
    <n v="0.19540229885057472"/>
    <n v="96.551724137931032"/>
    <n v="427"/>
    <n v="0.79391100702576112"/>
    <n v="23.448275862068964"/>
    <n v="0.74707259953161598"/>
  </r>
  <r>
    <d v="2026-11-11T00:00:00"/>
    <x v="4"/>
    <x v="2"/>
    <x v="0"/>
    <x v="0"/>
    <n v="430"/>
    <n v="419"/>
    <n v="19"/>
    <n v="400"/>
    <n v="15"/>
    <n v="3.125E-2"/>
    <n v="100"/>
    <n v="30800"/>
    <n v="40000"/>
    <n v="9200"/>
    <n v="0.97441860465116281"/>
    <n v="4.5346062052505964E-2"/>
    <n v="0.23"/>
    <n v="77"/>
    <n v="465"/>
    <n v="0.90107526881720434"/>
    <n v="23"/>
    <n v="0.86021505376344087"/>
  </r>
  <r>
    <d v="2026-11-11T00:00:00"/>
    <x v="4"/>
    <x v="2"/>
    <x v="1"/>
    <x v="1"/>
    <n v="410"/>
    <n v="382"/>
    <n v="13"/>
    <n v="369"/>
    <n v="17"/>
    <n v="3.5416666666666666E-2"/>
    <n v="120"/>
    <n v="30800"/>
    <n v="44280"/>
    <n v="13480"/>
    <n v="0.93170731707317078"/>
    <n v="3.4031413612565446E-2"/>
    <n v="0.30442637759710928"/>
    <n v="83.468834688346888"/>
    <n v="463"/>
    <n v="0.82505399568034554"/>
    <n v="36.531165311653119"/>
    <n v="0.79697624190064797"/>
  </r>
  <r>
    <d v="2026-11-11T00:00:00"/>
    <x v="4"/>
    <x v="2"/>
    <x v="2"/>
    <x v="2"/>
    <n v="500"/>
    <n v="458"/>
    <n v="19"/>
    <n v="439"/>
    <n v="40"/>
    <n v="8.3333333333333329E-2"/>
    <n v="90"/>
    <n v="30800"/>
    <n v="39510"/>
    <n v="8710"/>
    <n v="0.91600000000000004"/>
    <n v="4.148471615720524E-2"/>
    <n v="0.22045051885598582"/>
    <n v="70.159453302961282"/>
    <n v="440"/>
    <n v="1.040909090909091"/>
    <n v="19.840546697038725"/>
    <n v="0.99772727272727268"/>
  </r>
  <r>
    <d v="2026-11-12T00:00:00"/>
    <x v="4"/>
    <x v="0"/>
    <x v="0"/>
    <x v="2"/>
    <n v="500"/>
    <n v="463"/>
    <n v="13"/>
    <n v="450"/>
    <n v="18"/>
    <n v="3.7499999999999999E-2"/>
    <n v="90"/>
    <n v="30800"/>
    <n v="40500"/>
    <n v="9700"/>
    <n v="0.92600000000000005"/>
    <n v="2.8077753779697623E-2"/>
    <n v="0.23950617283950618"/>
    <n v="68.444444444444443"/>
    <n v="462"/>
    <n v="1.0021645021645023"/>
    <n v="21.555555555555557"/>
    <n v="0.97402597402597402"/>
  </r>
  <r>
    <d v="2026-11-12T00:00:00"/>
    <x v="4"/>
    <x v="0"/>
    <x v="1"/>
    <x v="0"/>
    <n v="440"/>
    <n v="406"/>
    <n v="22"/>
    <n v="384"/>
    <n v="41"/>
    <n v="8.5416666666666669E-2"/>
    <n v="100"/>
    <n v="30800"/>
    <n v="38400"/>
    <n v="7600"/>
    <n v="0.92272727272727273"/>
    <n v="5.4187192118226604E-2"/>
    <n v="0.19791666666666666"/>
    <n v="80.208333333333329"/>
    <n v="439"/>
    <n v="0.9248291571753986"/>
    <n v="19.791666666666668"/>
    <n v="0.87471526195899774"/>
  </r>
  <r>
    <d v="2026-11-12T00:00:00"/>
    <x v="4"/>
    <x v="0"/>
    <x v="2"/>
    <x v="1"/>
    <n v="390"/>
    <n v="359"/>
    <n v="16"/>
    <n v="343"/>
    <n v="35"/>
    <n v="7.2916666666666671E-2"/>
    <n v="120"/>
    <n v="30800"/>
    <n v="41160"/>
    <n v="10360"/>
    <n v="0.92051282051282046"/>
    <n v="4.456824512534819E-2"/>
    <n v="0.25170068027210885"/>
    <n v="89.795918367346943"/>
    <n v="445"/>
    <n v="0.80674157303370786"/>
    <n v="30.204081632653061"/>
    <n v="0.77078651685393262"/>
  </r>
  <r>
    <d v="2026-11-12T00:00:00"/>
    <x v="4"/>
    <x v="1"/>
    <x v="0"/>
    <x v="0"/>
    <n v="430"/>
    <n v="366"/>
    <n v="24"/>
    <n v="342"/>
    <n v="56"/>
    <n v="0.11666666666666667"/>
    <n v="100"/>
    <n v="30800"/>
    <n v="34200"/>
    <n v="3400"/>
    <n v="0.85116279069767442"/>
    <n v="6.5573770491803282E-2"/>
    <n v="9.9415204678362568E-2"/>
    <n v="90.058479532163744"/>
    <n v="424"/>
    <n v="0.8632075471698113"/>
    <n v="9.9415204678362574"/>
    <n v="0.80660377358490565"/>
  </r>
  <r>
    <d v="2026-11-12T00:00:00"/>
    <x v="4"/>
    <x v="1"/>
    <x v="1"/>
    <x v="1"/>
    <n v="400"/>
    <n v="360"/>
    <n v="16"/>
    <n v="344"/>
    <n v="63"/>
    <n v="0.13125000000000001"/>
    <n v="120"/>
    <n v="30800"/>
    <n v="41280"/>
    <n v="10480"/>
    <n v="0.9"/>
    <n v="4.4444444444444446E-2"/>
    <n v="0.25387596899224807"/>
    <n v="89.534883720930239"/>
    <n v="417"/>
    <n v="0.86330935251798557"/>
    <n v="30.465116279069768"/>
    <n v="0.82494004796163067"/>
  </r>
  <r>
    <d v="2026-11-12T00:00:00"/>
    <x v="4"/>
    <x v="1"/>
    <x v="2"/>
    <x v="2"/>
    <n v="510"/>
    <n v="441"/>
    <n v="29"/>
    <n v="412"/>
    <n v="57"/>
    <n v="0.11874999999999999"/>
    <n v="90"/>
    <n v="30800"/>
    <n v="37080"/>
    <n v="6280"/>
    <n v="0.86470588235294121"/>
    <n v="6.5759637188208611E-2"/>
    <n v="0.16936353829557713"/>
    <n v="74.757281553398059"/>
    <n v="423"/>
    <n v="1.0425531914893618"/>
    <n v="15.242718446601941"/>
    <n v="0.97399527186761226"/>
  </r>
  <r>
    <d v="2026-11-12T00:00:00"/>
    <x v="4"/>
    <x v="2"/>
    <x v="0"/>
    <x v="1"/>
    <n v="390"/>
    <n v="371"/>
    <n v="8"/>
    <n v="363"/>
    <n v="24"/>
    <n v="0.05"/>
    <n v="120"/>
    <n v="30800"/>
    <n v="43560"/>
    <n v="12760"/>
    <n v="0.95128205128205123"/>
    <n v="2.15633423180593E-2"/>
    <n v="0.29292929292929293"/>
    <n v="84.848484848484844"/>
    <n v="456"/>
    <n v="0.81359649122807021"/>
    <n v="35.151515151515149"/>
    <n v="0.79605263157894735"/>
  </r>
  <r>
    <d v="2026-11-12T00:00:00"/>
    <x v="4"/>
    <x v="2"/>
    <x v="1"/>
    <x v="2"/>
    <n v="490"/>
    <n v="451"/>
    <n v="15"/>
    <n v="436"/>
    <n v="30"/>
    <n v="6.25E-2"/>
    <n v="90"/>
    <n v="30800"/>
    <n v="39240"/>
    <n v="8440"/>
    <n v="0.92040816326530617"/>
    <n v="3.325942350332594E-2"/>
    <n v="0.21508664627930682"/>
    <n v="70.642201834862391"/>
    <n v="450"/>
    <n v="1.0022222222222221"/>
    <n v="19.357798165137616"/>
    <n v="0.96888888888888891"/>
  </r>
  <r>
    <d v="2026-11-12T00:00:00"/>
    <x v="4"/>
    <x v="2"/>
    <x v="2"/>
    <x v="0"/>
    <n v="460"/>
    <n v="411"/>
    <n v="21"/>
    <n v="390"/>
    <n v="41"/>
    <n v="8.5416666666666669E-2"/>
    <n v="100"/>
    <n v="30800"/>
    <n v="39000"/>
    <n v="8200"/>
    <n v="0.89347826086956517"/>
    <n v="5.1094890510948905E-2"/>
    <n v="0.21025641025641026"/>
    <n v="78.974358974358978"/>
    <n v="439"/>
    <n v="0.9362186788154897"/>
    <n v="21.025641025641026"/>
    <n v="0.88838268792710706"/>
  </r>
  <r>
    <d v="2026-11-13T00:00:00"/>
    <x v="4"/>
    <x v="0"/>
    <x v="0"/>
    <x v="0"/>
    <n v="450"/>
    <n v="406"/>
    <n v="15"/>
    <n v="391"/>
    <n v="38"/>
    <n v="7.9166666666666663E-2"/>
    <n v="100"/>
    <n v="30800"/>
    <n v="39100"/>
    <n v="8300"/>
    <n v="0.90222222222222226"/>
    <n v="3.6945812807881777E-2"/>
    <n v="0.21227621483375958"/>
    <n v="78.772378516624045"/>
    <n v="442"/>
    <n v="0.91855203619909498"/>
    <n v="21.227621483375959"/>
    <n v="0.88461538461538458"/>
  </r>
  <r>
    <d v="2026-11-13T00:00:00"/>
    <x v="4"/>
    <x v="0"/>
    <x v="1"/>
    <x v="1"/>
    <n v="390"/>
    <n v="359"/>
    <n v="13"/>
    <n v="346"/>
    <n v="29"/>
    <n v="6.0416666666666667E-2"/>
    <n v="120"/>
    <n v="30800"/>
    <n v="41520"/>
    <n v="10720"/>
    <n v="0.92051282051282046"/>
    <n v="3.6211699164345405E-2"/>
    <n v="0.25818882466281312"/>
    <n v="89.017341040462426"/>
    <n v="451"/>
    <n v="0.7960088691796009"/>
    <n v="30.982658959537574"/>
    <n v="0.76718403547671843"/>
  </r>
  <r>
    <d v="2026-11-13T00:00:00"/>
    <x v="4"/>
    <x v="0"/>
    <x v="2"/>
    <x v="2"/>
    <n v="520"/>
    <n v="478"/>
    <n v="24"/>
    <n v="454"/>
    <n v="40"/>
    <n v="8.3333333333333329E-2"/>
    <n v="90"/>
    <n v="30800"/>
    <n v="40860"/>
    <n v="10060"/>
    <n v="0.91923076923076918"/>
    <n v="5.0209205020920501E-2"/>
    <n v="0.24620655898188937"/>
    <n v="67.841409691629963"/>
    <n v="440"/>
    <n v="1.0863636363636364"/>
    <n v="22.158590308370044"/>
    <n v="1.0318181818181817"/>
  </r>
  <r>
    <d v="2026-11-13T00:00:00"/>
    <x v="4"/>
    <x v="1"/>
    <x v="0"/>
    <x v="1"/>
    <n v="390"/>
    <n v="353"/>
    <n v="14"/>
    <n v="339"/>
    <n v="51"/>
    <n v="0.10625"/>
    <n v="120"/>
    <n v="30800"/>
    <n v="40680"/>
    <n v="9880"/>
    <n v="0.90512820512820513"/>
    <n v="3.9660056657223795E-2"/>
    <n v="0.24287118977384464"/>
    <n v="90.855457227138643"/>
    <n v="429"/>
    <n v="0.82284382284382285"/>
    <n v="29.144542772861357"/>
    <n v="0.79020979020979021"/>
  </r>
  <r>
    <d v="2026-11-13T00:00:00"/>
    <x v="4"/>
    <x v="1"/>
    <x v="1"/>
    <x v="2"/>
    <n v="510"/>
    <n v="458"/>
    <n v="22"/>
    <n v="436"/>
    <n v="58"/>
    <n v="0.12083333333333333"/>
    <n v="90"/>
    <n v="30800"/>
    <n v="39240"/>
    <n v="8440"/>
    <n v="0.89803921568627454"/>
    <n v="4.8034934497816595E-2"/>
    <n v="0.21508664627930682"/>
    <n v="70.642201834862391"/>
    <n v="422"/>
    <n v="1.0853080568720379"/>
    <n v="19.357798165137616"/>
    <n v="1.033175355450237"/>
  </r>
  <r>
    <d v="2026-11-13T00:00:00"/>
    <x v="4"/>
    <x v="1"/>
    <x v="2"/>
    <x v="0"/>
    <n v="460"/>
    <n v="381"/>
    <n v="26"/>
    <n v="355"/>
    <n v="64"/>
    <n v="0.13333333333333333"/>
    <n v="100"/>
    <n v="30800"/>
    <n v="35500"/>
    <n v="4700"/>
    <n v="0.82826086956521738"/>
    <n v="6.8241469816272965E-2"/>
    <n v="0.13239436619718309"/>
    <n v="86.760563380281695"/>
    <n v="416"/>
    <n v="0.91586538461538458"/>
    <n v="13.23943661971831"/>
    <n v="0.85336538461538458"/>
  </r>
  <r>
    <d v="2026-11-13T00:00:00"/>
    <x v="4"/>
    <x v="2"/>
    <x v="0"/>
    <x v="2"/>
    <n v="510"/>
    <n v="484"/>
    <n v="13"/>
    <n v="471"/>
    <n v="20"/>
    <n v="4.1666666666666664E-2"/>
    <n v="90"/>
    <n v="30800"/>
    <n v="42390"/>
    <n v="11590"/>
    <n v="0.94901960784313721"/>
    <n v="2.6859504132231406E-2"/>
    <n v="0.27341354092946452"/>
    <n v="65.392781316348191"/>
    <n v="460"/>
    <n v="1.0521739130434782"/>
    <n v="24.607218683651805"/>
    <n v="1.0239130434782608"/>
  </r>
  <r>
    <d v="2026-11-13T00:00:00"/>
    <x v="4"/>
    <x v="2"/>
    <x v="1"/>
    <x v="0"/>
    <n v="460"/>
    <n v="430"/>
    <n v="22"/>
    <n v="408"/>
    <n v="31"/>
    <n v="6.458333333333334E-2"/>
    <n v="100"/>
    <n v="30800"/>
    <n v="40800"/>
    <n v="10000"/>
    <n v="0.93478260869565222"/>
    <n v="5.1162790697674418E-2"/>
    <n v="0.24509803921568626"/>
    <n v="75.490196078431367"/>
    <n v="449"/>
    <n v="0.95768374164810688"/>
    <n v="24.509803921568629"/>
    <n v="0.90868596881959907"/>
  </r>
  <r>
    <d v="2026-11-13T00:00:00"/>
    <x v="4"/>
    <x v="2"/>
    <x v="2"/>
    <x v="1"/>
    <n v="390"/>
    <n v="360"/>
    <n v="13"/>
    <n v="347"/>
    <n v="32"/>
    <n v="6.6666666666666666E-2"/>
    <n v="120"/>
    <n v="30800"/>
    <n v="41640"/>
    <n v="10840"/>
    <n v="0.92307692307692313"/>
    <n v="3.6111111111111108E-2"/>
    <n v="0.26032660902977905"/>
    <n v="88.760806916426517"/>
    <n v="448"/>
    <n v="0.8035714285714286"/>
    <n v="31.239193083573486"/>
    <n v="0.7745535714285714"/>
  </r>
  <r>
    <d v="2026-11-14T00:00:00"/>
    <x v="4"/>
    <x v="0"/>
    <x v="0"/>
    <x v="1"/>
    <n v="390"/>
    <n v="366"/>
    <n v="11"/>
    <n v="355"/>
    <n v="36"/>
    <n v="7.4999999999999997E-2"/>
    <n v="120"/>
    <n v="30800"/>
    <n v="42600"/>
    <n v="11800"/>
    <n v="0.93846153846153846"/>
    <n v="3.0054644808743168E-2"/>
    <n v="0.27699530516431925"/>
    <n v="86.760563380281695"/>
    <n v="444"/>
    <n v="0.82432432432432434"/>
    <n v="33.239436619718312"/>
    <n v="0.7995495495495496"/>
  </r>
  <r>
    <d v="2026-11-14T00:00:00"/>
    <x v="4"/>
    <x v="0"/>
    <x v="1"/>
    <x v="2"/>
    <n v="510"/>
    <n v="463"/>
    <n v="19"/>
    <n v="444"/>
    <n v="20"/>
    <n v="4.1666666666666664E-2"/>
    <n v="90"/>
    <n v="30800"/>
    <n v="39960"/>
    <n v="9160"/>
    <n v="0.90784313725490196"/>
    <n v="4.1036717062634988E-2"/>
    <n v="0.22922922922922923"/>
    <n v="69.369369369369366"/>
    <n v="460"/>
    <n v="1.0065217391304349"/>
    <n v="20.63063063063063"/>
    <n v="0.9652173913043478"/>
  </r>
  <r>
    <d v="2026-11-14T00:00:00"/>
    <x v="4"/>
    <x v="0"/>
    <x v="2"/>
    <x v="0"/>
    <n v="450"/>
    <n v="391"/>
    <n v="20"/>
    <n v="371"/>
    <n v="44"/>
    <n v="9.166666666666666E-2"/>
    <n v="100"/>
    <n v="30800"/>
    <n v="37100"/>
    <n v="6300"/>
    <n v="0.86888888888888893"/>
    <n v="5.1150895140664961E-2"/>
    <n v="0.16981132075471697"/>
    <n v="83.018867924528308"/>
    <n v="436"/>
    <n v="0.89678899082568808"/>
    <n v="16.981132075471699"/>
    <n v="0.8509174311926605"/>
  </r>
  <r>
    <d v="2026-11-14T00:00:00"/>
    <x v="4"/>
    <x v="1"/>
    <x v="0"/>
    <x v="2"/>
    <n v="490"/>
    <n v="425"/>
    <n v="24"/>
    <n v="401"/>
    <n v="31"/>
    <n v="6.458333333333334E-2"/>
    <n v="90"/>
    <n v="30800"/>
    <n v="36090"/>
    <n v="5290"/>
    <n v="0.86734693877551017"/>
    <n v="5.647058823529412E-2"/>
    <n v="0.14657799944582986"/>
    <n v="76.807980049875312"/>
    <n v="449"/>
    <n v="0.94654788418708236"/>
    <n v="13.192019950124688"/>
    <n v="0.89309576837416482"/>
  </r>
  <r>
    <d v="2026-11-14T00:00:00"/>
    <x v="4"/>
    <x v="1"/>
    <x v="1"/>
    <x v="0"/>
    <n v="450"/>
    <n v="403"/>
    <n v="29"/>
    <n v="374"/>
    <n v="69"/>
    <n v="0.14374999999999999"/>
    <n v="100"/>
    <n v="30800"/>
    <n v="37400"/>
    <n v="6600"/>
    <n v="0.89555555555555555"/>
    <n v="7.1960297766749379E-2"/>
    <n v="0.17647058823529413"/>
    <n v="82.352941176470594"/>
    <n v="411"/>
    <n v="0.98053527980535282"/>
    <n v="17.647058823529413"/>
    <n v="0.90997566909975669"/>
  </r>
  <r>
    <d v="2026-11-14T00:00:00"/>
    <x v="4"/>
    <x v="1"/>
    <x v="2"/>
    <x v="1"/>
    <n v="400"/>
    <n v="329"/>
    <n v="21"/>
    <n v="308"/>
    <n v="56"/>
    <n v="0.11666666666666667"/>
    <n v="120"/>
    <n v="30800"/>
    <n v="36960"/>
    <n v="6160"/>
    <n v="0.82250000000000001"/>
    <n v="6.3829787234042548E-2"/>
    <n v="0.16666666666666666"/>
    <n v="100"/>
    <n v="424"/>
    <n v="0.77594339622641506"/>
    <n v="20"/>
    <n v="0.72641509433962259"/>
  </r>
  <r>
    <d v="2026-11-14T00:00:00"/>
    <x v="4"/>
    <x v="2"/>
    <x v="0"/>
    <x v="0"/>
    <n v="440"/>
    <n v="419"/>
    <n v="13"/>
    <n v="406"/>
    <n v="17"/>
    <n v="3.5416666666666666E-2"/>
    <n v="100"/>
    <n v="30800"/>
    <n v="40600"/>
    <n v="9800"/>
    <n v="0.95227272727272727"/>
    <n v="3.1026252983293555E-2"/>
    <n v="0.2413793103448276"/>
    <n v="75.862068965517238"/>
    <n v="463"/>
    <n v="0.90496760259179265"/>
    <n v="24.137931034482758"/>
    <n v="0.87688984881209509"/>
  </r>
  <r>
    <d v="2026-11-14T00:00:00"/>
    <x v="4"/>
    <x v="2"/>
    <x v="1"/>
    <x v="1"/>
    <n v="400"/>
    <n v="384"/>
    <n v="12"/>
    <n v="372"/>
    <n v="41"/>
    <n v="8.5416666666666669E-2"/>
    <n v="120"/>
    <n v="30800"/>
    <n v="44640"/>
    <n v="13840"/>
    <n v="0.96"/>
    <n v="3.125E-2"/>
    <n v="0.31003584229390679"/>
    <n v="82.795698924731184"/>
    <n v="439"/>
    <n v="0.87471526195899774"/>
    <n v="37.204301075268816"/>
    <n v="0.84738041002277908"/>
  </r>
  <r>
    <d v="2026-11-14T00:00:00"/>
    <x v="4"/>
    <x v="2"/>
    <x v="2"/>
    <x v="2"/>
    <n v="510"/>
    <n v="457"/>
    <n v="17"/>
    <n v="440"/>
    <n v="38"/>
    <n v="7.9166666666666663E-2"/>
    <n v="90"/>
    <n v="30800"/>
    <n v="39600"/>
    <n v="8800"/>
    <n v="0.89607843137254906"/>
    <n v="3.7199124726477024E-2"/>
    <n v="0.22222222222222221"/>
    <n v="70"/>
    <n v="442"/>
    <n v="1.0339366515837105"/>
    <n v="20"/>
    <n v="0.99547511312217196"/>
  </r>
  <r>
    <d v="2026-11-15T00:00:00"/>
    <x v="4"/>
    <x v="0"/>
    <x v="0"/>
    <x v="2"/>
    <n v="490"/>
    <n v="463"/>
    <n v="14"/>
    <n v="449"/>
    <n v="33"/>
    <n v="6.8750000000000006E-2"/>
    <n v="90"/>
    <n v="30800"/>
    <n v="40410"/>
    <n v="9610"/>
    <n v="0.94489795918367347"/>
    <n v="3.0237580993520519E-2"/>
    <n v="0.23781242266765651"/>
    <n v="68.596881959910917"/>
    <n v="447"/>
    <n v="1.0357941834451903"/>
    <n v="21.403118040089087"/>
    <n v="1.0044742729306488"/>
  </r>
  <r>
    <d v="2026-11-15T00:00:00"/>
    <x v="4"/>
    <x v="0"/>
    <x v="1"/>
    <x v="0"/>
    <n v="460"/>
    <n v="413"/>
    <n v="18"/>
    <n v="395"/>
    <n v="42"/>
    <n v="8.7499999999999994E-2"/>
    <n v="100"/>
    <n v="30800"/>
    <n v="39500"/>
    <n v="8700"/>
    <n v="0.89782608695652177"/>
    <n v="4.3583535108958835E-2"/>
    <n v="0.22025316455696203"/>
    <n v="77.974683544303801"/>
    <n v="438"/>
    <n v="0.94292237442922378"/>
    <n v="22.025316455696203"/>
    <n v="0.90182648401826482"/>
  </r>
  <r>
    <d v="2026-11-15T00:00:00"/>
    <x v="4"/>
    <x v="0"/>
    <x v="2"/>
    <x v="1"/>
    <n v="390"/>
    <n v="353"/>
    <n v="16"/>
    <n v="337"/>
    <n v="48"/>
    <n v="0.1"/>
    <n v="120"/>
    <n v="30800"/>
    <n v="40440"/>
    <n v="9640"/>
    <n v="0.90512820512820513"/>
    <n v="4.5325779036827198E-2"/>
    <n v="0.23837784371909002"/>
    <n v="91.394658753709194"/>
    <n v="432"/>
    <n v="0.81712962962962965"/>
    <n v="28.605341246290802"/>
    <n v="0.78009259259259256"/>
  </r>
  <r>
    <d v="2026-11-15T00:00:00"/>
    <x v="4"/>
    <x v="1"/>
    <x v="0"/>
    <x v="0"/>
    <n v="450"/>
    <n v="402"/>
    <n v="25"/>
    <n v="377"/>
    <n v="45"/>
    <n v="9.375E-2"/>
    <n v="100"/>
    <n v="30800"/>
    <n v="37700"/>
    <n v="6900"/>
    <n v="0.89333333333333331"/>
    <n v="6.2189054726368161E-2"/>
    <n v="0.1830238726790451"/>
    <n v="81.697612732095493"/>
    <n v="435"/>
    <n v="0.92413793103448272"/>
    <n v="18.302387267904511"/>
    <n v="0.8666666666666667"/>
  </r>
  <r>
    <d v="2026-11-15T00:00:00"/>
    <x v="4"/>
    <x v="1"/>
    <x v="1"/>
    <x v="1"/>
    <n v="410"/>
    <n v="345"/>
    <n v="20"/>
    <n v="325"/>
    <n v="57"/>
    <n v="0.11874999999999999"/>
    <n v="120"/>
    <n v="30800"/>
    <n v="39000"/>
    <n v="8200"/>
    <n v="0.84146341463414631"/>
    <n v="5.7971014492753624E-2"/>
    <n v="0.21025641025641026"/>
    <n v="94.769230769230774"/>
    <n v="423"/>
    <n v="0.81560283687943258"/>
    <n v="25.23076923076923"/>
    <n v="0.76832151300236406"/>
  </r>
  <r>
    <d v="2026-11-15T00:00:00"/>
    <x v="4"/>
    <x v="1"/>
    <x v="2"/>
    <x v="2"/>
    <n v="510"/>
    <n v="443"/>
    <n v="29"/>
    <n v="414"/>
    <n v="45"/>
    <n v="9.375E-2"/>
    <n v="90"/>
    <n v="30800"/>
    <n v="37260"/>
    <n v="6460"/>
    <n v="0.86862745098039218"/>
    <n v="6.5462753950338598E-2"/>
    <n v="0.17337627482555018"/>
    <n v="74.39613526570048"/>
    <n v="435"/>
    <n v="1.0183908045977013"/>
    <n v="15.603864734299517"/>
    <n v="0.9517241379310345"/>
  </r>
  <r>
    <d v="2026-11-15T00:00:00"/>
    <x v="4"/>
    <x v="2"/>
    <x v="0"/>
    <x v="1"/>
    <n v="410"/>
    <n v="393"/>
    <n v="12"/>
    <n v="381"/>
    <n v="23"/>
    <n v="4.791666666666667E-2"/>
    <n v="120"/>
    <n v="30800"/>
    <n v="45720"/>
    <n v="14920"/>
    <n v="0.95853658536585362"/>
    <n v="3.0534351145038167E-2"/>
    <n v="0.32633420822397202"/>
    <n v="80.839895013123353"/>
    <n v="457"/>
    <n v="0.85995623632385121"/>
    <n v="39.16010498687664"/>
    <n v="0.83369803063457326"/>
  </r>
  <r>
    <d v="2026-11-15T00:00:00"/>
    <x v="4"/>
    <x v="2"/>
    <x v="1"/>
    <x v="2"/>
    <n v="520"/>
    <n v="501"/>
    <n v="14"/>
    <n v="487"/>
    <n v="20"/>
    <n v="4.1666666666666664E-2"/>
    <n v="90"/>
    <n v="30800"/>
    <n v="43830"/>
    <n v="13030"/>
    <n v="0.96346153846153848"/>
    <n v="2.7944111776447105E-2"/>
    <n v="0.297284964636094"/>
    <n v="63.244353182751539"/>
    <n v="460"/>
    <n v="1.0891304347826087"/>
    <n v="26.755646817248461"/>
    <n v="1.058695652173913"/>
  </r>
  <r>
    <d v="2026-11-15T00:00:00"/>
    <x v="4"/>
    <x v="2"/>
    <x v="2"/>
    <x v="0"/>
    <n v="440"/>
    <n v="403"/>
    <n v="20"/>
    <n v="383"/>
    <n v="49"/>
    <n v="0.10208333333333333"/>
    <n v="100"/>
    <n v="30800"/>
    <n v="38300"/>
    <n v="7500"/>
    <n v="0.91590909090909089"/>
    <n v="4.9627791563275438E-2"/>
    <n v="0.195822454308094"/>
    <n v="80.417754569190606"/>
    <n v="431"/>
    <n v="0.93503480278422269"/>
    <n v="19.582245430809401"/>
    <n v="0.88863109048723898"/>
  </r>
  <r>
    <d v="2026-11-16T00:00:00"/>
    <x v="4"/>
    <x v="0"/>
    <x v="0"/>
    <x v="0"/>
    <n v="460"/>
    <n v="431"/>
    <n v="17"/>
    <n v="414"/>
    <n v="33"/>
    <n v="6.8750000000000006E-2"/>
    <n v="100"/>
    <n v="30800"/>
    <n v="41400"/>
    <n v="10600"/>
    <n v="0.93695652173913047"/>
    <n v="3.9443155452436193E-2"/>
    <n v="0.2560386473429952"/>
    <n v="74.39613526570048"/>
    <n v="447"/>
    <n v="0.96420581655480986"/>
    <n v="25.603864734299517"/>
    <n v="0.9261744966442953"/>
  </r>
  <r>
    <d v="2026-11-16T00:00:00"/>
    <x v="4"/>
    <x v="0"/>
    <x v="1"/>
    <x v="1"/>
    <n v="410"/>
    <n v="370"/>
    <n v="12"/>
    <n v="358"/>
    <n v="46"/>
    <n v="9.583333333333334E-2"/>
    <n v="120"/>
    <n v="30800"/>
    <n v="42960"/>
    <n v="12160"/>
    <n v="0.90243902439024393"/>
    <n v="3.2432432432432434E-2"/>
    <n v="0.28305400372439476"/>
    <n v="86.033519553072622"/>
    <n v="434"/>
    <n v="0.85253456221198154"/>
    <n v="33.966480446927378"/>
    <n v="0.82488479262672809"/>
  </r>
  <r>
    <d v="2026-11-16T00:00:00"/>
    <x v="4"/>
    <x v="0"/>
    <x v="2"/>
    <x v="2"/>
    <n v="510"/>
    <n v="440"/>
    <n v="17"/>
    <n v="423"/>
    <n v="29"/>
    <n v="6.0416666666666667E-2"/>
    <n v="90"/>
    <n v="30800"/>
    <n v="38070"/>
    <n v="7270"/>
    <n v="0.86274509803921573"/>
    <n v="3.8636363636363635E-2"/>
    <n v="0.19096401365904911"/>
    <n v="72.813238770685572"/>
    <n v="451"/>
    <n v="0.97560975609756095"/>
    <n v="17.186761229314421"/>
    <n v="0.93791574279379153"/>
  </r>
  <r>
    <d v="2026-11-16T00:00:00"/>
    <x v="4"/>
    <x v="1"/>
    <x v="0"/>
    <x v="1"/>
    <n v="400"/>
    <n v="358"/>
    <n v="15"/>
    <n v="343"/>
    <n v="37"/>
    <n v="7.7083333333333337E-2"/>
    <n v="120"/>
    <n v="30800"/>
    <n v="41160"/>
    <n v="10360"/>
    <n v="0.89500000000000002"/>
    <n v="4.189944134078212E-2"/>
    <n v="0.25170068027210885"/>
    <n v="89.795918367346943"/>
    <n v="443"/>
    <n v="0.80812641083521441"/>
    <n v="30.204081632653061"/>
    <n v="0.77426636568848761"/>
  </r>
  <r>
    <d v="2026-11-16T00:00:00"/>
    <x v="4"/>
    <x v="1"/>
    <x v="1"/>
    <x v="2"/>
    <n v="500"/>
    <n v="423"/>
    <n v="24"/>
    <n v="399"/>
    <n v="44"/>
    <n v="9.166666666666666E-2"/>
    <n v="90"/>
    <n v="30800"/>
    <n v="35910"/>
    <n v="5110"/>
    <n v="0.84599999999999997"/>
    <n v="5.6737588652482268E-2"/>
    <n v="0.14230019493177387"/>
    <n v="77.192982456140356"/>
    <n v="436"/>
    <n v="0.97018348623853212"/>
    <n v="12.807017543859649"/>
    <n v="0.91513761467889909"/>
  </r>
  <r>
    <d v="2026-11-16T00:00:00"/>
    <x v="4"/>
    <x v="1"/>
    <x v="2"/>
    <x v="0"/>
    <n v="450"/>
    <n v="384"/>
    <n v="26"/>
    <n v="358"/>
    <n v="73"/>
    <n v="0.15208333333333332"/>
    <n v="100"/>
    <n v="30800"/>
    <n v="35800"/>
    <n v="5000"/>
    <n v="0.85333333333333339"/>
    <n v="6.7708333333333329E-2"/>
    <n v="0.13966480446927373"/>
    <n v="86.033519553072622"/>
    <n v="407"/>
    <n v="0.94348894348894352"/>
    <n v="13.966480446927374"/>
    <n v="0.87960687960687955"/>
  </r>
  <r>
    <d v="2026-11-16T00:00:00"/>
    <x v="4"/>
    <x v="2"/>
    <x v="0"/>
    <x v="2"/>
    <n v="500"/>
    <n v="484"/>
    <n v="14"/>
    <n v="470"/>
    <n v="10"/>
    <n v="2.0833333333333332E-2"/>
    <n v="90"/>
    <n v="30800"/>
    <n v="42300"/>
    <n v="11500"/>
    <n v="0.96799999999999997"/>
    <n v="2.8925619834710745E-2"/>
    <n v="0.27186761229314421"/>
    <n v="65.531914893617028"/>
    <n v="470"/>
    <n v="1.0297872340425531"/>
    <n v="24.468085106382979"/>
    <n v="1"/>
  </r>
  <r>
    <d v="2026-11-16T00:00:00"/>
    <x v="4"/>
    <x v="2"/>
    <x v="1"/>
    <x v="0"/>
    <n v="460"/>
    <n v="426"/>
    <n v="18"/>
    <n v="408"/>
    <n v="24"/>
    <n v="0.05"/>
    <n v="100"/>
    <n v="30800"/>
    <n v="40800"/>
    <n v="10000"/>
    <n v="0.92608695652173911"/>
    <n v="4.2253521126760563E-2"/>
    <n v="0.24509803921568626"/>
    <n v="75.490196078431367"/>
    <n v="456"/>
    <n v="0.93421052631578949"/>
    <n v="24.509803921568629"/>
    <n v="0.89473684210526316"/>
  </r>
  <r>
    <d v="2026-11-16T00:00:00"/>
    <x v="4"/>
    <x v="2"/>
    <x v="2"/>
    <x v="1"/>
    <n v="400"/>
    <n v="377"/>
    <n v="15"/>
    <n v="362"/>
    <n v="45"/>
    <n v="9.375E-2"/>
    <n v="120"/>
    <n v="30800"/>
    <n v="43440"/>
    <n v="12640"/>
    <n v="0.9425"/>
    <n v="3.9787798408488062E-2"/>
    <n v="0.29097605893186002"/>
    <n v="85.082872928176798"/>
    <n v="435"/>
    <n v="0.8666666666666667"/>
    <n v="34.917127071823202"/>
    <n v="0.83218390804597697"/>
  </r>
  <r>
    <d v="2026-11-17T00:00:00"/>
    <x v="4"/>
    <x v="0"/>
    <x v="0"/>
    <x v="1"/>
    <n v="410"/>
    <n v="378"/>
    <n v="9"/>
    <n v="369"/>
    <n v="20"/>
    <n v="4.1666666666666664E-2"/>
    <n v="120"/>
    <n v="30800"/>
    <n v="44280"/>
    <n v="13480"/>
    <n v="0.92195121951219516"/>
    <n v="2.3809523809523808E-2"/>
    <n v="0.30442637759710928"/>
    <n v="83.468834688346888"/>
    <n v="460"/>
    <n v="0.82173913043478264"/>
    <n v="36.531165311653119"/>
    <n v="0.80217391304347829"/>
  </r>
  <r>
    <d v="2026-11-17T00:00:00"/>
    <x v="4"/>
    <x v="0"/>
    <x v="1"/>
    <x v="2"/>
    <n v="510"/>
    <n v="467"/>
    <n v="16"/>
    <n v="451"/>
    <n v="21"/>
    <n v="4.3749999999999997E-2"/>
    <n v="90"/>
    <n v="30800"/>
    <n v="40590"/>
    <n v="9790"/>
    <n v="0.91568627450980389"/>
    <n v="3.4261241970021415E-2"/>
    <n v="0.24119241192411925"/>
    <n v="68.292682926829272"/>
    <n v="459"/>
    <n v="1.0174291938997821"/>
    <n v="21.707317073170731"/>
    <n v="0.98257080610021785"/>
  </r>
  <r>
    <d v="2026-11-17T00:00:00"/>
    <x v="4"/>
    <x v="0"/>
    <x v="2"/>
    <x v="0"/>
    <n v="470"/>
    <n v="413"/>
    <n v="23"/>
    <n v="390"/>
    <n v="51"/>
    <n v="0.10625"/>
    <n v="100"/>
    <n v="30800"/>
    <n v="39000"/>
    <n v="8200"/>
    <n v="0.87872340425531914"/>
    <n v="5.569007263922518E-2"/>
    <n v="0.21025641025641026"/>
    <n v="78.974358974358978"/>
    <n v="429"/>
    <n v="0.96270396270396275"/>
    <n v="21.025641025641026"/>
    <n v="0.90909090909090906"/>
  </r>
  <r>
    <d v="2026-11-17T00:00:00"/>
    <x v="4"/>
    <x v="1"/>
    <x v="0"/>
    <x v="2"/>
    <n v="500"/>
    <n v="432"/>
    <n v="22"/>
    <n v="410"/>
    <n v="35"/>
    <n v="7.2916666666666671E-2"/>
    <n v="90"/>
    <n v="30800"/>
    <n v="36900"/>
    <n v="6100"/>
    <n v="0.86399999999999999"/>
    <n v="5.0925925925925923E-2"/>
    <n v="0.16531165311653118"/>
    <n v="75.121951219512198"/>
    <n v="445"/>
    <n v="0.97078651685393258"/>
    <n v="14.878048780487806"/>
    <n v="0.9213483146067416"/>
  </r>
  <r>
    <d v="2026-11-17T00:00:00"/>
    <x v="4"/>
    <x v="1"/>
    <x v="1"/>
    <x v="0"/>
    <n v="460"/>
    <n v="394"/>
    <n v="27"/>
    <n v="367"/>
    <n v="62"/>
    <n v="0.12916666666666668"/>
    <n v="100"/>
    <n v="30800"/>
    <n v="36700"/>
    <n v="5900"/>
    <n v="0.85652173913043483"/>
    <n v="6.8527918781725886E-2"/>
    <n v="0.16076294277929154"/>
    <n v="83.923705722070849"/>
    <n v="418"/>
    <n v="0.9425837320574163"/>
    <n v="16.076294277929154"/>
    <n v="0.87799043062200954"/>
  </r>
  <r>
    <d v="2026-11-17T00:00:00"/>
    <x v="4"/>
    <x v="1"/>
    <x v="2"/>
    <x v="1"/>
    <n v="390"/>
    <n v="319"/>
    <n v="19"/>
    <n v="300"/>
    <n v="57"/>
    <n v="0.11874999999999999"/>
    <n v="120"/>
    <n v="30800"/>
    <n v="36000"/>
    <n v="5200"/>
    <n v="0.81794871794871793"/>
    <n v="5.9561128526645767E-2"/>
    <n v="0.14444444444444443"/>
    <n v="102.66666666666667"/>
    <n v="423"/>
    <n v="0.75413711583924348"/>
    <n v="17.333333333333332"/>
    <n v="0.70921985815602839"/>
  </r>
  <r>
    <d v="2026-11-17T00:00:00"/>
    <x v="4"/>
    <x v="2"/>
    <x v="0"/>
    <x v="0"/>
    <n v="430"/>
    <n v="410"/>
    <n v="17"/>
    <n v="393"/>
    <n v="15"/>
    <n v="3.125E-2"/>
    <n v="100"/>
    <n v="30800"/>
    <n v="39300"/>
    <n v="8500"/>
    <n v="0.95348837209302328"/>
    <n v="4.1463414634146344E-2"/>
    <n v="0.21628498727735368"/>
    <n v="78.371501272264638"/>
    <n v="465"/>
    <n v="0.88172043010752688"/>
    <n v="21.628498727735369"/>
    <n v="0.84516129032258069"/>
  </r>
  <r>
    <d v="2026-11-17T00:00:00"/>
    <x v="4"/>
    <x v="2"/>
    <x v="1"/>
    <x v="1"/>
    <n v="410"/>
    <n v="381"/>
    <n v="12"/>
    <n v="369"/>
    <n v="29"/>
    <n v="6.0416666666666667E-2"/>
    <n v="120"/>
    <n v="30800"/>
    <n v="44280"/>
    <n v="13480"/>
    <n v="0.92926829268292688"/>
    <n v="3.1496062992125984E-2"/>
    <n v="0.30442637759710928"/>
    <n v="83.468834688346888"/>
    <n v="451"/>
    <n v="0.84478935698447899"/>
    <n v="36.531165311653119"/>
    <n v="0.81818181818181823"/>
  </r>
  <r>
    <d v="2026-11-17T00:00:00"/>
    <x v="4"/>
    <x v="2"/>
    <x v="2"/>
    <x v="2"/>
    <n v="480"/>
    <n v="444"/>
    <n v="19"/>
    <n v="425"/>
    <n v="33"/>
    <n v="6.8750000000000006E-2"/>
    <n v="90"/>
    <n v="30800"/>
    <n v="38250"/>
    <n v="7450"/>
    <n v="0.92500000000000004"/>
    <n v="4.2792792792792793E-2"/>
    <n v="0.19477124183006536"/>
    <n v="72.470588235294116"/>
    <n v="447"/>
    <n v="0.99328859060402686"/>
    <n v="17.529411764705884"/>
    <n v="0.95078299776286357"/>
  </r>
  <r>
    <d v="2026-11-18T00:00:00"/>
    <x v="4"/>
    <x v="0"/>
    <x v="0"/>
    <x v="2"/>
    <n v="500"/>
    <n v="473"/>
    <n v="17"/>
    <n v="456"/>
    <n v="15"/>
    <n v="3.125E-2"/>
    <n v="90"/>
    <n v="30800"/>
    <n v="41040"/>
    <n v="10240"/>
    <n v="0.94599999999999995"/>
    <n v="3.5940803382663845E-2"/>
    <n v="0.24951267056530213"/>
    <n v="67.543859649122808"/>
    <n v="465"/>
    <n v="1.0172043010752687"/>
    <n v="22.456140350877192"/>
    <n v="0.98064516129032253"/>
  </r>
  <r>
    <d v="2026-11-18T00:00:00"/>
    <x v="4"/>
    <x v="0"/>
    <x v="1"/>
    <x v="0"/>
    <n v="440"/>
    <n v="403"/>
    <n v="21"/>
    <n v="382"/>
    <n v="54"/>
    <n v="0.1125"/>
    <n v="100"/>
    <n v="30800"/>
    <n v="38200"/>
    <n v="7400"/>
    <n v="0.91590909090909089"/>
    <n v="5.2109181141439205E-2"/>
    <n v="0.193717277486911"/>
    <n v="80.6282722513089"/>
    <n v="426"/>
    <n v="0.9460093896713615"/>
    <n v="19.3717277486911"/>
    <n v="0.89671361502347413"/>
  </r>
  <r>
    <d v="2026-11-18T00:00:00"/>
    <x v="4"/>
    <x v="0"/>
    <x v="2"/>
    <x v="1"/>
    <n v="390"/>
    <n v="349"/>
    <n v="17"/>
    <n v="332"/>
    <n v="41"/>
    <n v="8.5416666666666669E-2"/>
    <n v="120"/>
    <n v="30800"/>
    <n v="39840"/>
    <n v="9040"/>
    <n v="0.89487179487179491"/>
    <n v="4.8710601719197708E-2"/>
    <n v="0.22690763052208834"/>
    <n v="92.771084337349393"/>
    <n v="439"/>
    <n v="0.79498861047835989"/>
    <n v="27.228915662650603"/>
    <n v="0.75626423690205014"/>
  </r>
  <r>
    <d v="2026-11-18T00:00:00"/>
    <x v="4"/>
    <x v="1"/>
    <x v="0"/>
    <x v="0"/>
    <n v="440"/>
    <n v="377"/>
    <n v="26"/>
    <n v="351"/>
    <n v="61"/>
    <n v="0.12708333333333333"/>
    <n v="100"/>
    <n v="30800"/>
    <n v="35100"/>
    <n v="4300"/>
    <n v="0.85681818181818181"/>
    <n v="6.8965517241379309E-2"/>
    <n v="0.12250712250712251"/>
    <n v="87.749287749287745"/>
    <n v="419"/>
    <n v="0.89976133651551315"/>
    <n v="12.250712250712251"/>
    <n v="0.83770883054892598"/>
  </r>
  <r>
    <d v="2026-11-18T00:00:00"/>
    <x v="4"/>
    <x v="1"/>
    <x v="1"/>
    <x v="1"/>
    <n v="400"/>
    <n v="358"/>
    <n v="17"/>
    <n v="341"/>
    <n v="57"/>
    <n v="0.11874999999999999"/>
    <n v="120"/>
    <n v="30800"/>
    <n v="40920"/>
    <n v="10120"/>
    <n v="0.89500000000000002"/>
    <n v="4.7486033519553071E-2"/>
    <n v="0.24731182795698925"/>
    <n v="90.322580645161295"/>
    <n v="423"/>
    <n v="0.84633569739952719"/>
    <n v="29.677419354838708"/>
    <n v="0.80614657210401897"/>
  </r>
  <r>
    <d v="2026-11-18T00:00:00"/>
    <x v="4"/>
    <x v="1"/>
    <x v="2"/>
    <x v="2"/>
    <n v="510"/>
    <n v="420"/>
    <n v="23"/>
    <n v="397"/>
    <n v="56"/>
    <n v="0.11666666666666667"/>
    <n v="90"/>
    <n v="30800"/>
    <n v="35730"/>
    <n v="4930"/>
    <n v="0.82352941176470584"/>
    <n v="5.4761904761904762E-2"/>
    <n v="0.13797928911279037"/>
    <n v="77.581863979848862"/>
    <n v="424"/>
    <n v="0.99056603773584906"/>
    <n v="12.418136020151133"/>
    <n v="0.93632075471698117"/>
  </r>
  <r>
    <d v="2026-11-18T00:00:00"/>
    <x v="4"/>
    <x v="2"/>
    <x v="0"/>
    <x v="1"/>
    <n v="390"/>
    <n v="376"/>
    <n v="11"/>
    <n v="365"/>
    <n v="30"/>
    <n v="6.25E-2"/>
    <n v="120"/>
    <n v="30800"/>
    <n v="43800"/>
    <n v="13000"/>
    <n v="0.96410256410256412"/>
    <n v="2.9255319148936171E-2"/>
    <n v="0.29680365296803651"/>
    <n v="84.38356164383562"/>
    <n v="450"/>
    <n v="0.83555555555555561"/>
    <n v="35.61643835616438"/>
    <n v="0.81111111111111112"/>
  </r>
  <r>
    <d v="2026-11-18T00:00:00"/>
    <x v="4"/>
    <x v="2"/>
    <x v="1"/>
    <x v="2"/>
    <n v="500"/>
    <n v="483"/>
    <n v="14"/>
    <n v="469"/>
    <n v="18"/>
    <n v="3.7499999999999999E-2"/>
    <n v="90"/>
    <n v="30800"/>
    <n v="42210"/>
    <n v="11410"/>
    <n v="0.96599999999999997"/>
    <n v="2.8985507246376812E-2"/>
    <n v="0.27031509121061359"/>
    <n v="65.671641791044777"/>
    <n v="462"/>
    <n v="1.0454545454545454"/>
    <n v="24.328358208955223"/>
    <n v="1.0151515151515151"/>
  </r>
  <r>
    <d v="2026-11-18T00:00:00"/>
    <x v="4"/>
    <x v="2"/>
    <x v="2"/>
    <x v="0"/>
    <n v="430"/>
    <n v="380"/>
    <n v="22"/>
    <n v="358"/>
    <n v="35"/>
    <n v="7.2916666666666671E-2"/>
    <n v="100"/>
    <n v="30800"/>
    <n v="35800"/>
    <n v="5000"/>
    <n v="0.88372093023255816"/>
    <n v="5.7894736842105263E-2"/>
    <n v="0.13966480446927373"/>
    <n v="86.033519553072622"/>
    <n v="445"/>
    <n v="0.8539325842696629"/>
    <n v="13.966480446927374"/>
    <n v="0.80449438202247192"/>
  </r>
  <r>
    <d v="2026-11-19T00:00:00"/>
    <x v="4"/>
    <x v="0"/>
    <x v="0"/>
    <x v="0"/>
    <n v="450"/>
    <n v="428"/>
    <n v="20"/>
    <n v="408"/>
    <n v="38"/>
    <n v="7.9166666666666663E-2"/>
    <n v="100"/>
    <n v="30800"/>
    <n v="40800"/>
    <n v="10000"/>
    <n v="0.95111111111111113"/>
    <n v="4.6728971962616821E-2"/>
    <n v="0.24509803921568626"/>
    <n v="75.490196078431367"/>
    <n v="442"/>
    <n v="0.96832579185520362"/>
    <n v="24.509803921568629"/>
    <n v="0.92307692307692313"/>
  </r>
  <r>
    <d v="2026-11-19T00:00:00"/>
    <x v="4"/>
    <x v="0"/>
    <x v="1"/>
    <x v="1"/>
    <n v="410"/>
    <n v="387"/>
    <n v="16"/>
    <n v="371"/>
    <n v="25"/>
    <n v="5.2083333333333336E-2"/>
    <n v="120"/>
    <n v="30800"/>
    <n v="44520"/>
    <n v="13720"/>
    <n v="0.94390243902439019"/>
    <n v="4.1343669250645997E-2"/>
    <n v="0.3081761006289308"/>
    <n v="83.018867924528308"/>
    <n v="455"/>
    <n v="0.85054945054945053"/>
    <n v="36.981132075471699"/>
    <n v="0.81538461538461537"/>
  </r>
  <r>
    <d v="2026-11-19T00:00:00"/>
    <x v="4"/>
    <x v="0"/>
    <x v="2"/>
    <x v="2"/>
    <n v="490"/>
    <n v="433"/>
    <n v="21"/>
    <n v="412"/>
    <n v="38"/>
    <n v="7.9166666666666663E-2"/>
    <n v="90"/>
    <n v="30800"/>
    <n v="37080"/>
    <n v="6280"/>
    <n v="0.88367346938775515"/>
    <n v="4.8498845265588918E-2"/>
    <n v="0.16936353829557713"/>
    <n v="74.757281553398059"/>
    <n v="442"/>
    <n v="0.97963800904977372"/>
    <n v="15.242718446601941"/>
    <n v="0.9321266968325792"/>
  </r>
  <r>
    <d v="2026-11-19T00:00:00"/>
    <x v="4"/>
    <x v="1"/>
    <x v="0"/>
    <x v="1"/>
    <n v="390"/>
    <n v="348"/>
    <n v="16"/>
    <n v="332"/>
    <n v="57"/>
    <n v="0.11874999999999999"/>
    <n v="120"/>
    <n v="30800"/>
    <n v="39840"/>
    <n v="9040"/>
    <n v="0.89230769230769236"/>
    <n v="4.5977011494252873E-2"/>
    <n v="0.22690763052208834"/>
    <n v="92.771084337349393"/>
    <n v="423"/>
    <n v="0.82269503546099287"/>
    <n v="27.228915662650603"/>
    <n v="0.78486997635933808"/>
  </r>
  <r>
    <d v="2026-11-19T00:00:00"/>
    <x v="4"/>
    <x v="1"/>
    <x v="1"/>
    <x v="2"/>
    <n v="490"/>
    <n v="431"/>
    <n v="27"/>
    <n v="404"/>
    <n v="39"/>
    <n v="8.1250000000000003E-2"/>
    <n v="90"/>
    <n v="30800"/>
    <n v="36360"/>
    <n v="5560"/>
    <n v="0.87959183673469388"/>
    <n v="6.2645011600928072E-2"/>
    <n v="0.15291529152915292"/>
    <n v="76.237623762376231"/>
    <n v="441"/>
    <n v="0.9773242630385488"/>
    <n v="13.762376237623762"/>
    <n v="0.91609977324263037"/>
  </r>
  <r>
    <d v="2026-11-19T00:00:00"/>
    <x v="4"/>
    <x v="1"/>
    <x v="2"/>
    <x v="0"/>
    <n v="450"/>
    <n v="367"/>
    <n v="30"/>
    <n v="337"/>
    <n v="73"/>
    <n v="0.15208333333333332"/>
    <n v="100"/>
    <n v="30800"/>
    <n v="33700"/>
    <n v="2900"/>
    <n v="0.81555555555555559"/>
    <n v="8.1743869209809264E-2"/>
    <n v="8.6053412462908013E-2"/>
    <n v="91.394658753709194"/>
    <n v="407"/>
    <n v="0.90171990171990168"/>
    <n v="8.6053412462908003"/>
    <n v="0.82800982800982803"/>
  </r>
  <r>
    <d v="2026-11-19T00:00:00"/>
    <x v="4"/>
    <x v="2"/>
    <x v="0"/>
    <x v="2"/>
    <n v="490"/>
    <n v="472"/>
    <n v="9"/>
    <n v="463"/>
    <n v="25"/>
    <n v="5.2083333333333336E-2"/>
    <n v="90"/>
    <n v="30800"/>
    <n v="41670"/>
    <n v="10870"/>
    <n v="0.96326530612244898"/>
    <n v="1.9067796610169493E-2"/>
    <n v="0.26085913126949845"/>
    <n v="66.522678185745136"/>
    <n v="455"/>
    <n v="1.0373626373626375"/>
    <n v="23.477321814254861"/>
    <n v="1.0175824175824175"/>
  </r>
  <r>
    <d v="2026-11-19T00:00:00"/>
    <x v="4"/>
    <x v="2"/>
    <x v="1"/>
    <x v="0"/>
    <n v="460"/>
    <n v="443"/>
    <n v="16"/>
    <n v="427"/>
    <n v="41"/>
    <n v="8.5416666666666669E-2"/>
    <n v="100"/>
    <n v="30800"/>
    <n v="42700"/>
    <n v="11900"/>
    <n v="0.96304347826086956"/>
    <n v="3.6117381489841983E-2"/>
    <n v="0.27868852459016391"/>
    <n v="72.131147540983605"/>
    <n v="439"/>
    <n v="1.0091116173120729"/>
    <n v="27.868852459016395"/>
    <n v="0.97266514806378135"/>
  </r>
  <r>
    <d v="2026-11-19T00:00:00"/>
    <x v="4"/>
    <x v="2"/>
    <x v="2"/>
    <x v="1"/>
    <n v="410"/>
    <n v="364"/>
    <n v="15"/>
    <n v="349"/>
    <n v="26"/>
    <n v="5.4166666666666669E-2"/>
    <n v="120"/>
    <n v="30800"/>
    <n v="41880"/>
    <n v="11080"/>
    <n v="0.8878048780487805"/>
    <n v="4.1208791208791208E-2"/>
    <n v="0.26456542502387775"/>
    <n v="88.252148997134668"/>
    <n v="454"/>
    <n v="0.80176211453744495"/>
    <n v="31.747851002865328"/>
    <n v="0.7687224669603524"/>
  </r>
  <r>
    <d v="2026-11-20T00:00:00"/>
    <x v="4"/>
    <x v="0"/>
    <x v="0"/>
    <x v="1"/>
    <n v="400"/>
    <n v="377"/>
    <n v="8"/>
    <n v="369"/>
    <n v="24"/>
    <n v="0.05"/>
    <n v="120"/>
    <n v="30800"/>
    <n v="44280"/>
    <n v="13480"/>
    <n v="0.9425"/>
    <n v="2.1220159151193633E-2"/>
    <n v="0.30442637759710928"/>
    <n v="83.468834688346888"/>
    <n v="456"/>
    <n v="0.82675438596491224"/>
    <n v="36.531165311653119"/>
    <n v="0.80921052631578949"/>
  </r>
  <r>
    <d v="2026-11-20T00:00:00"/>
    <x v="4"/>
    <x v="0"/>
    <x v="1"/>
    <x v="2"/>
    <n v="490"/>
    <n v="463"/>
    <n v="19"/>
    <n v="444"/>
    <n v="32"/>
    <n v="6.6666666666666666E-2"/>
    <n v="90"/>
    <n v="30800"/>
    <n v="39960"/>
    <n v="9160"/>
    <n v="0.94489795918367347"/>
    <n v="4.1036717062634988E-2"/>
    <n v="0.22922922922922923"/>
    <n v="69.369369369369366"/>
    <n v="448"/>
    <n v="1.0334821428571428"/>
    <n v="20.63063063063063"/>
    <n v="0.9910714285714286"/>
  </r>
  <r>
    <d v="2026-11-20T00:00:00"/>
    <x v="4"/>
    <x v="0"/>
    <x v="2"/>
    <x v="0"/>
    <n v="440"/>
    <n v="399"/>
    <n v="23"/>
    <n v="376"/>
    <n v="46"/>
    <n v="9.583333333333334E-2"/>
    <n v="100"/>
    <n v="30800"/>
    <n v="37600"/>
    <n v="6800"/>
    <n v="0.90681818181818186"/>
    <n v="5.764411027568922E-2"/>
    <n v="0.18085106382978725"/>
    <n v="81.914893617021278"/>
    <n v="434"/>
    <n v="0.91935483870967738"/>
    <n v="18.085106382978722"/>
    <n v="0.86635944700460832"/>
  </r>
  <r>
    <d v="2026-11-20T00:00:00"/>
    <x v="4"/>
    <x v="1"/>
    <x v="0"/>
    <x v="2"/>
    <n v="510"/>
    <n v="454"/>
    <n v="22"/>
    <n v="432"/>
    <n v="34"/>
    <n v="7.0833333333333331E-2"/>
    <n v="90"/>
    <n v="30800"/>
    <n v="38880"/>
    <n v="8080"/>
    <n v="0.8901960784313725"/>
    <n v="4.8458149779735685E-2"/>
    <n v="0.20781893004115226"/>
    <n v="71.296296296296291"/>
    <n v="446"/>
    <n v="1.0179372197309418"/>
    <n v="18.703703703703702"/>
    <n v="0.96860986547085204"/>
  </r>
  <r>
    <d v="2026-11-20T00:00:00"/>
    <x v="4"/>
    <x v="1"/>
    <x v="1"/>
    <x v="0"/>
    <n v="440"/>
    <n v="383"/>
    <n v="27"/>
    <n v="356"/>
    <n v="65"/>
    <n v="0.13541666666666666"/>
    <n v="100"/>
    <n v="30800"/>
    <n v="35600"/>
    <n v="4800"/>
    <n v="0.87045454545454548"/>
    <n v="7.0496083550913843E-2"/>
    <n v="0.1348314606741573"/>
    <n v="86.516853932584269"/>
    <n v="415"/>
    <n v="0.92289156626506019"/>
    <n v="13.48314606741573"/>
    <n v="0.85783132530120487"/>
  </r>
  <r>
    <d v="2026-11-20T00:00:00"/>
    <x v="4"/>
    <x v="1"/>
    <x v="2"/>
    <x v="1"/>
    <n v="400"/>
    <n v="348"/>
    <n v="18"/>
    <n v="330"/>
    <n v="52"/>
    <n v="0.10833333333333334"/>
    <n v="120"/>
    <n v="30800"/>
    <n v="39600"/>
    <n v="8800"/>
    <n v="0.87"/>
    <n v="5.1724137931034482E-2"/>
    <n v="0.22222222222222221"/>
    <n v="93.333333333333329"/>
    <n v="428"/>
    <n v="0.81308411214953269"/>
    <n v="26.666666666666668"/>
    <n v="0.7710280373831776"/>
  </r>
  <r>
    <d v="2026-11-20T00:00:00"/>
    <x v="4"/>
    <x v="2"/>
    <x v="0"/>
    <x v="0"/>
    <n v="450"/>
    <n v="437"/>
    <n v="13"/>
    <n v="424"/>
    <n v="30"/>
    <n v="6.25E-2"/>
    <n v="100"/>
    <n v="30800"/>
    <n v="42400"/>
    <n v="11600"/>
    <n v="0.97111111111111115"/>
    <n v="2.9748283752860413E-2"/>
    <n v="0.27358490566037735"/>
    <n v="72.64150943396227"/>
    <n v="450"/>
    <n v="0.97111111111111115"/>
    <n v="27.358490566037737"/>
    <n v="0.94222222222222218"/>
  </r>
  <r>
    <d v="2026-11-20T00:00:00"/>
    <x v="4"/>
    <x v="2"/>
    <x v="1"/>
    <x v="1"/>
    <n v="380"/>
    <n v="352"/>
    <n v="7"/>
    <n v="345"/>
    <n v="37"/>
    <n v="7.7083333333333337E-2"/>
    <n v="120"/>
    <n v="30800"/>
    <n v="41400"/>
    <n v="10600"/>
    <n v="0.9263157894736842"/>
    <n v="1.9886363636363636E-2"/>
    <n v="0.2560386473429952"/>
    <n v="89.275362318840578"/>
    <n v="443"/>
    <n v="0.79458239277652365"/>
    <n v="30.724637681159422"/>
    <n v="0.77878103837471779"/>
  </r>
  <r>
    <d v="2026-11-20T00:00:00"/>
    <x v="4"/>
    <x v="2"/>
    <x v="2"/>
    <x v="2"/>
    <n v="520"/>
    <n v="473"/>
    <n v="21"/>
    <n v="452"/>
    <n v="42"/>
    <n v="8.7499999999999994E-2"/>
    <n v="90"/>
    <n v="30800"/>
    <n v="40680"/>
    <n v="9880"/>
    <n v="0.9096153846153846"/>
    <n v="4.4397463002114168E-2"/>
    <n v="0.24287118977384464"/>
    <n v="68.141592920353986"/>
    <n v="438"/>
    <n v="1.0799086757990868"/>
    <n v="21.858407079646017"/>
    <n v="1.0319634703196348"/>
  </r>
  <r>
    <d v="2026-11-21T00:00:00"/>
    <x v="4"/>
    <x v="0"/>
    <x v="0"/>
    <x v="2"/>
    <n v="510"/>
    <n v="468"/>
    <n v="16"/>
    <n v="452"/>
    <n v="29"/>
    <n v="6.0416666666666667E-2"/>
    <n v="90"/>
    <n v="30800"/>
    <n v="40680"/>
    <n v="9880"/>
    <n v="0.91764705882352937"/>
    <n v="3.4188034188034191E-2"/>
    <n v="0.24287118977384464"/>
    <n v="68.141592920353986"/>
    <n v="451"/>
    <n v="1.0376940133037693"/>
    <n v="21.858407079646017"/>
    <n v="1.0022172949002217"/>
  </r>
  <r>
    <d v="2026-11-21T00:00:00"/>
    <x v="4"/>
    <x v="0"/>
    <x v="1"/>
    <x v="0"/>
    <n v="450"/>
    <n v="428"/>
    <n v="22"/>
    <n v="406"/>
    <n v="31"/>
    <n v="6.458333333333334E-2"/>
    <n v="100"/>
    <n v="30800"/>
    <n v="40600"/>
    <n v="9800"/>
    <n v="0.95111111111111113"/>
    <n v="5.1401869158878503E-2"/>
    <n v="0.2413793103448276"/>
    <n v="75.862068965517238"/>
    <n v="449"/>
    <n v="0.95322939866369716"/>
    <n v="24.137931034482758"/>
    <n v="0.90423162583518935"/>
  </r>
  <r>
    <d v="2026-11-21T00:00:00"/>
    <x v="4"/>
    <x v="0"/>
    <x v="2"/>
    <x v="1"/>
    <n v="390"/>
    <n v="349"/>
    <n v="17"/>
    <n v="332"/>
    <n v="51"/>
    <n v="0.10625"/>
    <n v="120"/>
    <n v="30800"/>
    <n v="39840"/>
    <n v="9040"/>
    <n v="0.89487179487179491"/>
    <n v="4.8710601719197708E-2"/>
    <n v="0.22690763052208834"/>
    <n v="92.771084337349393"/>
    <n v="429"/>
    <n v="0.81351981351981351"/>
    <n v="27.228915662650603"/>
    <n v="0.77389277389277389"/>
  </r>
  <r>
    <d v="2026-11-21T00:00:00"/>
    <x v="4"/>
    <x v="1"/>
    <x v="0"/>
    <x v="0"/>
    <n v="440"/>
    <n v="377"/>
    <n v="22"/>
    <n v="355"/>
    <n v="44"/>
    <n v="9.166666666666666E-2"/>
    <n v="100"/>
    <n v="30800"/>
    <n v="35500"/>
    <n v="4700"/>
    <n v="0.85681818181818181"/>
    <n v="5.8355437665782495E-2"/>
    <n v="0.13239436619718309"/>
    <n v="86.760563380281695"/>
    <n v="436"/>
    <n v="0.86467889908256879"/>
    <n v="13.23943661971831"/>
    <n v="0.81422018348623848"/>
  </r>
  <r>
    <d v="2026-11-21T00:00:00"/>
    <x v="4"/>
    <x v="1"/>
    <x v="1"/>
    <x v="1"/>
    <n v="420"/>
    <n v="371"/>
    <n v="21"/>
    <n v="350"/>
    <n v="60"/>
    <n v="0.125"/>
    <n v="120"/>
    <n v="30800"/>
    <n v="42000"/>
    <n v="11200"/>
    <n v="0.8833333333333333"/>
    <n v="5.6603773584905662E-2"/>
    <n v="0.26666666666666666"/>
    <n v="88"/>
    <n v="420"/>
    <n v="0.8833333333333333"/>
    <n v="32"/>
    <n v="0.83333333333333337"/>
  </r>
  <r>
    <d v="2026-11-21T00:00:00"/>
    <x v="4"/>
    <x v="1"/>
    <x v="2"/>
    <x v="2"/>
    <n v="490"/>
    <n v="422"/>
    <n v="28"/>
    <n v="394"/>
    <n v="52"/>
    <n v="0.10833333333333334"/>
    <n v="90"/>
    <n v="30800"/>
    <n v="35460"/>
    <n v="4660"/>
    <n v="0.86122448979591837"/>
    <n v="6.6350710900473939E-2"/>
    <n v="0.13141567963902989"/>
    <n v="78.172588832487307"/>
    <n v="428"/>
    <n v="0.98598130841121501"/>
    <n v="11.82741116751269"/>
    <n v="0.92056074766355145"/>
  </r>
  <r>
    <d v="2026-11-21T00:00:00"/>
    <x v="4"/>
    <x v="2"/>
    <x v="0"/>
    <x v="1"/>
    <n v="390"/>
    <n v="380"/>
    <n v="9"/>
    <n v="371"/>
    <n v="25"/>
    <n v="5.2083333333333336E-2"/>
    <n v="120"/>
    <n v="30800"/>
    <n v="44520"/>
    <n v="13720"/>
    <n v="0.97435897435897434"/>
    <n v="2.368421052631579E-2"/>
    <n v="0.3081761006289308"/>
    <n v="83.018867924528308"/>
    <n v="455"/>
    <n v="0.8351648351648352"/>
    <n v="36.981132075471699"/>
    <n v="0.81538461538461537"/>
  </r>
  <r>
    <d v="2026-11-21T00:00:00"/>
    <x v="4"/>
    <x v="2"/>
    <x v="1"/>
    <x v="2"/>
    <n v="490"/>
    <n v="469"/>
    <n v="11"/>
    <n v="458"/>
    <n v="32"/>
    <n v="6.6666666666666666E-2"/>
    <n v="90"/>
    <n v="30800"/>
    <n v="41220"/>
    <n v="10420"/>
    <n v="0.95714285714285718"/>
    <n v="2.3454157782515993E-2"/>
    <n v="0.25278990781174188"/>
    <n v="67.248908296943227"/>
    <n v="448"/>
    <n v="1.046875"/>
    <n v="22.751091703056769"/>
    <n v="1.0223214285714286"/>
  </r>
  <r>
    <d v="2026-11-21T00:00:00"/>
    <x v="4"/>
    <x v="2"/>
    <x v="2"/>
    <x v="0"/>
    <n v="440"/>
    <n v="401"/>
    <n v="19"/>
    <n v="382"/>
    <n v="52"/>
    <n v="0.10833333333333334"/>
    <n v="100"/>
    <n v="30800"/>
    <n v="38200"/>
    <n v="7400"/>
    <n v="0.91136363636363638"/>
    <n v="4.738154613466334E-2"/>
    <n v="0.193717277486911"/>
    <n v="80.6282722513089"/>
    <n v="428"/>
    <n v="0.93691588785046731"/>
    <n v="19.3717277486911"/>
    <n v="0.89252336448598135"/>
  </r>
  <r>
    <d v="2026-11-22T00:00:00"/>
    <x v="4"/>
    <x v="0"/>
    <x v="0"/>
    <x v="0"/>
    <n v="430"/>
    <n v="409"/>
    <n v="21"/>
    <n v="388"/>
    <n v="28"/>
    <n v="5.8333333333333334E-2"/>
    <n v="100"/>
    <n v="30800"/>
    <n v="38800"/>
    <n v="8000"/>
    <n v="0.9511627906976744"/>
    <n v="5.1344743276283619E-2"/>
    <n v="0.20618556701030927"/>
    <n v="79.381443298969074"/>
    <n v="452"/>
    <n v="0.90486725663716816"/>
    <n v="20.618556701030929"/>
    <n v="0.8584070796460177"/>
  </r>
  <r>
    <d v="2026-11-22T00:00:00"/>
    <x v="4"/>
    <x v="0"/>
    <x v="1"/>
    <x v="1"/>
    <n v="410"/>
    <n v="380"/>
    <n v="10"/>
    <n v="370"/>
    <n v="32"/>
    <n v="6.6666666666666666E-2"/>
    <n v="120"/>
    <n v="30800"/>
    <n v="44400"/>
    <n v="13600"/>
    <n v="0.92682926829268297"/>
    <n v="2.6315789473684209E-2"/>
    <n v="0.30630630630630629"/>
    <n v="83.243243243243242"/>
    <n v="448"/>
    <n v="0.8482142857142857"/>
    <n v="36.756756756756758"/>
    <n v="0.8258928571428571"/>
  </r>
  <r>
    <d v="2026-11-22T00:00:00"/>
    <x v="4"/>
    <x v="0"/>
    <x v="2"/>
    <x v="2"/>
    <n v="500"/>
    <n v="443"/>
    <n v="18"/>
    <n v="425"/>
    <n v="47"/>
    <n v="9.7916666666666666E-2"/>
    <n v="90"/>
    <n v="30800"/>
    <n v="38250"/>
    <n v="7450"/>
    <n v="0.88600000000000001"/>
    <n v="4.0632054176072234E-2"/>
    <n v="0.19477124183006536"/>
    <n v="72.470588235294116"/>
    <n v="433"/>
    <n v="1.0230946882217089"/>
    <n v="17.529411764705884"/>
    <n v="0.98152424942263283"/>
  </r>
  <r>
    <d v="2026-11-22T00:00:00"/>
    <x v="4"/>
    <x v="1"/>
    <x v="0"/>
    <x v="1"/>
    <n v="390"/>
    <n v="337"/>
    <n v="14"/>
    <n v="323"/>
    <n v="43"/>
    <n v="8.9583333333333334E-2"/>
    <n v="120"/>
    <n v="30800"/>
    <n v="38760"/>
    <n v="7960"/>
    <n v="0.86410256410256414"/>
    <n v="4.1543026706231452E-2"/>
    <n v="0.20536635706914344"/>
    <n v="95.356037151702793"/>
    <n v="437"/>
    <n v="0.77116704805491987"/>
    <n v="24.643962848297214"/>
    <n v="0.73913043478260865"/>
  </r>
  <r>
    <d v="2026-11-22T00:00:00"/>
    <x v="4"/>
    <x v="1"/>
    <x v="1"/>
    <x v="2"/>
    <n v="510"/>
    <n v="443"/>
    <n v="22"/>
    <n v="421"/>
    <n v="53"/>
    <n v="0.11041666666666666"/>
    <n v="90"/>
    <n v="30800"/>
    <n v="37890"/>
    <n v="7090"/>
    <n v="0.86862745098039218"/>
    <n v="4.9661399548532728E-2"/>
    <n v="0.18712061229875956"/>
    <n v="73.159144893111645"/>
    <n v="427"/>
    <n v="1.0374707259953162"/>
    <n v="16.840855106888363"/>
    <n v="0.98594847775175642"/>
  </r>
  <r>
    <d v="2026-11-22T00:00:00"/>
    <x v="4"/>
    <x v="1"/>
    <x v="2"/>
    <x v="0"/>
    <n v="450"/>
    <n v="392"/>
    <n v="27"/>
    <n v="365"/>
    <n v="73"/>
    <n v="0.15208333333333332"/>
    <n v="100"/>
    <n v="30800"/>
    <n v="36500"/>
    <n v="5700"/>
    <n v="0.87111111111111106"/>
    <n v="6.8877551020408156E-2"/>
    <n v="0.15616438356164383"/>
    <n v="84.38356164383562"/>
    <n v="407"/>
    <n v="0.96314496314496312"/>
    <n v="15.616438356164384"/>
    <n v="0.89680589680589684"/>
  </r>
  <r>
    <d v="2026-11-22T00:00:00"/>
    <x v="4"/>
    <x v="2"/>
    <x v="0"/>
    <x v="2"/>
    <n v="490"/>
    <n v="465"/>
    <n v="12"/>
    <n v="453"/>
    <n v="11"/>
    <n v="2.2916666666666665E-2"/>
    <n v="90"/>
    <n v="30800"/>
    <n v="40770"/>
    <n v="9970"/>
    <n v="0.94897959183673475"/>
    <n v="2.5806451612903226E-2"/>
    <n v="0.24454255580083395"/>
    <n v="67.99116997792494"/>
    <n v="469"/>
    <n v="0.99147121535181237"/>
    <n v="22.008830022075056"/>
    <n v="0.9658848614072495"/>
  </r>
  <r>
    <d v="2026-11-22T00:00:00"/>
    <x v="4"/>
    <x v="2"/>
    <x v="1"/>
    <x v="0"/>
    <n v="440"/>
    <n v="411"/>
    <n v="17"/>
    <n v="394"/>
    <n v="23"/>
    <n v="4.791666666666667E-2"/>
    <n v="100"/>
    <n v="30800"/>
    <n v="39400"/>
    <n v="8600"/>
    <n v="0.93409090909090908"/>
    <n v="4.1362530413625302E-2"/>
    <n v="0.21827411167512689"/>
    <n v="78.172588832487307"/>
    <n v="457"/>
    <n v="0.89934354485776802"/>
    <n v="21.82741116751269"/>
    <n v="0.862144420131291"/>
  </r>
  <r>
    <d v="2026-11-22T00:00:00"/>
    <x v="4"/>
    <x v="2"/>
    <x v="2"/>
    <x v="1"/>
    <n v="390"/>
    <n v="349"/>
    <n v="14"/>
    <n v="335"/>
    <n v="37"/>
    <n v="7.7083333333333337E-2"/>
    <n v="120"/>
    <n v="30800"/>
    <n v="40200"/>
    <n v="9400"/>
    <n v="0.89487179487179491"/>
    <n v="4.0114613180515762E-2"/>
    <n v="0.23383084577114427"/>
    <n v="91.940298507462686"/>
    <n v="443"/>
    <n v="0.78781038374717838"/>
    <n v="28.059701492537314"/>
    <n v="0.75620767494356655"/>
  </r>
  <r>
    <d v="2026-11-23T00:00:00"/>
    <x v="4"/>
    <x v="0"/>
    <x v="0"/>
    <x v="1"/>
    <n v="390"/>
    <n v="362"/>
    <n v="12"/>
    <n v="350"/>
    <n v="37"/>
    <n v="7.7083333333333337E-2"/>
    <n v="120"/>
    <n v="30800"/>
    <n v="42000"/>
    <n v="11200"/>
    <n v="0.92820512820512824"/>
    <n v="3.3149171270718231E-2"/>
    <n v="0.26666666666666666"/>
    <n v="88"/>
    <n v="443"/>
    <n v="0.81715575620767489"/>
    <n v="32"/>
    <n v="0.79006772009029347"/>
  </r>
  <r>
    <d v="2026-11-23T00:00:00"/>
    <x v="4"/>
    <x v="0"/>
    <x v="1"/>
    <x v="2"/>
    <n v="510"/>
    <n v="478"/>
    <n v="19"/>
    <n v="459"/>
    <n v="25"/>
    <n v="5.2083333333333336E-2"/>
    <n v="90"/>
    <n v="30800"/>
    <n v="41310"/>
    <n v="10510"/>
    <n v="0.93725490196078431"/>
    <n v="3.9748953974895397E-2"/>
    <n v="0.25441781650931977"/>
    <n v="67.102396514161214"/>
    <n v="455"/>
    <n v="1.0505494505494506"/>
    <n v="22.897603485838779"/>
    <n v="1.0087912087912088"/>
  </r>
  <r>
    <d v="2026-11-23T00:00:00"/>
    <x v="4"/>
    <x v="0"/>
    <x v="2"/>
    <x v="0"/>
    <n v="470"/>
    <n v="432"/>
    <n v="22"/>
    <n v="410"/>
    <n v="52"/>
    <n v="0.10833333333333334"/>
    <n v="100"/>
    <n v="30800"/>
    <n v="41000"/>
    <n v="10200"/>
    <n v="0.91914893617021276"/>
    <n v="5.0925925925925923E-2"/>
    <n v="0.24878048780487805"/>
    <n v="75.121951219512198"/>
    <n v="428"/>
    <n v="1.0093457943925233"/>
    <n v="24.878048780487806"/>
    <n v="0.95794392523364491"/>
  </r>
  <r>
    <d v="2026-11-23T00:00:00"/>
    <x v="4"/>
    <x v="1"/>
    <x v="0"/>
    <x v="2"/>
    <n v="510"/>
    <n v="444"/>
    <n v="22"/>
    <n v="422"/>
    <n v="45"/>
    <n v="9.375E-2"/>
    <n v="90"/>
    <n v="30800"/>
    <n v="37980"/>
    <n v="7180"/>
    <n v="0.87058823529411766"/>
    <n v="4.954954954954955E-2"/>
    <n v="0.18904686677198526"/>
    <n v="72.985781990521332"/>
    <n v="435"/>
    <n v="1.0206896551724138"/>
    <n v="17.014218009478672"/>
    <n v="0.97011494252873565"/>
  </r>
  <r>
    <d v="2026-11-23T00:00:00"/>
    <x v="4"/>
    <x v="1"/>
    <x v="1"/>
    <x v="0"/>
    <n v="430"/>
    <n v="376"/>
    <n v="27"/>
    <n v="349"/>
    <n v="55"/>
    <n v="0.11458333333333333"/>
    <n v="100"/>
    <n v="30800"/>
    <n v="34900"/>
    <n v="4100"/>
    <n v="0.87441860465116283"/>
    <n v="7.1808510638297879E-2"/>
    <n v="0.1174785100286533"/>
    <n v="88.252148997134668"/>
    <n v="425"/>
    <n v="0.88470588235294123"/>
    <n v="11.74785100286533"/>
    <n v="0.82117647058823529"/>
  </r>
  <r>
    <d v="2026-11-23T00:00:00"/>
    <x v="4"/>
    <x v="1"/>
    <x v="2"/>
    <x v="1"/>
    <n v="400"/>
    <n v="333"/>
    <n v="22"/>
    <n v="311"/>
    <n v="53"/>
    <n v="0.11041666666666666"/>
    <n v="120"/>
    <n v="30800"/>
    <n v="37320"/>
    <n v="6520"/>
    <n v="0.83250000000000002"/>
    <n v="6.6066066066066062E-2"/>
    <n v="0.17470525187566988"/>
    <n v="99.035369774919616"/>
    <n v="427"/>
    <n v="0.77985948477751754"/>
    <n v="20.964630225080384"/>
    <n v="0.72833723653395788"/>
  </r>
  <r>
    <d v="2026-11-23T00:00:00"/>
    <x v="4"/>
    <x v="2"/>
    <x v="0"/>
    <x v="0"/>
    <n v="460"/>
    <n v="438"/>
    <n v="13"/>
    <n v="425"/>
    <n v="30"/>
    <n v="6.25E-2"/>
    <n v="100"/>
    <n v="30800"/>
    <n v="42500"/>
    <n v="11700"/>
    <n v="0.95217391304347831"/>
    <n v="2.9680365296803651E-2"/>
    <n v="0.2752941176470588"/>
    <n v="72.470588235294116"/>
    <n v="450"/>
    <n v="0.97333333333333338"/>
    <n v="27.529411764705884"/>
    <n v="0.94444444444444442"/>
  </r>
  <r>
    <d v="2026-11-23T00:00:00"/>
    <x v="4"/>
    <x v="2"/>
    <x v="1"/>
    <x v="1"/>
    <n v="390"/>
    <n v="370"/>
    <n v="10"/>
    <n v="360"/>
    <n v="39"/>
    <n v="8.1250000000000003E-2"/>
    <n v="120"/>
    <n v="30800"/>
    <n v="43200"/>
    <n v="12400"/>
    <n v="0.94871794871794868"/>
    <n v="2.7027027027027029E-2"/>
    <n v="0.28703703703703703"/>
    <n v="85.555555555555557"/>
    <n v="441"/>
    <n v="0.83900226757369611"/>
    <n v="34.444444444444443"/>
    <n v="0.81632653061224492"/>
  </r>
  <r>
    <d v="2026-11-23T00:00:00"/>
    <x v="4"/>
    <x v="2"/>
    <x v="2"/>
    <x v="2"/>
    <n v="500"/>
    <n v="451"/>
    <n v="18"/>
    <n v="433"/>
    <n v="18"/>
    <n v="3.7499999999999999E-2"/>
    <n v="90"/>
    <n v="30800"/>
    <n v="38970"/>
    <n v="8170"/>
    <n v="0.90200000000000002"/>
    <n v="3.9911308203991129E-2"/>
    <n v="0.20964844752373621"/>
    <n v="71.131639722863738"/>
    <n v="462"/>
    <n v="0.97619047619047616"/>
    <n v="18.868360277136258"/>
    <n v="0.93722943722943719"/>
  </r>
  <r>
    <d v="2026-11-24T00:00:00"/>
    <x v="4"/>
    <x v="0"/>
    <x v="0"/>
    <x v="2"/>
    <n v="520"/>
    <n v="477"/>
    <n v="14"/>
    <n v="463"/>
    <n v="33"/>
    <n v="6.8750000000000006E-2"/>
    <n v="90"/>
    <n v="30800"/>
    <n v="41670"/>
    <n v="10870"/>
    <n v="0.91730769230769227"/>
    <n v="2.9350104821802937E-2"/>
    <n v="0.26085913126949845"/>
    <n v="66.522678185745136"/>
    <n v="447"/>
    <n v="1.0671140939597314"/>
    <n v="23.477321814254861"/>
    <n v="1.0357941834451903"/>
  </r>
  <r>
    <d v="2026-11-24T00:00:00"/>
    <x v="4"/>
    <x v="0"/>
    <x v="1"/>
    <x v="0"/>
    <n v="430"/>
    <n v="404"/>
    <n v="18"/>
    <n v="386"/>
    <n v="44"/>
    <n v="9.166666666666666E-2"/>
    <n v="100"/>
    <n v="30800"/>
    <n v="38600"/>
    <n v="7800"/>
    <n v="0.93953488372093019"/>
    <n v="4.4554455445544552E-2"/>
    <n v="0.20207253886010362"/>
    <n v="79.792746113989637"/>
    <n v="436"/>
    <n v="0.92660550458715596"/>
    <n v="20.207253886010363"/>
    <n v="0.88532110091743121"/>
  </r>
  <r>
    <d v="2026-11-24T00:00:00"/>
    <x v="4"/>
    <x v="0"/>
    <x v="2"/>
    <x v="1"/>
    <n v="410"/>
    <n v="357"/>
    <n v="14"/>
    <n v="343"/>
    <n v="55"/>
    <n v="0.11458333333333333"/>
    <n v="120"/>
    <n v="30800"/>
    <n v="41160"/>
    <n v="10360"/>
    <n v="0.87073170731707317"/>
    <n v="3.9215686274509803E-2"/>
    <n v="0.25170068027210885"/>
    <n v="89.795918367346943"/>
    <n v="425"/>
    <n v="0.84"/>
    <n v="30.204081632653061"/>
    <n v="0.80705882352941172"/>
  </r>
  <r>
    <d v="2026-11-24T00:00:00"/>
    <x v="4"/>
    <x v="1"/>
    <x v="0"/>
    <x v="0"/>
    <n v="460"/>
    <n v="406"/>
    <n v="27"/>
    <n v="379"/>
    <n v="52"/>
    <n v="0.10833333333333334"/>
    <n v="100"/>
    <n v="30800"/>
    <n v="37900"/>
    <n v="7100"/>
    <n v="0.88260869565217392"/>
    <n v="6.6502463054187194E-2"/>
    <n v="0.18733509234828497"/>
    <n v="81.266490765171497"/>
    <n v="428"/>
    <n v="0.94859813084112155"/>
    <n v="18.733509234828496"/>
    <n v="0.88551401869158874"/>
  </r>
  <r>
    <d v="2026-11-24T00:00:00"/>
    <x v="4"/>
    <x v="1"/>
    <x v="1"/>
    <x v="1"/>
    <n v="400"/>
    <n v="355"/>
    <n v="20"/>
    <n v="335"/>
    <n v="45"/>
    <n v="9.375E-2"/>
    <n v="120"/>
    <n v="30800"/>
    <n v="40200"/>
    <n v="9400"/>
    <n v="0.88749999999999996"/>
    <n v="5.6338028169014086E-2"/>
    <n v="0.23383084577114427"/>
    <n v="91.940298507462686"/>
    <n v="435"/>
    <n v="0.81609195402298851"/>
    <n v="28.059701492537314"/>
    <n v="0.77011494252873558"/>
  </r>
  <r>
    <d v="2026-11-24T00:00:00"/>
    <x v="4"/>
    <x v="1"/>
    <x v="2"/>
    <x v="2"/>
    <n v="520"/>
    <n v="436"/>
    <n v="24"/>
    <n v="412"/>
    <n v="57"/>
    <n v="0.11874999999999999"/>
    <n v="90"/>
    <n v="30800"/>
    <n v="37080"/>
    <n v="6280"/>
    <n v="0.83846153846153848"/>
    <n v="5.5045871559633031E-2"/>
    <n v="0.16936353829557713"/>
    <n v="74.757281553398059"/>
    <n v="423"/>
    <n v="1.0307328605200945"/>
    <n v="15.242718446601941"/>
    <n v="0.97399527186761226"/>
  </r>
  <r>
    <d v="2026-11-24T00:00:00"/>
    <x v="4"/>
    <x v="2"/>
    <x v="0"/>
    <x v="1"/>
    <n v="410"/>
    <n v="396"/>
    <n v="9"/>
    <n v="387"/>
    <n v="16"/>
    <n v="3.3333333333333333E-2"/>
    <n v="120"/>
    <n v="30800"/>
    <n v="46440"/>
    <n v="15640"/>
    <n v="0.96585365853658534"/>
    <n v="2.2727272727272728E-2"/>
    <n v="0.33677863910422051"/>
    <n v="79.586563307493535"/>
    <n v="464"/>
    <n v="0.85344827586206895"/>
    <n v="40.413436692506458"/>
    <n v="0.83405172413793105"/>
  </r>
  <r>
    <d v="2026-11-24T00:00:00"/>
    <x v="4"/>
    <x v="2"/>
    <x v="1"/>
    <x v="2"/>
    <n v="500"/>
    <n v="470"/>
    <n v="18"/>
    <n v="452"/>
    <n v="28"/>
    <n v="5.8333333333333334E-2"/>
    <n v="90"/>
    <n v="30800"/>
    <n v="40680"/>
    <n v="9880"/>
    <n v="0.94"/>
    <n v="3.8297872340425532E-2"/>
    <n v="0.24287118977384464"/>
    <n v="68.141592920353986"/>
    <n v="452"/>
    <n v="1.0398230088495575"/>
    <n v="21.858407079646017"/>
    <n v="1"/>
  </r>
  <r>
    <d v="2026-11-24T00:00:00"/>
    <x v="4"/>
    <x v="2"/>
    <x v="2"/>
    <x v="0"/>
    <n v="450"/>
    <n v="402"/>
    <n v="20"/>
    <n v="382"/>
    <n v="42"/>
    <n v="8.7499999999999994E-2"/>
    <n v="100"/>
    <n v="30800"/>
    <n v="38200"/>
    <n v="7400"/>
    <n v="0.89333333333333331"/>
    <n v="4.975124378109453E-2"/>
    <n v="0.193717277486911"/>
    <n v="80.6282722513089"/>
    <n v="438"/>
    <n v="0.9178082191780822"/>
    <n v="19.3717277486911"/>
    <n v="0.87214611872146119"/>
  </r>
  <r>
    <d v="2026-11-25T00:00:00"/>
    <x v="4"/>
    <x v="0"/>
    <x v="0"/>
    <x v="0"/>
    <n v="430"/>
    <n v="401"/>
    <n v="19"/>
    <n v="382"/>
    <n v="45"/>
    <n v="9.375E-2"/>
    <n v="100"/>
    <n v="30800"/>
    <n v="38200"/>
    <n v="7400"/>
    <n v="0.93255813953488376"/>
    <n v="4.738154613466334E-2"/>
    <n v="0.193717277486911"/>
    <n v="80.6282722513089"/>
    <n v="435"/>
    <n v="0.92183908045977014"/>
    <n v="19.3717277486911"/>
    <n v="0.8781609195402299"/>
  </r>
  <r>
    <d v="2026-11-25T00:00:00"/>
    <x v="4"/>
    <x v="0"/>
    <x v="1"/>
    <x v="1"/>
    <n v="400"/>
    <n v="379"/>
    <n v="10"/>
    <n v="369"/>
    <n v="35"/>
    <n v="7.2916666666666671E-2"/>
    <n v="120"/>
    <n v="30800"/>
    <n v="44280"/>
    <n v="13480"/>
    <n v="0.94750000000000001"/>
    <n v="2.6385224274406333E-2"/>
    <n v="0.30442637759710928"/>
    <n v="83.468834688346888"/>
    <n v="445"/>
    <n v="0.85168539325842696"/>
    <n v="36.531165311653119"/>
    <n v="0.82921348314606746"/>
  </r>
  <r>
    <d v="2026-11-25T00:00:00"/>
    <x v="4"/>
    <x v="0"/>
    <x v="2"/>
    <x v="2"/>
    <n v="500"/>
    <n v="455"/>
    <n v="22"/>
    <n v="433"/>
    <n v="50"/>
    <n v="0.10416666666666667"/>
    <n v="90"/>
    <n v="30800"/>
    <n v="38970"/>
    <n v="8170"/>
    <n v="0.91"/>
    <n v="4.8351648351648353E-2"/>
    <n v="0.20964844752373621"/>
    <n v="71.131639722863738"/>
    <n v="430"/>
    <n v="1.058139534883721"/>
    <n v="18.868360277136258"/>
    <n v="1.0069767441860464"/>
  </r>
  <r>
    <d v="2026-11-25T00:00:00"/>
    <x v="4"/>
    <x v="1"/>
    <x v="0"/>
    <x v="1"/>
    <n v="410"/>
    <n v="370"/>
    <n v="19"/>
    <n v="351"/>
    <n v="60"/>
    <n v="0.125"/>
    <n v="120"/>
    <n v="30800"/>
    <n v="42120"/>
    <n v="11320"/>
    <n v="0.90243902439024393"/>
    <n v="5.1351351351351354E-2"/>
    <n v="0.26875593542260207"/>
    <n v="87.749287749287745"/>
    <n v="420"/>
    <n v="0.88095238095238093"/>
    <n v="32.250712250712247"/>
    <n v="0.83571428571428574"/>
  </r>
  <r>
    <d v="2026-11-25T00:00:00"/>
    <x v="4"/>
    <x v="1"/>
    <x v="1"/>
    <x v="2"/>
    <n v="490"/>
    <n v="443"/>
    <n v="24"/>
    <n v="419"/>
    <n v="51"/>
    <n v="0.10625"/>
    <n v="90"/>
    <n v="30800"/>
    <n v="37710"/>
    <n v="6910"/>
    <n v="0.90408163265306118"/>
    <n v="5.4176072234762979E-2"/>
    <n v="0.18324051975603289"/>
    <n v="73.508353221957037"/>
    <n v="429"/>
    <n v="1.0326340326340326"/>
    <n v="16.491646778042959"/>
    <n v="0.9766899766899767"/>
  </r>
  <r>
    <d v="2026-11-25T00:00:00"/>
    <x v="4"/>
    <x v="1"/>
    <x v="2"/>
    <x v="0"/>
    <n v="430"/>
    <n v="362"/>
    <n v="27"/>
    <n v="335"/>
    <n v="70"/>
    <n v="0.14583333333333334"/>
    <n v="100"/>
    <n v="30800"/>
    <n v="33500"/>
    <n v="2700"/>
    <n v="0.8418604651162791"/>
    <n v="7.4585635359116026E-2"/>
    <n v="8.0597014925373134E-2"/>
    <n v="91.940298507462686"/>
    <n v="410"/>
    <n v="0.88292682926829269"/>
    <n v="8.0597014925373127"/>
    <n v="0.81707317073170727"/>
  </r>
  <r>
    <d v="2026-11-25T00:00:00"/>
    <x v="4"/>
    <x v="2"/>
    <x v="0"/>
    <x v="2"/>
    <n v="510"/>
    <n v="489"/>
    <n v="13"/>
    <n v="476"/>
    <n v="22"/>
    <n v="4.583333333333333E-2"/>
    <n v="90"/>
    <n v="30800"/>
    <n v="42840"/>
    <n v="12040"/>
    <n v="0.95882352941176474"/>
    <n v="2.6584867075664622E-2"/>
    <n v="0.28104575163398693"/>
    <n v="64.705882352941174"/>
    <n v="458"/>
    <n v="1.0676855895196506"/>
    <n v="25.294117647058822"/>
    <n v="1.0393013100436681"/>
  </r>
  <r>
    <d v="2026-11-25T00:00:00"/>
    <x v="4"/>
    <x v="2"/>
    <x v="1"/>
    <x v="0"/>
    <n v="450"/>
    <n v="424"/>
    <n v="19"/>
    <n v="405"/>
    <n v="44"/>
    <n v="9.166666666666666E-2"/>
    <n v="100"/>
    <n v="30800"/>
    <n v="40500"/>
    <n v="9700"/>
    <n v="0.94222222222222218"/>
    <n v="4.4811320754716978E-2"/>
    <n v="0.23950617283950618"/>
    <n v="76.049382716049379"/>
    <n v="436"/>
    <n v="0.97247706422018354"/>
    <n v="23.950617283950617"/>
    <n v="0.92889908256880738"/>
  </r>
  <r>
    <d v="2026-11-25T00:00:00"/>
    <x v="4"/>
    <x v="2"/>
    <x v="2"/>
    <x v="1"/>
    <n v="390"/>
    <n v="368"/>
    <n v="10"/>
    <n v="358"/>
    <n v="35"/>
    <n v="7.2916666666666671E-2"/>
    <n v="120"/>
    <n v="30800"/>
    <n v="42960"/>
    <n v="12160"/>
    <n v="0.94358974358974357"/>
    <n v="2.717391304347826E-2"/>
    <n v="0.28305400372439476"/>
    <n v="86.033519553072622"/>
    <n v="445"/>
    <n v="0.82696629213483142"/>
    <n v="33.966480446927378"/>
    <n v="0.80449438202247192"/>
  </r>
  <r>
    <d v="2026-11-26T00:00:00"/>
    <x v="4"/>
    <x v="0"/>
    <x v="0"/>
    <x v="1"/>
    <n v="390"/>
    <n v="378"/>
    <n v="8"/>
    <n v="370"/>
    <n v="26"/>
    <n v="5.4166666666666669E-2"/>
    <n v="120"/>
    <n v="30800"/>
    <n v="44400"/>
    <n v="13600"/>
    <n v="0.96923076923076923"/>
    <n v="2.1164021164021163E-2"/>
    <n v="0.30630630630630629"/>
    <n v="83.243243243243242"/>
    <n v="454"/>
    <n v="0.83259911894273131"/>
    <n v="36.756756756756758"/>
    <n v="0.81497797356828194"/>
  </r>
  <r>
    <d v="2026-11-26T00:00:00"/>
    <x v="4"/>
    <x v="0"/>
    <x v="1"/>
    <x v="2"/>
    <n v="510"/>
    <n v="475"/>
    <n v="20"/>
    <n v="455"/>
    <n v="36"/>
    <n v="7.4999999999999997E-2"/>
    <n v="90"/>
    <n v="30800"/>
    <n v="40950"/>
    <n v="10150"/>
    <n v="0.93137254901960786"/>
    <n v="4.2105263157894736E-2"/>
    <n v="0.24786324786324787"/>
    <n v="67.692307692307693"/>
    <n v="444"/>
    <n v="1.0698198198198199"/>
    <n v="22.307692307692307"/>
    <n v="1.0247747747747749"/>
  </r>
  <r>
    <d v="2026-11-26T00:00:00"/>
    <x v="4"/>
    <x v="0"/>
    <x v="2"/>
    <x v="0"/>
    <n v="430"/>
    <n v="386"/>
    <n v="23"/>
    <n v="363"/>
    <n v="40"/>
    <n v="8.3333333333333329E-2"/>
    <n v="100"/>
    <n v="30800"/>
    <n v="36300"/>
    <n v="5500"/>
    <n v="0.89767441860465114"/>
    <n v="5.9585492227979271E-2"/>
    <n v="0.15151515151515152"/>
    <n v="84.848484848484844"/>
    <n v="440"/>
    <n v="0.87727272727272732"/>
    <n v="15.151515151515152"/>
    <n v="0.82499999999999996"/>
  </r>
  <r>
    <d v="2026-11-26T00:00:00"/>
    <x v="4"/>
    <x v="1"/>
    <x v="0"/>
    <x v="2"/>
    <n v="490"/>
    <n v="435"/>
    <n v="23"/>
    <n v="412"/>
    <n v="40"/>
    <n v="8.3333333333333329E-2"/>
    <n v="90"/>
    <n v="30800"/>
    <n v="37080"/>
    <n v="6280"/>
    <n v="0.88775510204081631"/>
    <n v="5.2873563218390804E-2"/>
    <n v="0.16936353829557713"/>
    <n v="74.757281553398059"/>
    <n v="440"/>
    <n v="0.98863636363636365"/>
    <n v="15.242718446601941"/>
    <n v="0.9363636363636364"/>
  </r>
  <r>
    <d v="2026-11-26T00:00:00"/>
    <x v="4"/>
    <x v="1"/>
    <x v="1"/>
    <x v="0"/>
    <n v="430"/>
    <n v="389"/>
    <n v="24"/>
    <n v="365"/>
    <n v="64"/>
    <n v="0.13333333333333333"/>
    <n v="100"/>
    <n v="30800"/>
    <n v="36500"/>
    <n v="5700"/>
    <n v="0.90465116279069768"/>
    <n v="6.1696658097686374E-2"/>
    <n v="0.15616438356164383"/>
    <n v="84.38356164383562"/>
    <n v="416"/>
    <n v="0.93509615384615385"/>
    <n v="15.616438356164384"/>
    <n v="0.87740384615384615"/>
  </r>
  <r>
    <d v="2026-11-26T00:00:00"/>
    <x v="4"/>
    <x v="1"/>
    <x v="2"/>
    <x v="1"/>
    <n v="390"/>
    <n v="334"/>
    <n v="21"/>
    <n v="313"/>
    <n v="59"/>
    <n v="0.12291666666666666"/>
    <n v="120"/>
    <n v="30800"/>
    <n v="37560"/>
    <n v="6760"/>
    <n v="0.85641025641025637"/>
    <n v="6.2874251497005984E-2"/>
    <n v="0.1799787007454739"/>
    <n v="98.402555910543128"/>
    <n v="421"/>
    <n v="0.79334916864608074"/>
    <n v="21.597444089456868"/>
    <n v="0.74346793349168649"/>
  </r>
  <r>
    <d v="2026-11-26T00:00:00"/>
    <x v="4"/>
    <x v="2"/>
    <x v="0"/>
    <x v="0"/>
    <n v="450"/>
    <n v="438"/>
    <n v="19"/>
    <n v="419"/>
    <n v="29"/>
    <n v="6.0416666666666667E-2"/>
    <n v="100"/>
    <n v="30800"/>
    <n v="41900"/>
    <n v="11100"/>
    <n v="0.97333333333333338"/>
    <n v="4.3378995433789952E-2"/>
    <n v="0.2649164677804296"/>
    <n v="73.508353221957037"/>
    <n v="451"/>
    <n v="0.97117516629711753"/>
    <n v="26.491646778042959"/>
    <n v="0.92904656319290468"/>
  </r>
  <r>
    <d v="2026-11-26T00:00:00"/>
    <x v="4"/>
    <x v="2"/>
    <x v="1"/>
    <x v="1"/>
    <n v="390"/>
    <n v="362"/>
    <n v="11"/>
    <n v="351"/>
    <n v="22"/>
    <n v="4.583333333333333E-2"/>
    <n v="120"/>
    <n v="30800"/>
    <n v="42120"/>
    <n v="11320"/>
    <n v="0.92820512820512824"/>
    <n v="3.0386740331491711E-2"/>
    <n v="0.26875593542260207"/>
    <n v="87.749287749287745"/>
    <n v="458"/>
    <n v="0.79039301310043664"/>
    <n v="32.250712250712247"/>
    <n v="0.76637554585152834"/>
  </r>
  <r>
    <d v="2026-11-26T00:00:00"/>
    <x v="4"/>
    <x v="2"/>
    <x v="2"/>
    <x v="2"/>
    <n v="490"/>
    <n v="448"/>
    <n v="16"/>
    <n v="432"/>
    <n v="19"/>
    <n v="3.9583333333333331E-2"/>
    <n v="90"/>
    <n v="30800"/>
    <n v="38880"/>
    <n v="8080"/>
    <n v="0.91428571428571426"/>
    <n v="3.5714285714285712E-2"/>
    <n v="0.20781893004115226"/>
    <n v="71.296296296296291"/>
    <n v="461"/>
    <n v="0.97180043383947934"/>
    <n v="18.703703703703702"/>
    <n v="0.93709327548806942"/>
  </r>
  <r>
    <d v="2026-11-27T00:00:00"/>
    <x v="4"/>
    <x v="0"/>
    <x v="0"/>
    <x v="2"/>
    <n v="490"/>
    <n v="461"/>
    <n v="12"/>
    <n v="449"/>
    <n v="18"/>
    <n v="3.7499999999999999E-2"/>
    <n v="90"/>
    <n v="30800"/>
    <n v="40410"/>
    <n v="9610"/>
    <n v="0.9408163265306122"/>
    <n v="2.6030368763557483E-2"/>
    <n v="0.23781242266765651"/>
    <n v="68.596881959910917"/>
    <n v="462"/>
    <n v="0.99783549783549785"/>
    <n v="21.403118040089087"/>
    <n v="0.97186147186147187"/>
  </r>
  <r>
    <d v="2026-11-27T00:00:00"/>
    <x v="4"/>
    <x v="0"/>
    <x v="1"/>
    <x v="0"/>
    <n v="440"/>
    <n v="423"/>
    <n v="23"/>
    <n v="400"/>
    <n v="52"/>
    <n v="0.10833333333333334"/>
    <n v="100"/>
    <n v="30800"/>
    <n v="40000"/>
    <n v="9200"/>
    <n v="0.96136363636363631"/>
    <n v="5.4373522458628844E-2"/>
    <n v="0.23"/>
    <n v="77"/>
    <n v="428"/>
    <n v="0.98831775700934577"/>
    <n v="23"/>
    <n v="0.93457943925233644"/>
  </r>
  <r>
    <d v="2026-11-27T00:00:00"/>
    <x v="4"/>
    <x v="0"/>
    <x v="2"/>
    <x v="1"/>
    <n v="410"/>
    <n v="362"/>
    <n v="13"/>
    <n v="349"/>
    <n v="41"/>
    <n v="8.5416666666666669E-2"/>
    <n v="120"/>
    <n v="30800"/>
    <n v="41880"/>
    <n v="11080"/>
    <n v="0.88292682926829269"/>
    <n v="3.591160220994475E-2"/>
    <n v="0.26456542502387775"/>
    <n v="88.252148997134668"/>
    <n v="439"/>
    <n v="0.82460136674259676"/>
    <n v="31.747851002865328"/>
    <n v="0.79498861047835989"/>
  </r>
  <r>
    <d v="2026-11-27T00:00:00"/>
    <x v="4"/>
    <x v="1"/>
    <x v="0"/>
    <x v="0"/>
    <n v="440"/>
    <n v="386"/>
    <n v="22"/>
    <n v="364"/>
    <n v="58"/>
    <n v="0.12083333333333333"/>
    <n v="100"/>
    <n v="30800"/>
    <n v="36400"/>
    <n v="5600"/>
    <n v="0.87727272727272732"/>
    <n v="5.6994818652849742E-2"/>
    <n v="0.15384615384615385"/>
    <n v="84.615384615384613"/>
    <n v="422"/>
    <n v="0.91469194312796209"/>
    <n v="15.384615384615385"/>
    <n v="0.86255924170616116"/>
  </r>
  <r>
    <d v="2026-11-27T00:00:00"/>
    <x v="4"/>
    <x v="1"/>
    <x v="1"/>
    <x v="1"/>
    <n v="410"/>
    <n v="374"/>
    <n v="17"/>
    <n v="357"/>
    <n v="57"/>
    <n v="0.11874999999999999"/>
    <n v="120"/>
    <n v="30800"/>
    <n v="42840"/>
    <n v="12040"/>
    <n v="0.91219512195121955"/>
    <n v="4.5454545454545456E-2"/>
    <n v="0.28104575163398693"/>
    <n v="86.274509803921575"/>
    <n v="423"/>
    <n v="0.88416075650118209"/>
    <n v="33.725490196078432"/>
    <n v="0.84397163120567376"/>
  </r>
  <r>
    <d v="2026-11-27T00:00:00"/>
    <x v="4"/>
    <x v="1"/>
    <x v="2"/>
    <x v="2"/>
    <n v="520"/>
    <n v="444"/>
    <n v="25"/>
    <n v="419"/>
    <n v="44"/>
    <n v="9.166666666666666E-2"/>
    <n v="90"/>
    <n v="30800"/>
    <n v="37710"/>
    <n v="6910"/>
    <n v="0.85384615384615381"/>
    <n v="5.6306306306306307E-2"/>
    <n v="0.18324051975603289"/>
    <n v="73.508353221957037"/>
    <n v="436"/>
    <n v="1.0183486238532109"/>
    <n v="16.491646778042959"/>
    <n v="0.96100917431192656"/>
  </r>
  <r>
    <d v="2026-11-27T00:00:00"/>
    <x v="4"/>
    <x v="2"/>
    <x v="0"/>
    <x v="1"/>
    <n v="410"/>
    <n v="401"/>
    <n v="12"/>
    <n v="389"/>
    <n v="20"/>
    <n v="4.1666666666666664E-2"/>
    <n v="120"/>
    <n v="30800"/>
    <n v="46680"/>
    <n v="15880"/>
    <n v="0.97804878048780486"/>
    <n v="2.9925187032418952E-2"/>
    <n v="0.34018851756640961"/>
    <n v="79.177377892030847"/>
    <n v="460"/>
    <n v="0.87173913043478257"/>
    <n v="40.822622107969153"/>
    <n v="0.84565217391304348"/>
  </r>
  <r>
    <d v="2026-11-27T00:00:00"/>
    <x v="4"/>
    <x v="2"/>
    <x v="1"/>
    <x v="2"/>
    <n v="480"/>
    <n v="464"/>
    <n v="18"/>
    <n v="446"/>
    <n v="22"/>
    <n v="4.583333333333333E-2"/>
    <n v="90"/>
    <n v="30800"/>
    <n v="40140"/>
    <n v="9340"/>
    <n v="0.96666666666666667"/>
    <n v="3.8793103448275863E-2"/>
    <n v="0.23268560039860489"/>
    <n v="69.058295964125563"/>
    <n v="458"/>
    <n v="1.0131004366812226"/>
    <n v="20.941704035874441"/>
    <n v="0.97379912663755464"/>
  </r>
  <r>
    <d v="2026-11-27T00:00:00"/>
    <x v="4"/>
    <x v="2"/>
    <x v="2"/>
    <x v="0"/>
    <n v="460"/>
    <n v="424"/>
    <n v="20"/>
    <n v="404"/>
    <n v="52"/>
    <n v="0.10833333333333334"/>
    <n v="100"/>
    <n v="30800"/>
    <n v="40400"/>
    <n v="9600"/>
    <n v="0.92173913043478262"/>
    <n v="4.716981132075472E-2"/>
    <n v="0.23762376237623761"/>
    <n v="76.237623762376231"/>
    <n v="428"/>
    <n v="0.99065420560747663"/>
    <n v="23.762376237623762"/>
    <n v="0.94392523364485981"/>
  </r>
  <r>
    <d v="2026-11-28T00:00:00"/>
    <x v="4"/>
    <x v="0"/>
    <x v="0"/>
    <x v="0"/>
    <n v="460"/>
    <n v="443"/>
    <n v="21"/>
    <n v="422"/>
    <n v="37"/>
    <n v="7.7083333333333337E-2"/>
    <n v="100"/>
    <n v="30800"/>
    <n v="42200"/>
    <n v="11400"/>
    <n v="0.96304347826086956"/>
    <n v="4.740406320541761E-2"/>
    <n v="0.27014218009478674"/>
    <n v="72.985781990521332"/>
    <n v="443"/>
    <n v="1"/>
    <n v="27.014218009478672"/>
    <n v="0.95259593679458243"/>
  </r>
  <r>
    <d v="2026-11-28T00:00:00"/>
    <x v="4"/>
    <x v="0"/>
    <x v="1"/>
    <x v="1"/>
    <n v="410"/>
    <n v="389"/>
    <n v="15"/>
    <n v="374"/>
    <n v="29"/>
    <n v="6.0416666666666667E-2"/>
    <n v="120"/>
    <n v="30800"/>
    <n v="44880"/>
    <n v="14080"/>
    <n v="0.948780487804878"/>
    <n v="3.8560411311053984E-2"/>
    <n v="0.31372549019607843"/>
    <n v="82.352941176470594"/>
    <n v="451"/>
    <n v="0.86252771618625279"/>
    <n v="37.647058823529413"/>
    <n v="0.82926829268292679"/>
  </r>
  <r>
    <d v="2026-11-28T00:00:00"/>
    <x v="4"/>
    <x v="0"/>
    <x v="2"/>
    <x v="2"/>
    <n v="500"/>
    <n v="446"/>
    <n v="19"/>
    <n v="427"/>
    <n v="33"/>
    <n v="6.8750000000000006E-2"/>
    <n v="90"/>
    <n v="30800"/>
    <n v="38430"/>
    <n v="7630"/>
    <n v="0.89200000000000002"/>
    <n v="4.2600896860986545E-2"/>
    <n v="0.19854280510018216"/>
    <n v="72.131147540983605"/>
    <n v="447"/>
    <n v="0.99776286353467558"/>
    <n v="17.868852459016395"/>
    <n v="0.95525727069351229"/>
  </r>
  <r>
    <d v="2026-11-28T00:00:00"/>
    <x v="4"/>
    <x v="1"/>
    <x v="0"/>
    <x v="1"/>
    <n v="400"/>
    <n v="353"/>
    <n v="17"/>
    <n v="336"/>
    <n v="42"/>
    <n v="8.7499999999999994E-2"/>
    <n v="120"/>
    <n v="30800"/>
    <n v="40320"/>
    <n v="9520"/>
    <n v="0.88249999999999995"/>
    <n v="4.8158640226628892E-2"/>
    <n v="0.2361111111111111"/>
    <n v="91.666666666666671"/>
    <n v="438"/>
    <n v="0.80593607305936077"/>
    <n v="28.333333333333332"/>
    <n v="0.76712328767123283"/>
  </r>
  <r>
    <d v="2026-11-28T00:00:00"/>
    <x v="4"/>
    <x v="1"/>
    <x v="1"/>
    <x v="2"/>
    <n v="500"/>
    <n v="450"/>
    <n v="27"/>
    <n v="423"/>
    <n v="44"/>
    <n v="9.166666666666666E-2"/>
    <n v="90"/>
    <n v="30800"/>
    <n v="38070"/>
    <n v="7270"/>
    <n v="0.9"/>
    <n v="0.06"/>
    <n v="0.19096401365904911"/>
    <n v="72.813238770685572"/>
    <n v="436"/>
    <n v="1.0321100917431192"/>
    <n v="17.186761229314421"/>
    <n v="0.97018348623853212"/>
  </r>
  <r>
    <d v="2026-11-28T00:00:00"/>
    <x v="4"/>
    <x v="1"/>
    <x v="2"/>
    <x v="0"/>
    <n v="440"/>
    <n v="385"/>
    <n v="30"/>
    <n v="355"/>
    <n v="56"/>
    <n v="0.11666666666666667"/>
    <n v="100"/>
    <n v="30800"/>
    <n v="35500"/>
    <n v="4700"/>
    <n v="0.875"/>
    <n v="7.792207792207792E-2"/>
    <n v="0.13239436619718309"/>
    <n v="86.760563380281695"/>
    <n v="424"/>
    <n v="0.90801886792452835"/>
    <n v="13.23943661971831"/>
    <n v="0.83726415094339623"/>
  </r>
  <r>
    <d v="2026-11-28T00:00:00"/>
    <x v="4"/>
    <x v="2"/>
    <x v="0"/>
    <x v="2"/>
    <n v="500"/>
    <n v="482"/>
    <n v="13"/>
    <n v="469"/>
    <n v="21"/>
    <n v="4.3749999999999997E-2"/>
    <n v="90"/>
    <n v="30800"/>
    <n v="42210"/>
    <n v="11410"/>
    <n v="0.96399999999999997"/>
    <n v="2.6970954356846474E-2"/>
    <n v="0.27031509121061359"/>
    <n v="65.671641791044777"/>
    <n v="459"/>
    <n v="1.0501089324618735"/>
    <n v="24.328358208955223"/>
    <n v="1.0217864923747277"/>
  </r>
  <r>
    <d v="2026-11-28T00:00:00"/>
    <x v="4"/>
    <x v="2"/>
    <x v="1"/>
    <x v="0"/>
    <n v="460"/>
    <n v="435"/>
    <n v="16"/>
    <n v="419"/>
    <n v="35"/>
    <n v="7.2916666666666671E-2"/>
    <n v="100"/>
    <n v="30800"/>
    <n v="41900"/>
    <n v="11100"/>
    <n v="0.94565217391304346"/>
    <n v="3.6781609195402298E-2"/>
    <n v="0.2649164677804296"/>
    <n v="73.508353221957037"/>
    <n v="445"/>
    <n v="0.97752808988764039"/>
    <n v="26.491646778042959"/>
    <n v="0.94157303370786516"/>
  </r>
  <r>
    <d v="2026-11-28T00:00:00"/>
    <x v="4"/>
    <x v="2"/>
    <x v="2"/>
    <x v="1"/>
    <n v="400"/>
    <n v="358"/>
    <n v="12"/>
    <n v="346"/>
    <n v="32"/>
    <n v="6.6666666666666666E-2"/>
    <n v="120"/>
    <n v="30800"/>
    <n v="41520"/>
    <n v="10720"/>
    <n v="0.89500000000000002"/>
    <n v="3.3519553072625698E-2"/>
    <n v="0.25818882466281312"/>
    <n v="89.017341040462426"/>
    <n v="448"/>
    <n v="0.7991071428571429"/>
    <n v="30.982658959537574"/>
    <n v="0.7723214285714286"/>
  </r>
  <r>
    <d v="2026-11-29T00:00:00"/>
    <x v="4"/>
    <x v="0"/>
    <x v="0"/>
    <x v="1"/>
    <n v="410"/>
    <n v="377"/>
    <n v="12"/>
    <n v="365"/>
    <n v="32"/>
    <n v="6.6666666666666666E-2"/>
    <n v="120"/>
    <n v="30800"/>
    <n v="43800"/>
    <n v="13000"/>
    <n v="0.91951219512195126"/>
    <n v="3.1830238726790451E-2"/>
    <n v="0.29680365296803651"/>
    <n v="84.38356164383562"/>
    <n v="448"/>
    <n v="0.8415178571428571"/>
    <n v="35.61643835616438"/>
    <n v="0.8147321428571429"/>
  </r>
  <r>
    <d v="2026-11-29T00:00:00"/>
    <x v="4"/>
    <x v="0"/>
    <x v="1"/>
    <x v="2"/>
    <n v="510"/>
    <n v="471"/>
    <n v="20"/>
    <n v="451"/>
    <n v="33"/>
    <n v="6.8750000000000006E-2"/>
    <n v="90"/>
    <n v="30800"/>
    <n v="40590"/>
    <n v="9790"/>
    <n v="0.92352941176470593"/>
    <n v="4.2462845010615709E-2"/>
    <n v="0.24119241192411925"/>
    <n v="68.292682926829272"/>
    <n v="447"/>
    <n v="1.0536912751677852"/>
    <n v="21.707317073170731"/>
    <n v="1.0089485458612975"/>
  </r>
  <r>
    <d v="2026-11-29T00:00:00"/>
    <x v="4"/>
    <x v="0"/>
    <x v="2"/>
    <x v="0"/>
    <n v="440"/>
    <n v="401"/>
    <n v="20"/>
    <n v="381"/>
    <n v="42"/>
    <n v="8.7499999999999994E-2"/>
    <n v="100"/>
    <n v="30800"/>
    <n v="38100"/>
    <n v="7300"/>
    <n v="0.91136363636363638"/>
    <n v="4.9875311720698257E-2"/>
    <n v="0.19160104986876642"/>
    <n v="80.839895013123353"/>
    <n v="438"/>
    <n v="0.91552511415525117"/>
    <n v="19.16010498687664"/>
    <n v="0.86986301369863017"/>
  </r>
  <r>
    <d v="2026-11-29T00:00:00"/>
    <x v="4"/>
    <x v="1"/>
    <x v="0"/>
    <x v="2"/>
    <n v="500"/>
    <n v="459"/>
    <n v="27"/>
    <n v="432"/>
    <n v="33"/>
    <n v="6.8750000000000006E-2"/>
    <n v="90"/>
    <n v="30800"/>
    <n v="38880"/>
    <n v="8080"/>
    <n v="0.91800000000000004"/>
    <n v="5.8823529411764705E-2"/>
    <n v="0.20781893004115226"/>
    <n v="71.296296296296291"/>
    <n v="447"/>
    <n v="1.0268456375838926"/>
    <n v="18.703703703703702"/>
    <n v="0.96644295302013428"/>
  </r>
  <r>
    <d v="2026-11-29T00:00:00"/>
    <x v="4"/>
    <x v="1"/>
    <x v="1"/>
    <x v="0"/>
    <n v="460"/>
    <n v="396"/>
    <n v="26"/>
    <n v="370"/>
    <n v="56"/>
    <n v="0.11666666666666667"/>
    <n v="100"/>
    <n v="30800"/>
    <n v="37000"/>
    <n v="6200"/>
    <n v="0.86086956521739133"/>
    <n v="6.5656565656565663E-2"/>
    <n v="0.16756756756756758"/>
    <n v="83.243243243243242"/>
    <n v="424"/>
    <n v="0.93396226415094341"/>
    <n v="16.756756756756758"/>
    <n v="0.87264150943396224"/>
  </r>
  <r>
    <d v="2026-11-29T00:00:00"/>
    <x v="4"/>
    <x v="1"/>
    <x v="2"/>
    <x v="1"/>
    <n v="390"/>
    <n v="333"/>
    <n v="20"/>
    <n v="313"/>
    <n v="53"/>
    <n v="0.11041666666666666"/>
    <n v="120"/>
    <n v="30800"/>
    <n v="37560"/>
    <n v="6760"/>
    <n v="0.85384615384615381"/>
    <n v="6.006006006006006E-2"/>
    <n v="0.1799787007454739"/>
    <n v="98.402555910543128"/>
    <n v="427"/>
    <n v="0.77985948477751754"/>
    <n v="21.597444089456868"/>
    <n v="0.7330210772833724"/>
  </r>
  <r>
    <d v="2026-11-29T00:00:00"/>
    <x v="4"/>
    <x v="2"/>
    <x v="0"/>
    <x v="0"/>
    <n v="440"/>
    <n v="422"/>
    <n v="16"/>
    <n v="406"/>
    <n v="16"/>
    <n v="3.3333333333333333E-2"/>
    <n v="100"/>
    <n v="30800"/>
    <n v="40600"/>
    <n v="9800"/>
    <n v="0.95909090909090911"/>
    <n v="3.7914691943127965E-2"/>
    <n v="0.2413793103448276"/>
    <n v="75.862068965517238"/>
    <n v="464"/>
    <n v="0.90948275862068961"/>
    <n v="24.137931034482758"/>
    <n v="0.875"/>
  </r>
  <r>
    <d v="2026-11-29T00:00:00"/>
    <x v="4"/>
    <x v="2"/>
    <x v="1"/>
    <x v="1"/>
    <n v="410"/>
    <n v="387"/>
    <n v="11"/>
    <n v="376"/>
    <n v="31"/>
    <n v="6.458333333333334E-2"/>
    <n v="120"/>
    <n v="30800"/>
    <n v="45120"/>
    <n v="14320"/>
    <n v="0.94390243902439019"/>
    <n v="2.8423772609819122E-2"/>
    <n v="0.31737588652482268"/>
    <n v="81.914893617021278"/>
    <n v="449"/>
    <n v="0.86191536748329622"/>
    <n v="38.085106382978722"/>
    <n v="0.83741648106904232"/>
  </r>
  <r>
    <d v="2026-11-29T00:00:00"/>
    <x v="4"/>
    <x v="2"/>
    <x v="2"/>
    <x v="2"/>
    <n v="480"/>
    <n v="430"/>
    <n v="15"/>
    <n v="415"/>
    <n v="38"/>
    <n v="7.9166666666666663E-2"/>
    <n v="90"/>
    <n v="30800"/>
    <n v="37350"/>
    <n v="6550"/>
    <n v="0.89583333333333337"/>
    <n v="3.4883720930232558E-2"/>
    <n v="0.1753681392235609"/>
    <n v="74.216867469879517"/>
    <n v="442"/>
    <n v="0.97285067873303166"/>
    <n v="15.783132530120483"/>
    <n v="0.93891402714932126"/>
  </r>
  <r>
    <d v="2026-11-30T00:00:00"/>
    <x v="4"/>
    <x v="0"/>
    <x v="0"/>
    <x v="2"/>
    <n v="500"/>
    <n v="478"/>
    <n v="18"/>
    <n v="460"/>
    <n v="26"/>
    <n v="5.4166666666666669E-2"/>
    <n v="90"/>
    <n v="30800"/>
    <n v="41400"/>
    <n v="10600"/>
    <n v="0.95599999999999996"/>
    <n v="3.7656903765690378E-2"/>
    <n v="0.2560386473429952"/>
    <n v="66.956521739130437"/>
    <n v="454"/>
    <n v="1.052863436123348"/>
    <n v="23.043478260869566"/>
    <n v="1.0132158590308371"/>
  </r>
  <r>
    <d v="2026-11-30T00:00:00"/>
    <x v="4"/>
    <x v="0"/>
    <x v="1"/>
    <x v="0"/>
    <n v="450"/>
    <n v="426"/>
    <n v="19"/>
    <n v="407"/>
    <n v="33"/>
    <n v="6.8750000000000006E-2"/>
    <n v="100"/>
    <n v="30800"/>
    <n v="40700"/>
    <n v="9900"/>
    <n v="0.94666666666666666"/>
    <n v="4.4600938967136149E-2"/>
    <n v="0.24324324324324326"/>
    <n v="75.675675675675677"/>
    <n v="447"/>
    <n v="0.95302013422818788"/>
    <n v="24.324324324324323"/>
    <n v="0.91051454138702459"/>
  </r>
  <r>
    <d v="2026-11-30T00:00:00"/>
    <x v="4"/>
    <x v="0"/>
    <x v="2"/>
    <x v="1"/>
    <n v="400"/>
    <n v="374"/>
    <n v="16"/>
    <n v="358"/>
    <n v="42"/>
    <n v="8.7499999999999994E-2"/>
    <n v="120"/>
    <n v="30800"/>
    <n v="42960"/>
    <n v="12160"/>
    <n v="0.93500000000000005"/>
    <n v="4.2780748663101602E-2"/>
    <n v="0.28305400372439476"/>
    <n v="86.033519553072622"/>
    <n v="438"/>
    <n v="0.85388127853881279"/>
    <n v="33.966480446927378"/>
    <n v="0.81735159817351599"/>
  </r>
  <r>
    <d v="2026-11-30T00:00:00"/>
    <x v="4"/>
    <x v="1"/>
    <x v="0"/>
    <x v="0"/>
    <n v="450"/>
    <n v="402"/>
    <n v="23"/>
    <n v="379"/>
    <n v="62"/>
    <n v="0.12916666666666668"/>
    <n v="100"/>
    <n v="30800"/>
    <n v="37900"/>
    <n v="7100"/>
    <n v="0.89333333333333331"/>
    <n v="5.721393034825871E-2"/>
    <n v="0.18733509234828497"/>
    <n v="81.266490765171497"/>
    <n v="418"/>
    <n v="0.96172248803827753"/>
    <n v="18.733509234828496"/>
    <n v="0.90669856459330145"/>
  </r>
  <r>
    <d v="2026-11-30T00:00:00"/>
    <x v="4"/>
    <x v="1"/>
    <x v="1"/>
    <x v="1"/>
    <n v="420"/>
    <n v="380"/>
    <n v="19"/>
    <n v="361"/>
    <n v="66"/>
    <n v="0.13750000000000001"/>
    <n v="120"/>
    <n v="30800"/>
    <n v="43320"/>
    <n v="12520"/>
    <n v="0.90476190476190477"/>
    <n v="0.05"/>
    <n v="0.28901200369344415"/>
    <n v="85.31855955678671"/>
    <n v="414"/>
    <n v="0.91787439613526567"/>
    <n v="34.681440443213297"/>
    <n v="0.8719806763285024"/>
  </r>
  <r>
    <d v="2026-11-30T00:00:00"/>
    <x v="4"/>
    <x v="1"/>
    <x v="2"/>
    <x v="2"/>
    <n v="480"/>
    <n v="404"/>
    <n v="26"/>
    <n v="378"/>
    <n v="48"/>
    <n v="0.1"/>
    <n v="90"/>
    <n v="30800"/>
    <n v="34020"/>
    <n v="3220"/>
    <n v="0.84166666666666667"/>
    <n v="6.4356435643564358E-2"/>
    <n v="9.4650205761316872E-2"/>
    <n v="81.481481481481481"/>
    <n v="432"/>
    <n v="0.93518518518518523"/>
    <n v="8.518518518518519"/>
    <n v="0.875"/>
  </r>
  <r>
    <d v="2026-11-30T00:00:00"/>
    <x v="4"/>
    <x v="2"/>
    <x v="0"/>
    <x v="1"/>
    <n v="400"/>
    <n v="391"/>
    <n v="8"/>
    <n v="383"/>
    <n v="11"/>
    <n v="2.2916666666666665E-2"/>
    <n v="120"/>
    <n v="30800"/>
    <n v="45960"/>
    <n v="15160"/>
    <n v="0.97750000000000004"/>
    <n v="2.0460358056265986E-2"/>
    <n v="0.329852045256745"/>
    <n v="80.417754569190606"/>
    <n v="469"/>
    <n v="0.83368869936034118"/>
    <n v="39.582245430809401"/>
    <n v="0.81663113006396593"/>
  </r>
  <r>
    <d v="2026-11-30T00:00:00"/>
    <x v="4"/>
    <x v="2"/>
    <x v="1"/>
    <x v="2"/>
    <n v="490"/>
    <n v="473"/>
    <n v="18"/>
    <n v="455"/>
    <n v="13"/>
    <n v="2.7083333333333334E-2"/>
    <n v="90"/>
    <n v="30800"/>
    <n v="40950"/>
    <n v="10150"/>
    <n v="0.96530612244897962"/>
    <n v="3.8054968287526428E-2"/>
    <n v="0.24786324786324787"/>
    <n v="67.692307692307693"/>
    <n v="467"/>
    <n v="1.0128479657387581"/>
    <n v="22.307692307692307"/>
    <n v="0.97430406852248397"/>
  </r>
  <r>
    <d v="2026-11-30T00:00:00"/>
    <x v="4"/>
    <x v="2"/>
    <x v="2"/>
    <x v="0"/>
    <n v="440"/>
    <n v="411"/>
    <n v="18"/>
    <n v="393"/>
    <n v="34"/>
    <n v="7.0833333333333331E-2"/>
    <n v="100"/>
    <n v="30800"/>
    <n v="39300"/>
    <n v="8500"/>
    <n v="0.93409090909090908"/>
    <n v="4.3795620437956206E-2"/>
    <n v="0.21628498727735368"/>
    <n v="78.371501272264638"/>
    <n v="446"/>
    <n v="0.92152466367713004"/>
    <n v="21.628498727735369"/>
    <n v="0.8811659192825112"/>
  </r>
  <r>
    <d v="2026-12-01T00:00:00"/>
    <x v="5"/>
    <x v="0"/>
    <x v="0"/>
    <x v="0"/>
    <n v="440"/>
    <n v="406"/>
    <n v="20"/>
    <n v="386"/>
    <n v="40"/>
    <n v="8.3333333333333329E-2"/>
    <n v="100"/>
    <n v="30800"/>
    <n v="38600"/>
    <n v="7800"/>
    <n v="0.92272727272727273"/>
    <n v="4.9261083743842367E-2"/>
    <n v="0.20207253886010362"/>
    <n v="79.792746113989637"/>
    <n v="440"/>
    <n v="0.92272727272727273"/>
    <n v="20.207253886010363"/>
    <n v="0.87727272727272732"/>
  </r>
  <r>
    <d v="2026-12-01T00:00:00"/>
    <x v="5"/>
    <x v="0"/>
    <x v="1"/>
    <x v="1"/>
    <n v="410"/>
    <n v="393"/>
    <n v="14"/>
    <n v="379"/>
    <n v="34"/>
    <n v="7.0833333333333331E-2"/>
    <n v="120"/>
    <n v="30800"/>
    <n v="45480"/>
    <n v="14680"/>
    <n v="0.95853658536585362"/>
    <n v="3.5623409669211195E-2"/>
    <n v="0.3227792436235708"/>
    <n v="81.266490765171497"/>
    <n v="446"/>
    <n v="0.8811659192825112"/>
    <n v="38.733509234828496"/>
    <n v="0.84977578475336324"/>
  </r>
  <r>
    <d v="2026-12-01T00:00:00"/>
    <x v="5"/>
    <x v="0"/>
    <x v="2"/>
    <x v="2"/>
    <n v="510"/>
    <n v="469"/>
    <n v="18"/>
    <n v="451"/>
    <n v="44"/>
    <n v="9.166666666666666E-2"/>
    <n v="90"/>
    <n v="30800"/>
    <n v="40590"/>
    <n v="9790"/>
    <n v="0.91960784313725485"/>
    <n v="3.8379530916844352E-2"/>
    <n v="0.24119241192411925"/>
    <n v="68.292682926829272"/>
    <n v="436"/>
    <n v="1.0756880733944953"/>
    <n v="21.707317073170731"/>
    <n v="1.0344036697247707"/>
  </r>
  <r>
    <d v="2026-12-01T00:00:00"/>
    <x v="5"/>
    <x v="1"/>
    <x v="0"/>
    <x v="1"/>
    <n v="410"/>
    <n v="356"/>
    <n v="16"/>
    <n v="340"/>
    <n v="47"/>
    <n v="9.7916666666666666E-2"/>
    <n v="120"/>
    <n v="30800"/>
    <n v="40800"/>
    <n v="10000"/>
    <n v="0.86829268292682926"/>
    <n v="4.49438202247191E-2"/>
    <n v="0.24509803921568626"/>
    <n v="90.588235294117652"/>
    <n v="433"/>
    <n v="0.8221709006928406"/>
    <n v="29.411764705882351"/>
    <n v="0.78521939953810627"/>
  </r>
  <r>
    <d v="2026-12-01T00:00:00"/>
    <x v="5"/>
    <x v="1"/>
    <x v="1"/>
    <x v="2"/>
    <n v="500"/>
    <n v="456"/>
    <n v="23"/>
    <n v="433"/>
    <n v="44"/>
    <n v="9.166666666666666E-2"/>
    <n v="90"/>
    <n v="30800"/>
    <n v="38970"/>
    <n v="8170"/>
    <n v="0.91200000000000003"/>
    <n v="5.0438596491228067E-2"/>
    <n v="0.20964844752373621"/>
    <n v="71.131639722863738"/>
    <n v="436"/>
    <n v="1.0458715596330275"/>
    <n v="18.868360277136258"/>
    <n v="0.99311926605504586"/>
  </r>
  <r>
    <d v="2026-12-01T00:00:00"/>
    <x v="5"/>
    <x v="1"/>
    <x v="2"/>
    <x v="0"/>
    <n v="450"/>
    <n v="395"/>
    <n v="31"/>
    <n v="364"/>
    <n v="71"/>
    <n v="0.14791666666666667"/>
    <n v="100"/>
    <n v="30800"/>
    <n v="36400"/>
    <n v="5600"/>
    <n v="0.87777777777777777"/>
    <n v="7.848101265822785E-2"/>
    <n v="0.15384615384615385"/>
    <n v="84.615384615384613"/>
    <n v="409"/>
    <n v="0.96577017114914421"/>
    <n v="15.384615384615385"/>
    <n v="0.88997555012224938"/>
  </r>
  <r>
    <d v="2026-12-01T00:00:00"/>
    <x v="5"/>
    <x v="2"/>
    <x v="0"/>
    <x v="2"/>
    <n v="510"/>
    <n v="507"/>
    <n v="16"/>
    <n v="491"/>
    <n v="27"/>
    <n v="5.6250000000000001E-2"/>
    <n v="90"/>
    <n v="30800"/>
    <n v="44190"/>
    <n v="13390"/>
    <n v="0.99411764705882355"/>
    <n v="3.1558185404339252E-2"/>
    <n v="0.30300973070830506"/>
    <n v="62.729124236252545"/>
    <n v="453"/>
    <n v="1.119205298013245"/>
    <n v="27.270875763747455"/>
    <n v="1.0838852097130243"/>
  </r>
  <r>
    <d v="2026-12-01T00:00:00"/>
    <x v="5"/>
    <x v="2"/>
    <x v="1"/>
    <x v="0"/>
    <n v="460"/>
    <n v="449"/>
    <n v="19"/>
    <n v="430"/>
    <n v="24"/>
    <n v="0.05"/>
    <n v="100"/>
    <n v="30800"/>
    <n v="43000"/>
    <n v="12200"/>
    <n v="0.97608695652173916"/>
    <n v="4.2316258351893093E-2"/>
    <n v="0.28372093023255812"/>
    <n v="71.627906976744185"/>
    <n v="456"/>
    <n v="0.98464912280701755"/>
    <n v="28.372093023255815"/>
    <n v="0.94298245614035092"/>
  </r>
  <r>
    <d v="2026-12-01T00:00:00"/>
    <x v="5"/>
    <x v="2"/>
    <x v="2"/>
    <x v="1"/>
    <n v="410"/>
    <n v="391"/>
    <n v="14"/>
    <n v="377"/>
    <n v="32"/>
    <n v="6.6666666666666666E-2"/>
    <n v="120"/>
    <n v="30800"/>
    <n v="45240"/>
    <n v="14440"/>
    <n v="0.95365853658536581"/>
    <n v="3.5805626598465472E-2"/>
    <n v="0.31918656056587091"/>
    <n v="81.697612732095493"/>
    <n v="448"/>
    <n v="0.8727678571428571"/>
    <n v="38.302387267904507"/>
    <n v="0.8415178571428571"/>
  </r>
  <r>
    <d v="2026-12-02T00:00:00"/>
    <x v="5"/>
    <x v="0"/>
    <x v="0"/>
    <x v="1"/>
    <n v="390"/>
    <n v="369"/>
    <n v="13"/>
    <n v="356"/>
    <n v="34"/>
    <n v="7.0833333333333331E-2"/>
    <n v="120"/>
    <n v="30800"/>
    <n v="42720"/>
    <n v="11920"/>
    <n v="0.94615384615384612"/>
    <n v="3.5230352303523033E-2"/>
    <n v="0.27902621722846443"/>
    <n v="86.516853932584269"/>
    <n v="446"/>
    <n v="0.82735426008968604"/>
    <n v="33.483146067415731"/>
    <n v="0.7982062780269058"/>
  </r>
  <r>
    <d v="2026-12-02T00:00:00"/>
    <x v="5"/>
    <x v="0"/>
    <x v="1"/>
    <x v="2"/>
    <n v="490"/>
    <n v="454"/>
    <n v="19"/>
    <n v="435"/>
    <n v="23"/>
    <n v="4.791666666666667E-2"/>
    <n v="90"/>
    <n v="30800"/>
    <n v="39150"/>
    <n v="8350"/>
    <n v="0.92653061224489797"/>
    <n v="4.185022026431718E-2"/>
    <n v="0.21328224776500637"/>
    <n v="70.804597701149419"/>
    <n v="457"/>
    <n v="0.99343544857768051"/>
    <n v="19.195402298850574"/>
    <n v="0.9518599562363238"/>
  </r>
  <r>
    <d v="2026-12-02T00:00:00"/>
    <x v="5"/>
    <x v="0"/>
    <x v="2"/>
    <x v="0"/>
    <n v="440"/>
    <n v="405"/>
    <n v="24"/>
    <n v="381"/>
    <n v="45"/>
    <n v="9.375E-2"/>
    <n v="100"/>
    <n v="30800"/>
    <n v="38100"/>
    <n v="7300"/>
    <n v="0.92045454545454541"/>
    <n v="5.9259259259259262E-2"/>
    <n v="0.19160104986876642"/>
    <n v="80.839895013123353"/>
    <n v="435"/>
    <n v="0.93103448275862066"/>
    <n v="19.16010498687664"/>
    <n v="0.87586206896551722"/>
  </r>
  <r>
    <d v="2026-12-02T00:00:00"/>
    <x v="5"/>
    <x v="1"/>
    <x v="0"/>
    <x v="2"/>
    <n v="490"/>
    <n v="455"/>
    <n v="22"/>
    <n v="433"/>
    <n v="55"/>
    <n v="0.11458333333333333"/>
    <n v="90"/>
    <n v="30800"/>
    <n v="38970"/>
    <n v="8170"/>
    <n v="0.9285714285714286"/>
    <n v="4.8351648351648353E-2"/>
    <n v="0.20964844752373621"/>
    <n v="71.131639722863738"/>
    <n v="425"/>
    <n v="1.0705882352941176"/>
    <n v="18.868360277136258"/>
    <n v="1.0188235294117647"/>
  </r>
  <r>
    <d v="2026-12-02T00:00:00"/>
    <x v="5"/>
    <x v="1"/>
    <x v="1"/>
    <x v="0"/>
    <n v="430"/>
    <n v="389"/>
    <n v="28"/>
    <n v="361"/>
    <n v="49"/>
    <n v="0.10208333333333333"/>
    <n v="100"/>
    <n v="30800"/>
    <n v="36100"/>
    <n v="5300"/>
    <n v="0.90465116279069768"/>
    <n v="7.1979434447300775E-2"/>
    <n v="0.14681440443213298"/>
    <n v="85.31855955678671"/>
    <n v="431"/>
    <n v="0.90255220417633408"/>
    <n v="14.681440443213296"/>
    <n v="0.83758700696055688"/>
  </r>
  <r>
    <d v="2026-12-02T00:00:00"/>
    <x v="5"/>
    <x v="1"/>
    <x v="2"/>
    <x v="1"/>
    <n v="390"/>
    <n v="342"/>
    <n v="20"/>
    <n v="322"/>
    <n v="50"/>
    <n v="0.10416666666666667"/>
    <n v="120"/>
    <n v="30800"/>
    <n v="38640"/>
    <n v="7840"/>
    <n v="0.87692307692307692"/>
    <n v="5.8479532163742687E-2"/>
    <n v="0.20289855072463769"/>
    <n v="95.652173913043484"/>
    <n v="430"/>
    <n v="0.79534883720930227"/>
    <n v="24.347826086956523"/>
    <n v="0.74883720930232556"/>
  </r>
  <r>
    <d v="2026-12-02T00:00:00"/>
    <x v="5"/>
    <x v="2"/>
    <x v="0"/>
    <x v="0"/>
    <n v="440"/>
    <n v="420"/>
    <n v="13"/>
    <n v="407"/>
    <n v="36"/>
    <n v="7.4999999999999997E-2"/>
    <n v="100"/>
    <n v="30800"/>
    <n v="40700"/>
    <n v="9900"/>
    <n v="0.95454545454545459"/>
    <n v="3.0952380952380953E-2"/>
    <n v="0.24324324324324326"/>
    <n v="75.675675675675677"/>
    <n v="444"/>
    <n v="0.94594594594594594"/>
    <n v="24.324324324324323"/>
    <n v="0.91666666666666663"/>
  </r>
  <r>
    <d v="2026-12-02T00:00:00"/>
    <x v="5"/>
    <x v="2"/>
    <x v="1"/>
    <x v="1"/>
    <n v="410"/>
    <n v="400"/>
    <n v="13"/>
    <n v="387"/>
    <n v="23"/>
    <n v="4.791666666666667E-2"/>
    <n v="120"/>
    <n v="30800"/>
    <n v="46440"/>
    <n v="15640"/>
    <n v="0.97560975609756095"/>
    <n v="3.2500000000000001E-2"/>
    <n v="0.33677863910422051"/>
    <n v="79.586563307493535"/>
    <n v="457"/>
    <n v="0.87527352297592997"/>
    <n v="40.413436692506458"/>
    <n v="0.84682713347921224"/>
  </r>
  <r>
    <d v="2026-12-02T00:00:00"/>
    <x v="5"/>
    <x v="2"/>
    <x v="2"/>
    <x v="2"/>
    <n v="520"/>
    <n v="473"/>
    <n v="17"/>
    <n v="456"/>
    <n v="20"/>
    <n v="4.1666666666666664E-2"/>
    <n v="90"/>
    <n v="30800"/>
    <n v="41040"/>
    <n v="10240"/>
    <n v="0.9096153846153846"/>
    <n v="3.5940803382663845E-2"/>
    <n v="0.24951267056530213"/>
    <n v="67.543859649122808"/>
    <n v="460"/>
    <n v="1.0282608695652173"/>
    <n v="22.456140350877192"/>
    <n v="0.99130434782608701"/>
  </r>
  <r>
    <d v="2026-12-03T00:00:00"/>
    <x v="5"/>
    <x v="0"/>
    <x v="0"/>
    <x v="2"/>
    <n v="510"/>
    <n v="498"/>
    <n v="20"/>
    <n v="478"/>
    <n v="24"/>
    <n v="0.05"/>
    <n v="90"/>
    <n v="30800"/>
    <n v="43020"/>
    <n v="12220"/>
    <n v="0.97647058823529409"/>
    <n v="4.0160642570281124E-2"/>
    <n v="0.28405392840539284"/>
    <n v="64.43514644351464"/>
    <n v="456"/>
    <n v="1.0921052631578947"/>
    <n v="25.564853556485357"/>
    <n v="1.0482456140350878"/>
  </r>
  <r>
    <d v="2026-12-03T00:00:00"/>
    <x v="5"/>
    <x v="0"/>
    <x v="1"/>
    <x v="0"/>
    <n v="440"/>
    <n v="414"/>
    <n v="22"/>
    <n v="392"/>
    <n v="37"/>
    <n v="7.7083333333333337E-2"/>
    <n v="100"/>
    <n v="30800"/>
    <n v="39200"/>
    <n v="8400"/>
    <n v="0.94090909090909092"/>
    <n v="5.3140096618357488E-2"/>
    <n v="0.21428571428571427"/>
    <n v="78.571428571428569"/>
    <n v="443"/>
    <n v="0.93453724604966137"/>
    <n v="21.428571428571427"/>
    <n v="0.88487584650112872"/>
  </r>
  <r>
    <d v="2026-12-03T00:00:00"/>
    <x v="5"/>
    <x v="0"/>
    <x v="2"/>
    <x v="1"/>
    <n v="400"/>
    <n v="354"/>
    <n v="15"/>
    <n v="339"/>
    <n v="31"/>
    <n v="6.458333333333334E-2"/>
    <n v="120"/>
    <n v="30800"/>
    <n v="40680"/>
    <n v="9880"/>
    <n v="0.88500000000000001"/>
    <n v="4.2372881355932202E-2"/>
    <n v="0.24287118977384464"/>
    <n v="90.855457227138643"/>
    <n v="449"/>
    <n v="0.7884187082405345"/>
    <n v="29.144542772861357"/>
    <n v="0.75501113585746105"/>
  </r>
  <r>
    <d v="2026-12-03T00:00:00"/>
    <x v="5"/>
    <x v="1"/>
    <x v="0"/>
    <x v="0"/>
    <n v="440"/>
    <n v="388"/>
    <n v="23"/>
    <n v="365"/>
    <n v="65"/>
    <n v="0.13541666666666666"/>
    <n v="100"/>
    <n v="30800"/>
    <n v="36500"/>
    <n v="5700"/>
    <n v="0.88181818181818183"/>
    <n v="5.9278350515463915E-2"/>
    <n v="0.15616438356164383"/>
    <n v="84.38356164383562"/>
    <n v="415"/>
    <n v="0.93493975903614457"/>
    <n v="15.616438356164384"/>
    <n v="0.87951807228915657"/>
  </r>
  <r>
    <d v="2026-12-03T00:00:00"/>
    <x v="5"/>
    <x v="1"/>
    <x v="1"/>
    <x v="1"/>
    <n v="380"/>
    <n v="343"/>
    <n v="20"/>
    <n v="323"/>
    <n v="59"/>
    <n v="0.12291666666666666"/>
    <n v="120"/>
    <n v="30800"/>
    <n v="38760"/>
    <n v="7960"/>
    <n v="0.90263157894736845"/>
    <n v="5.8309037900874633E-2"/>
    <n v="0.20536635706914344"/>
    <n v="95.356037151702793"/>
    <n v="421"/>
    <n v="0.81472684085510694"/>
    <n v="24.643962848297214"/>
    <n v="0.76722090261282661"/>
  </r>
  <r>
    <d v="2026-12-03T00:00:00"/>
    <x v="5"/>
    <x v="1"/>
    <x v="2"/>
    <x v="2"/>
    <n v="490"/>
    <n v="424"/>
    <n v="26"/>
    <n v="398"/>
    <n v="47"/>
    <n v="9.7916666666666666E-2"/>
    <n v="90"/>
    <n v="30800"/>
    <n v="35820"/>
    <n v="5020"/>
    <n v="0.86530612244897964"/>
    <n v="6.1320754716981132E-2"/>
    <n v="0.14014517029592408"/>
    <n v="77.386934673366838"/>
    <n v="433"/>
    <n v="0.97921478060046185"/>
    <n v="12.613065326633166"/>
    <n v="0.91916859122401851"/>
  </r>
  <r>
    <d v="2026-12-03T00:00:00"/>
    <x v="5"/>
    <x v="2"/>
    <x v="0"/>
    <x v="1"/>
    <n v="410"/>
    <n v="410"/>
    <n v="9"/>
    <n v="401"/>
    <n v="26"/>
    <n v="5.4166666666666669E-2"/>
    <n v="120"/>
    <n v="30800"/>
    <n v="48120"/>
    <n v="17320"/>
    <n v="1"/>
    <n v="2.1951219512195121E-2"/>
    <n v="0.35993349958437243"/>
    <n v="76.807980049875312"/>
    <n v="454"/>
    <n v="0.90308370044052866"/>
    <n v="43.192019950124688"/>
    <n v="0.88325991189427311"/>
  </r>
  <r>
    <d v="2026-12-03T00:00:00"/>
    <x v="5"/>
    <x v="2"/>
    <x v="1"/>
    <x v="2"/>
    <n v="500"/>
    <n v="488"/>
    <n v="14"/>
    <n v="474"/>
    <n v="26"/>
    <n v="5.4166666666666669E-2"/>
    <n v="90"/>
    <n v="30800"/>
    <n v="42660"/>
    <n v="11860"/>
    <n v="0.97599999999999998"/>
    <n v="2.8688524590163935E-2"/>
    <n v="0.27801218940459449"/>
    <n v="64.978902953586498"/>
    <n v="454"/>
    <n v="1.0748898678414096"/>
    <n v="25.021097046413502"/>
    <n v="1.0440528634361232"/>
  </r>
  <r>
    <d v="2026-12-03T00:00:00"/>
    <x v="5"/>
    <x v="2"/>
    <x v="2"/>
    <x v="0"/>
    <n v="450"/>
    <n v="418"/>
    <n v="20"/>
    <n v="398"/>
    <n v="37"/>
    <n v="7.7083333333333337E-2"/>
    <n v="100"/>
    <n v="30800"/>
    <n v="39800"/>
    <n v="9000"/>
    <n v="0.92888888888888888"/>
    <n v="4.784688995215311E-2"/>
    <n v="0.22613065326633167"/>
    <n v="77.386934673366838"/>
    <n v="443"/>
    <n v="0.94356659142212185"/>
    <n v="22.613065326633166"/>
    <n v="0.89841986455981937"/>
  </r>
  <r>
    <d v="2026-12-04T00:00:00"/>
    <x v="5"/>
    <x v="0"/>
    <x v="0"/>
    <x v="0"/>
    <n v="460"/>
    <n v="426"/>
    <n v="19"/>
    <n v="407"/>
    <n v="35"/>
    <n v="7.2916666666666671E-2"/>
    <n v="100"/>
    <n v="30800"/>
    <n v="40700"/>
    <n v="9900"/>
    <n v="0.92608695652173911"/>
    <n v="4.4600938967136149E-2"/>
    <n v="0.24324324324324326"/>
    <n v="75.675675675675677"/>
    <n v="445"/>
    <n v="0.95730337078651684"/>
    <n v="24.324324324324323"/>
    <n v="0.91460674157303368"/>
  </r>
  <r>
    <d v="2026-12-04T00:00:00"/>
    <x v="5"/>
    <x v="0"/>
    <x v="1"/>
    <x v="1"/>
    <n v="400"/>
    <n v="382"/>
    <n v="14"/>
    <n v="368"/>
    <n v="39"/>
    <n v="8.1250000000000003E-2"/>
    <n v="120"/>
    <n v="30800"/>
    <n v="44160"/>
    <n v="13360"/>
    <n v="0.95499999999999996"/>
    <n v="3.6649214659685861E-2"/>
    <n v="0.30253623188405798"/>
    <n v="83.695652173913047"/>
    <n v="441"/>
    <n v="0.86621315192743764"/>
    <n v="36.304347826086953"/>
    <n v="0.8344671201814059"/>
  </r>
  <r>
    <d v="2026-12-04T00:00:00"/>
    <x v="5"/>
    <x v="0"/>
    <x v="2"/>
    <x v="2"/>
    <n v="500"/>
    <n v="449"/>
    <n v="23"/>
    <n v="426"/>
    <n v="32"/>
    <n v="6.6666666666666666E-2"/>
    <n v="90"/>
    <n v="30800"/>
    <n v="38340"/>
    <n v="7540"/>
    <n v="0.89800000000000002"/>
    <n v="5.1224944320712694E-2"/>
    <n v="0.19666145018257694"/>
    <n v="72.300469483568079"/>
    <n v="448"/>
    <n v="1.0022321428571428"/>
    <n v="17.699530516431924"/>
    <n v="0.9508928571428571"/>
  </r>
  <r>
    <d v="2026-12-04T00:00:00"/>
    <x v="5"/>
    <x v="1"/>
    <x v="0"/>
    <x v="1"/>
    <n v="410"/>
    <n v="377"/>
    <n v="20"/>
    <n v="357"/>
    <n v="47"/>
    <n v="9.7916666666666666E-2"/>
    <n v="120"/>
    <n v="30800"/>
    <n v="42840"/>
    <n v="12040"/>
    <n v="0.91951219512195126"/>
    <n v="5.3050397877984087E-2"/>
    <n v="0.28104575163398693"/>
    <n v="86.274509803921575"/>
    <n v="433"/>
    <n v="0.87066974595842961"/>
    <n v="33.725490196078432"/>
    <n v="0.82448036951501158"/>
  </r>
  <r>
    <d v="2026-12-04T00:00:00"/>
    <x v="5"/>
    <x v="1"/>
    <x v="1"/>
    <x v="2"/>
    <n v="480"/>
    <n v="433"/>
    <n v="25"/>
    <n v="408"/>
    <n v="50"/>
    <n v="0.10416666666666667"/>
    <n v="90"/>
    <n v="30800"/>
    <n v="36720"/>
    <n v="5920"/>
    <n v="0.90208333333333335"/>
    <n v="5.7736720554272515E-2"/>
    <n v="0.16122004357298475"/>
    <n v="75.490196078431367"/>
    <n v="430"/>
    <n v="1.0069767441860464"/>
    <n v="14.509803921568627"/>
    <n v="0.94883720930232562"/>
  </r>
  <r>
    <d v="2026-12-04T00:00:00"/>
    <x v="5"/>
    <x v="1"/>
    <x v="2"/>
    <x v="0"/>
    <n v="450"/>
    <n v="392"/>
    <n v="27"/>
    <n v="365"/>
    <n v="66"/>
    <n v="0.13750000000000001"/>
    <n v="100"/>
    <n v="30800"/>
    <n v="36500"/>
    <n v="5700"/>
    <n v="0.87111111111111106"/>
    <n v="6.8877551020408156E-2"/>
    <n v="0.15616438356164383"/>
    <n v="84.38356164383562"/>
    <n v="414"/>
    <n v="0.9468599033816425"/>
    <n v="15.616438356164384"/>
    <n v="0.88164251207729472"/>
  </r>
  <r>
    <d v="2026-12-04T00:00:00"/>
    <x v="5"/>
    <x v="2"/>
    <x v="0"/>
    <x v="2"/>
    <n v="510"/>
    <n v="510"/>
    <n v="15"/>
    <n v="495"/>
    <n v="10"/>
    <n v="2.0833333333333332E-2"/>
    <n v="90"/>
    <n v="30800"/>
    <n v="44550"/>
    <n v="13750"/>
    <n v="1"/>
    <n v="2.9411764705882353E-2"/>
    <n v="0.30864197530864196"/>
    <n v="62.222222222222221"/>
    <n v="470"/>
    <n v="1.0851063829787233"/>
    <n v="27.777777777777779"/>
    <n v="1.053191489361702"/>
  </r>
  <r>
    <d v="2026-12-04T00:00:00"/>
    <x v="5"/>
    <x v="2"/>
    <x v="1"/>
    <x v="0"/>
    <n v="450"/>
    <n v="424"/>
    <n v="16"/>
    <n v="408"/>
    <n v="34"/>
    <n v="7.0833333333333331E-2"/>
    <n v="100"/>
    <n v="30800"/>
    <n v="40800"/>
    <n v="10000"/>
    <n v="0.94222222222222218"/>
    <n v="3.7735849056603772E-2"/>
    <n v="0.24509803921568626"/>
    <n v="75.490196078431367"/>
    <n v="446"/>
    <n v="0.95067264573991028"/>
    <n v="24.509803921568629"/>
    <n v="0.91479820627802688"/>
  </r>
  <r>
    <d v="2026-12-04T00:00:00"/>
    <x v="5"/>
    <x v="2"/>
    <x v="2"/>
    <x v="1"/>
    <n v="390"/>
    <n v="361"/>
    <n v="13"/>
    <n v="348"/>
    <n v="47"/>
    <n v="9.7916666666666666E-2"/>
    <n v="120"/>
    <n v="30800"/>
    <n v="41760"/>
    <n v="10960"/>
    <n v="0.92564102564102568"/>
    <n v="3.6011080332409975E-2"/>
    <n v="0.26245210727969348"/>
    <n v="88.505747126436788"/>
    <n v="433"/>
    <n v="0.83371824480369516"/>
    <n v="31.494252873563219"/>
    <n v="0.80369515011547343"/>
  </r>
  <r>
    <d v="2026-12-05T00:00:00"/>
    <x v="5"/>
    <x v="0"/>
    <x v="0"/>
    <x v="1"/>
    <n v="400"/>
    <n v="387"/>
    <n v="13"/>
    <n v="374"/>
    <n v="30"/>
    <n v="6.25E-2"/>
    <n v="120"/>
    <n v="30800"/>
    <n v="44880"/>
    <n v="14080"/>
    <n v="0.96750000000000003"/>
    <n v="3.3591731266149873E-2"/>
    <n v="0.31372549019607843"/>
    <n v="82.352941176470594"/>
    <n v="450"/>
    <n v="0.86"/>
    <n v="37.647058823529413"/>
    <n v="0.83111111111111113"/>
  </r>
  <r>
    <d v="2026-12-05T00:00:00"/>
    <x v="5"/>
    <x v="0"/>
    <x v="1"/>
    <x v="2"/>
    <n v="500"/>
    <n v="474"/>
    <n v="17"/>
    <n v="457"/>
    <n v="35"/>
    <n v="7.2916666666666671E-2"/>
    <n v="90"/>
    <n v="30800"/>
    <n v="41130"/>
    <n v="10330"/>
    <n v="0.94799999999999995"/>
    <n v="3.5864978902953586E-2"/>
    <n v="0.2511548747872599"/>
    <n v="67.396061269146614"/>
    <n v="445"/>
    <n v="1.0651685393258428"/>
    <n v="22.603938730853393"/>
    <n v="1.0269662921348315"/>
  </r>
  <r>
    <d v="2026-12-05T00:00:00"/>
    <x v="5"/>
    <x v="0"/>
    <x v="2"/>
    <x v="0"/>
    <n v="440"/>
    <n v="409"/>
    <n v="21"/>
    <n v="388"/>
    <n v="44"/>
    <n v="9.166666666666666E-2"/>
    <n v="100"/>
    <n v="30800"/>
    <n v="38800"/>
    <n v="8000"/>
    <n v="0.92954545454545456"/>
    <n v="5.1344743276283619E-2"/>
    <n v="0.20618556701030927"/>
    <n v="79.381443298969074"/>
    <n v="436"/>
    <n v="0.93807339449541283"/>
    <n v="20.618556701030929"/>
    <n v="0.88990825688073394"/>
  </r>
  <r>
    <d v="2026-12-05T00:00:00"/>
    <x v="5"/>
    <x v="1"/>
    <x v="0"/>
    <x v="2"/>
    <n v="500"/>
    <n v="455"/>
    <n v="20"/>
    <n v="435"/>
    <n v="34"/>
    <n v="7.0833333333333331E-2"/>
    <n v="90"/>
    <n v="30800"/>
    <n v="39150"/>
    <n v="8350"/>
    <n v="0.91"/>
    <n v="4.3956043956043959E-2"/>
    <n v="0.21328224776500637"/>
    <n v="70.804597701149419"/>
    <n v="446"/>
    <n v="1.0201793721973094"/>
    <n v="19.195402298850574"/>
    <n v="0.9753363228699552"/>
  </r>
  <r>
    <d v="2026-12-05T00:00:00"/>
    <x v="5"/>
    <x v="1"/>
    <x v="1"/>
    <x v="0"/>
    <n v="460"/>
    <n v="410"/>
    <n v="24"/>
    <n v="386"/>
    <n v="53"/>
    <n v="0.11041666666666666"/>
    <n v="100"/>
    <n v="30800"/>
    <n v="38600"/>
    <n v="7800"/>
    <n v="0.89130434782608692"/>
    <n v="5.8536585365853662E-2"/>
    <n v="0.20207253886010362"/>
    <n v="79.792746113989637"/>
    <n v="427"/>
    <n v="0.96018735362997654"/>
    <n v="20.207253886010363"/>
    <n v="0.90398126463700235"/>
  </r>
  <r>
    <d v="2026-12-05T00:00:00"/>
    <x v="5"/>
    <x v="1"/>
    <x v="2"/>
    <x v="1"/>
    <n v="400"/>
    <n v="341"/>
    <n v="19"/>
    <n v="322"/>
    <n v="68"/>
    <n v="0.14166666666666666"/>
    <n v="120"/>
    <n v="30800"/>
    <n v="38640"/>
    <n v="7840"/>
    <n v="0.85250000000000004"/>
    <n v="5.5718475073313782E-2"/>
    <n v="0.20289855072463769"/>
    <n v="95.652173913043484"/>
    <n v="412"/>
    <n v="0.82766990291262132"/>
    <n v="24.347826086956523"/>
    <n v="0.78155339805825241"/>
  </r>
  <r>
    <d v="2026-12-05T00:00:00"/>
    <x v="5"/>
    <x v="2"/>
    <x v="0"/>
    <x v="0"/>
    <n v="460"/>
    <n v="452"/>
    <n v="17"/>
    <n v="435"/>
    <n v="30"/>
    <n v="6.25E-2"/>
    <n v="100"/>
    <n v="30800"/>
    <n v="43500"/>
    <n v="12700"/>
    <n v="0.9826086956521739"/>
    <n v="3.7610619469026552E-2"/>
    <n v="0.29195402298850576"/>
    <n v="70.804597701149419"/>
    <n v="450"/>
    <n v="1.0044444444444445"/>
    <n v="29.195402298850574"/>
    <n v="0.96666666666666667"/>
  </r>
  <r>
    <d v="2026-12-05T00:00:00"/>
    <x v="5"/>
    <x v="2"/>
    <x v="1"/>
    <x v="1"/>
    <n v="390"/>
    <n v="379"/>
    <n v="10"/>
    <n v="369"/>
    <n v="25"/>
    <n v="5.2083333333333336E-2"/>
    <n v="120"/>
    <n v="30800"/>
    <n v="44280"/>
    <n v="13480"/>
    <n v="0.97179487179487178"/>
    <n v="2.6385224274406333E-2"/>
    <n v="0.30442637759710928"/>
    <n v="83.468834688346888"/>
    <n v="455"/>
    <n v="0.83296703296703301"/>
    <n v="36.531165311653119"/>
    <n v="0.81098901098901099"/>
  </r>
  <r>
    <d v="2026-12-05T00:00:00"/>
    <x v="5"/>
    <x v="2"/>
    <x v="2"/>
    <x v="2"/>
    <n v="490"/>
    <n v="467"/>
    <n v="19"/>
    <n v="448"/>
    <n v="42"/>
    <n v="8.7499999999999994E-2"/>
    <n v="90"/>
    <n v="30800"/>
    <n v="40320"/>
    <n v="9520"/>
    <n v="0.95306122448979591"/>
    <n v="4.068522483940043E-2"/>
    <n v="0.2361111111111111"/>
    <n v="68.75"/>
    <n v="438"/>
    <n v="1.0662100456621004"/>
    <n v="21.25"/>
    <n v="1.0228310502283104"/>
  </r>
  <r>
    <d v="2026-12-06T00:00:00"/>
    <x v="5"/>
    <x v="0"/>
    <x v="0"/>
    <x v="2"/>
    <n v="520"/>
    <n v="508"/>
    <n v="13"/>
    <n v="495"/>
    <n v="27"/>
    <n v="5.6250000000000001E-2"/>
    <n v="90"/>
    <n v="30800"/>
    <n v="44550"/>
    <n v="13750"/>
    <n v="0.97692307692307689"/>
    <n v="2.5590551181102362E-2"/>
    <n v="0.30864197530864196"/>
    <n v="62.222222222222221"/>
    <n v="453"/>
    <n v="1.1214128035320088"/>
    <n v="27.777777777777779"/>
    <n v="1.0927152317880795"/>
  </r>
  <r>
    <d v="2026-12-06T00:00:00"/>
    <x v="5"/>
    <x v="0"/>
    <x v="1"/>
    <x v="0"/>
    <n v="460"/>
    <n v="432"/>
    <n v="18"/>
    <n v="414"/>
    <n v="35"/>
    <n v="7.2916666666666671E-2"/>
    <n v="100"/>
    <n v="30800"/>
    <n v="41400"/>
    <n v="10600"/>
    <n v="0.93913043478260871"/>
    <n v="4.1666666666666664E-2"/>
    <n v="0.2560386473429952"/>
    <n v="74.39613526570048"/>
    <n v="445"/>
    <n v="0.97078651685393258"/>
    <n v="25.603864734299517"/>
    <n v="0.93033707865168536"/>
  </r>
  <r>
    <d v="2026-12-06T00:00:00"/>
    <x v="5"/>
    <x v="0"/>
    <x v="2"/>
    <x v="1"/>
    <n v="410"/>
    <n v="381"/>
    <n v="18"/>
    <n v="363"/>
    <n v="36"/>
    <n v="7.4999999999999997E-2"/>
    <n v="120"/>
    <n v="30800"/>
    <n v="43560"/>
    <n v="12760"/>
    <n v="0.92926829268292688"/>
    <n v="4.7244094488188976E-2"/>
    <n v="0.29292929292929293"/>
    <n v="84.848484848484844"/>
    <n v="444"/>
    <n v="0.85810810810810811"/>
    <n v="35.151515151515149"/>
    <n v="0.81756756756756754"/>
  </r>
  <r>
    <d v="2026-12-06T00:00:00"/>
    <x v="5"/>
    <x v="1"/>
    <x v="0"/>
    <x v="0"/>
    <n v="450"/>
    <n v="401"/>
    <n v="24"/>
    <n v="377"/>
    <n v="65"/>
    <n v="0.13541666666666666"/>
    <n v="100"/>
    <n v="30800"/>
    <n v="37700"/>
    <n v="6900"/>
    <n v="0.89111111111111108"/>
    <n v="5.9850374064837904E-2"/>
    <n v="0.1830238726790451"/>
    <n v="81.697612732095493"/>
    <n v="415"/>
    <n v="0.96626506024096381"/>
    <n v="18.302387267904511"/>
    <n v="0.90843373493975899"/>
  </r>
  <r>
    <d v="2026-12-06T00:00:00"/>
    <x v="5"/>
    <x v="1"/>
    <x v="1"/>
    <x v="1"/>
    <n v="400"/>
    <n v="357"/>
    <n v="19"/>
    <n v="338"/>
    <n v="60"/>
    <n v="0.125"/>
    <n v="120"/>
    <n v="30800"/>
    <n v="40560"/>
    <n v="9760"/>
    <n v="0.89249999999999996"/>
    <n v="5.3221288515406161E-2"/>
    <n v="0.24063116370808679"/>
    <n v="91.124260355029591"/>
    <n v="420"/>
    <n v="0.85"/>
    <n v="28.875739644970412"/>
    <n v="0.80476190476190479"/>
  </r>
  <r>
    <d v="2026-12-06T00:00:00"/>
    <x v="5"/>
    <x v="1"/>
    <x v="2"/>
    <x v="2"/>
    <n v="500"/>
    <n v="434"/>
    <n v="25"/>
    <n v="409"/>
    <n v="45"/>
    <n v="9.375E-2"/>
    <n v="90"/>
    <n v="30800"/>
    <n v="36810"/>
    <n v="6010"/>
    <n v="0.86799999999999999"/>
    <n v="5.7603686635944701E-2"/>
    <n v="0.16327085031241512"/>
    <n v="75.30562347188264"/>
    <n v="435"/>
    <n v="0.99770114942528731"/>
    <n v="14.69437652811736"/>
    <n v="0.94022988505747129"/>
  </r>
  <r>
    <d v="2026-12-06T00:00:00"/>
    <x v="5"/>
    <x v="2"/>
    <x v="0"/>
    <x v="1"/>
    <n v="390"/>
    <n v="382"/>
    <n v="8"/>
    <n v="374"/>
    <n v="31"/>
    <n v="6.458333333333334E-2"/>
    <n v="120"/>
    <n v="30800"/>
    <n v="44880"/>
    <n v="14080"/>
    <n v="0.97948717948717945"/>
    <n v="2.0942408376963352E-2"/>
    <n v="0.31372549019607843"/>
    <n v="82.352941176470594"/>
    <n v="449"/>
    <n v="0.8507795100222717"/>
    <n v="37.647058823529413"/>
    <n v="0.83296213808463249"/>
  </r>
  <r>
    <d v="2026-12-06T00:00:00"/>
    <x v="5"/>
    <x v="2"/>
    <x v="1"/>
    <x v="2"/>
    <n v="510"/>
    <n v="485"/>
    <n v="12"/>
    <n v="473"/>
    <n v="30"/>
    <n v="6.25E-2"/>
    <n v="90"/>
    <n v="30800"/>
    <n v="42570"/>
    <n v="11770"/>
    <n v="0.9509803921568627"/>
    <n v="2.4742268041237112E-2"/>
    <n v="0.27648578811369506"/>
    <n v="65.116279069767444"/>
    <n v="450"/>
    <n v="1.0777777777777777"/>
    <n v="24.88372093023256"/>
    <n v="1.0511111111111111"/>
  </r>
  <r>
    <d v="2026-12-06T00:00:00"/>
    <x v="5"/>
    <x v="2"/>
    <x v="2"/>
    <x v="0"/>
    <n v="440"/>
    <n v="407"/>
    <n v="23"/>
    <n v="384"/>
    <n v="46"/>
    <n v="9.583333333333334E-2"/>
    <n v="100"/>
    <n v="30800"/>
    <n v="38400"/>
    <n v="7600"/>
    <n v="0.92500000000000004"/>
    <n v="5.6511056511056514E-2"/>
    <n v="0.19791666666666666"/>
    <n v="80.208333333333329"/>
    <n v="434"/>
    <n v="0.93778801843317972"/>
    <n v="19.791666666666668"/>
    <n v="0.88479262672811065"/>
  </r>
  <r>
    <d v="2026-12-07T00:00:00"/>
    <x v="5"/>
    <x v="0"/>
    <x v="0"/>
    <x v="0"/>
    <n v="460"/>
    <n v="443"/>
    <n v="19"/>
    <n v="424"/>
    <n v="36"/>
    <n v="7.4999999999999997E-2"/>
    <n v="100"/>
    <n v="30800"/>
    <n v="42400"/>
    <n v="11600"/>
    <n v="0.96304347826086956"/>
    <n v="4.2889390519187359E-2"/>
    <n v="0.27358490566037735"/>
    <n v="72.64150943396227"/>
    <n v="444"/>
    <n v="0.99774774774774777"/>
    <n v="27.358490566037737"/>
    <n v="0.95495495495495497"/>
  </r>
  <r>
    <d v="2026-12-07T00:00:00"/>
    <x v="5"/>
    <x v="0"/>
    <x v="1"/>
    <x v="1"/>
    <n v="420"/>
    <n v="394"/>
    <n v="10"/>
    <n v="384"/>
    <n v="32"/>
    <n v="6.6666666666666666E-2"/>
    <n v="120"/>
    <n v="30800"/>
    <n v="46080"/>
    <n v="15280"/>
    <n v="0.93809523809523809"/>
    <n v="2.5380710659898477E-2"/>
    <n v="0.33159722222222221"/>
    <n v="80.208333333333329"/>
    <n v="448"/>
    <n v="0.8794642857142857"/>
    <n v="39.791666666666664"/>
    <n v="0.8571428571428571"/>
  </r>
  <r>
    <d v="2026-12-07T00:00:00"/>
    <x v="5"/>
    <x v="0"/>
    <x v="2"/>
    <x v="2"/>
    <n v="490"/>
    <n v="443"/>
    <n v="17"/>
    <n v="426"/>
    <n v="48"/>
    <n v="0.1"/>
    <n v="90"/>
    <n v="30800"/>
    <n v="38340"/>
    <n v="7540"/>
    <n v="0.90408163265306118"/>
    <n v="3.8374717832957109E-2"/>
    <n v="0.19666145018257694"/>
    <n v="72.300469483568079"/>
    <n v="432"/>
    <n v="1.025462962962963"/>
    <n v="17.699530516431924"/>
    <n v="0.98611111111111116"/>
  </r>
  <r>
    <d v="2026-12-07T00:00:00"/>
    <x v="5"/>
    <x v="1"/>
    <x v="0"/>
    <x v="1"/>
    <n v="410"/>
    <n v="361"/>
    <n v="15"/>
    <n v="346"/>
    <n v="53"/>
    <n v="0.11041666666666666"/>
    <n v="120"/>
    <n v="30800"/>
    <n v="41520"/>
    <n v="10720"/>
    <n v="0.88048780487804879"/>
    <n v="4.1551246537396121E-2"/>
    <n v="0.25818882466281312"/>
    <n v="89.017341040462426"/>
    <n v="427"/>
    <n v="0.84543325526932089"/>
    <n v="30.982658959537574"/>
    <n v="0.81030444964871196"/>
  </r>
  <r>
    <d v="2026-12-07T00:00:00"/>
    <x v="5"/>
    <x v="1"/>
    <x v="1"/>
    <x v="2"/>
    <n v="480"/>
    <n v="434"/>
    <n v="23"/>
    <n v="411"/>
    <n v="54"/>
    <n v="0.1125"/>
    <n v="90"/>
    <n v="30800"/>
    <n v="36990"/>
    <n v="6190"/>
    <n v="0.90416666666666667"/>
    <n v="5.2995391705069124E-2"/>
    <n v="0.16734252500675859"/>
    <n v="74.93917274939173"/>
    <n v="426"/>
    <n v="1.0187793427230047"/>
    <n v="15.060827250608272"/>
    <n v="0.96478873239436624"/>
  </r>
  <r>
    <d v="2026-12-07T00:00:00"/>
    <x v="5"/>
    <x v="1"/>
    <x v="2"/>
    <x v="0"/>
    <n v="440"/>
    <n v="386"/>
    <n v="29"/>
    <n v="357"/>
    <n v="64"/>
    <n v="0.13333333333333333"/>
    <n v="100"/>
    <n v="30800"/>
    <n v="35700"/>
    <n v="4900"/>
    <n v="0.87727272727272732"/>
    <n v="7.512953367875648E-2"/>
    <n v="0.13725490196078433"/>
    <n v="86.274509803921575"/>
    <n v="416"/>
    <n v="0.92788461538461542"/>
    <n v="13.725490196078431"/>
    <n v="0.85817307692307687"/>
  </r>
  <r>
    <d v="2026-12-07T00:00:00"/>
    <x v="5"/>
    <x v="2"/>
    <x v="0"/>
    <x v="2"/>
    <n v="500"/>
    <n v="482"/>
    <n v="9"/>
    <n v="473"/>
    <n v="20"/>
    <n v="4.1666666666666664E-2"/>
    <n v="90"/>
    <n v="30800"/>
    <n v="42570"/>
    <n v="11770"/>
    <n v="0.96399999999999997"/>
    <n v="1.8672199170124481E-2"/>
    <n v="0.27648578811369506"/>
    <n v="65.116279069767444"/>
    <n v="460"/>
    <n v="1.0478260869565217"/>
    <n v="24.88372093023256"/>
    <n v="1.0282608695652173"/>
  </r>
  <r>
    <d v="2026-12-07T00:00:00"/>
    <x v="5"/>
    <x v="2"/>
    <x v="1"/>
    <x v="0"/>
    <n v="460"/>
    <n v="436"/>
    <n v="19"/>
    <n v="417"/>
    <n v="46"/>
    <n v="9.583333333333334E-2"/>
    <n v="100"/>
    <n v="30800"/>
    <n v="41700"/>
    <n v="10900"/>
    <n v="0.94782608695652171"/>
    <n v="4.3577981651376149E-2"/>
    <n v="0.26139088729016785"/>
    <n v="73.860911270983209"/>
    <n v="434"/>
    <n v="1.0046082949308757"/>
    <n v="26.139088729016787"/>
    <n v="0.96082949308755761"/>
  </r>
  <r>
    <d v="2026-12-07T00:00:00"/>
    <x v="5"/>
    <x v="2"/>
    <x v="2"/>
    <x v="1"/>
    <n v="390"/>
    <n v="367"/>
    <n v="12"/>
    <n v="355"/>
    <n v="36"/>
    <n v="7.4999999999999997E-2"/>
    <n v="120"/>
    <n v="30800"/>
    <n v="42600"/>
    <n v="11800"/>
    <n v="0.94102564102564101"/>
    <n v="3.2697547683923703E-2"/>
    <n v="0.27699530516431925"/>
    <n v="86.760563380281695"/>
    <n v="444"/>
    <n v="0.82657657657657657"/>
    <n v="33.239436619718312"/>
    <n v="0.7995495495495496"/>
  </r>
  <r>
    <d v="2026-12-08T00:00:00"/>
    <x v="5"/>
    <x v="0"/>
    <x v="0"/>
    <x v="1"/>
    <n v="400"/>
    <n v="390"/>
    <n v="13"/>
    <n v="377"/>
    <n v="35"/>
    <n v="7.2916666666666671E-2"/>
    <n v="120"/>
    <n v="30800"/>
    <n v="45240"/>
    <n v="14440"/>
    <n v="0.97499999999999998"/>
    <n v="3.3333333333333333E-2"/>
    <n v="0.31918656056587091"/>
    <n v="81.697612732095493"/>
    <n v="445"/>
    <n v="0.8764044943820225"/>
    <n v="38.302387267904507"/>
    <n v="0.84719101123595508"/>
  </r>
  <r>
    <d v="2026-12-08T00:00:00"/>
    <x v="5"/>
    <x v="0"/>
    <x v="1"/>
    <x v="2"/>
    <n v="490"/>
    <n v="450"/>
    <n v="20"/>
    <n v="430"/>
    <n v="32"/>
    <n v="6.6666666666666666E-2"/>
    <n v="90"/>
    <n v="30800"/>
    <n v="38700"/>
    <n v="7900"/>
    <n v="0.91836734693877553"/>
    <n v="4.4444444444444446E-2"/>
    <n v="0.20413436692506459"/>
    <n v="71.627906976744185"/>
    <n v="448"/>
    <n v="1.0044642857142858"/>
    <n v="18.372093023255815"/>
    <n v="0.9598214285714286"/>
  </r>
  <r>
    <d v="2026-12-08T00:00:00"/>
    <x v="5"/>
    <x v="0"/>
    <x v="2"/>
    <x v="0"/>
    <n v="450"/>
    <n v="424"/>
    <n v="26"/>
    <n v="398"/>
    <n v="54"/>
    <n v="0.1125"/>
    <n v="100"/>
    <n v="30800"/>
    <n v="39800"/>
    <n v="9000"/>
    <n v="0.94222222222222218"/>
    <n v="6.1320754716981132E-2"/>
    <n v="0.22613065326633167"/>
    <n v="77.386934673366838"/>
    <n v="426"/>
    <n v="0.99530516431924887"/>
    <n v="22.613065326633166"/>
    <n v="0.93427230046948362"/>
  </r>
  <r>
    <d v="2026-12-08T00:00:00"/>
    <x v="5"/>
    <x v="1"/>
    <x v="0"/>
    <x v="2"/>
    <n v="500"/>
    <n v="446"/>
    <n v="23"/>
    <n v="423"/>
    <n v="47"/>
    <n v="9.7916666666666666E-2"/>
    <n v="90"/>
    <n v="30800"/>
    <n v="38070"/>
    <n v="7270"/>
    <n v="0.89200000000000002"/>
    <n v="5.1569506726457402E-2"/>
    <n v="0.19096401365904911"/>
    <n v="72.813238770685572"/>
    <n v="433"/>
    <n v="1.0300230946882216"/>
    <n v="17.186761229314421"/>
    <n v="0.97690531177829099"/>
  </r>
  <r>
    <d v="2026-12-08T00:00:00"/>
    <x v="5"/>
    <x v="1"/>
    <x v="1"/>
    <x v="0"/>
    <n v="450"/>
    <n v="399"/>
    <n v="24"/>
    <n v="375"/>
    <n v="57"/>
    <n v="0.11874999999999999"/>
    <n v="100"/>
    <n v="30800"/>
    <n v="37500"/>
    <n v="6700"/>
    <n v="0.88666666666666671"/>
    <n v="6.0150375939849621E-2"/>
    <n v="0.17866666666666667"/>
    <n v="82.13333333333334"/>
    <n v="423"/>
    <n v="0.94326241134751776"/>
    <n v="17.866666666666667"/>
    <n v="0.88652482269503541"/>
  </r>
  <r>
    <d v="2026-12-08T00:00:00"/>
    <x v="5"/>
    <x v="1"/>
    <x v="2"/>
    <x v="1"/>
    <n v="410"/>
    <n v="353"/>
    <n v="21"/>
    <n v="332"/>
    <n v="55"/>
    <n v="0.11458333333333333"/>
    <n v="120"/>
    <n v="30800"/>
    <n v="39840"/>
    <n v="9040"/>
    <n v="0.86097560975609755"/>
    <n v="5.9490084985835696E-2"/>
    <n v="0.22690763052208834"/>
    <n v="92.771084337349393"/>
    <n v="425"/>
    <n v="0.83058823529411763"/>
    <n v="27.228915662650603"/>
    <n v="0.78117647058823525"/>
  </r>
  <r>
    <d v="2026-12-08T00:00:00"/>
    <x v="5"/>
    <x v="2"/>
    <x v="0"/>
    <x v="0"/>
    <n v="450"/>
    <n v="442"/>
    <n v="16"/>
    <n v="426"/>
    <n v="39"/>
    <n v="8.1250000000000003E-2"/>
    <n v="100"/>
    <n v="30800"/>
    <n v="42600"/>
    <n v="11800"/>
    <n v="0.98222222222222222"/>
    <n v="3.6199095022624438E-2"/>
    <n v="0.27699530516431925"/>
    <n v="72.300469483568079"/>
    <n v="441"/>
    <n v="1.0022675736961451"/>
    <n v="27.699530516431924"/>
    <n v="0.96598639455782309"/>
  </r>
  <r>
    <d v="2026-12-08T00:00:00"/>
    <x v="5"/>
    <x v="2"/>
    <x v="1"/>
    <x v="1"/>
    <n v="390"/>
    <n v="365"/>
    <n v="11"/>
    <n v="354"/>
    <n v="22"/>
    <n v="4.583333333333333E-2"/>
    <n v="120"/>
    <n v="30800"/>
    <n v="42480"/>
    <n v="11680"/>
    <n v="0.9358974358974359"/>
    <n v="3.0136986301369864E-2"/>
    <n v="0.27495291902071561"/>
    <n v="87.005649717514117"/>
    <n v="458"/>
    <n v="0.79694323144104806"/>
    <n v="32.994350282485875"/>
    <n v="0.77292576419213976"/>
  </r>
  <r>
    <d v="2026-12-08T00:00:00"/>
    <x v="5"/>
    <x v="2"/>
    <x v="2"/>
    <x v="2"/>
    <n v="500"/>
    <n v="473"/>
    <n v="21"/>
    <n v="452"/>
    <n v="32"/>
    <n v="6.6666666666666666E-2"/>
    <n v="90"/>
    <n v="30800"/>
    <n v="40680"/>
    <n v="9880"/>
    <n v="0.94599999999999995"/>
    <n v="4.4397463002114168E-2"/>
    <n v="0.24287118977384464"/>
    <n v="68.141592920353986"/>
    <n v="448"/>
    <n v="1.0558035714285714"/>
    <n v="21.858407079646017"/>
    <n v="1.0089285714285714"/>
  </r>
  <r>
    <d v="2026-12-09T00:00:00"/>
    <x v="5"/>
    <x v="0"/>
    <x v="0"/>
    <x v="2"/>
    <n v="520"/>
    <n v="498"/>
    <n v="17"/>
    <n v="481"/>
    <n v="37"/>
    <n v="7.7083333333333337E-2"/>
    <n v="90"/>
    <n v="30800"/>
    <n v="43290"/>
    <n v="12490"/>
    <n v="0.95769230769230773"/>
    <n v="3.4136546184738957E-2"/>
    <n v="0.28851928851928854"/>
    <n v="64.033264033264032"/>
    <n v="443"/>
    <n v="1.1241534988713318"/>
    <n v="25.966735966735968"/>
    <n v="1.0857787810383748"/>
  </r>
  <r>
    <d v="2026-12-09T00:00:00"/>
    <x v="5"/>
    <x v="0"/>
    <x v="1"/>
    <x v="0"/>
    <n v="470"/>
    <n v="451"/>
    <n v="19"/>
    <n v="432"/>
    <n v="36"/>
    <n v="7.4999999999999997E-2"/>
    <n v="100"/>
    <n v="30800"/>
    <n v="43200"/>
    <n v="12400"/>
    <n v="0.95957446808510638"/>
    <n v="4.2128603104212861E-2"/>
    <n v="0.28703703703703703"/>
    <n v="71.296296296296291"/>
    <n v="444"/>
    <n v="1.0157657657657657"/>
    <n v="28.703703703703702"/>
    <n v="0.97297297297297303"/>
  </r>
  <r>
    <d v="2026-12-09T00:00:00"/>
    <x v="5"/>
    <x v="0"/>
    <x v="2"/>
    <x v="1"/>
    <n v="400"/>
    <n v="360"/>
    <n v="16"/>
    <n v="344"/>
    <n v="55"/>
    <n v="0.11458333333333333"/>
    <n v="120"/>
    <n v="30800"/>
    <n v="41280"/>
    <n v="10480"/>
    <n v="0.9"/>
    <n v="4.4444444444444446E-2"/>
    <n v="0.25387596899224807"/>
    <n v="89.534883720930239"/>
    <n v="425"/>
    <n v="0.84705882352941175"/>
    <n v="30.465116279069768"/>
    <n v="0.80941176470588239"/>
  </r>
  <r>
    <d v="2026-12-09T00:00:00"/>
    <x v="5"/>
    <x v="1"/>
    <x v="0"/>
    <x v="0"/>
    <n v="460"/>
    <n v="414"/>
    <n v="28"/>
    <n v="386"/>
    <n v="43"/>
    <n v="8.9583333333333334E-2"/>
    <n v="100"/>
    <n v="30800"/>
    <n v="38600"/>
    <n v="7800"/>
    <n v="0.9"/>
    <n v="6.7632850241545889E-2"/>
    <n v="0.20207253886010362"/>
    <n v="79.792746113989637"/>
    <n v="437"/>
    <n v="0.94736842105263153"/>
    <n v="20.207253886010363"/>
    <n v="0.8832951945080092"/>
  </r>
  <r>
    <d v="2026-12-09T00:00:00"/>
    <x v="5"/>
    <x v="1"/>
    <x v="1"/>
    <x v="1"/>
    <n v="390"/>
    <n v="347"/>
    <n v="19"/>
    <n v="328"/>
    <n v="63"/>
    <n v="0.13125000000000001"/>
    <n v="120"/>
    <n v="30800"/>
    <n v="39360"/>
    <n v="8560"/>
    <n v="0.88974358974358969"/>
    <n v="5.4755043227665709E-2"/>
    <n v="0.21747967479674796"/>
    <n v="93.902439024390247"/>
    <n v="417"/>
    <n v="0.83213429256594729"/>
    <n v="26.097560975609756"/>
    <n v="0.78657074340527577"/>
  </r>
  <r>
    <d v="2026-12-09T00:00:00"/>
    <x v="5"/>
    <x v="1"/>
    <x v="2"/>
    <x v="2"/>
    <n v="490"/>
    <n v="427"/>
    <n v="26"/>
    <n v="401"/>
    <n v="47"/>
    <n v="9.7916666666666666E-2"/>
    <n v="90"/>
    <n v="30800"/>
    <n v="36090"/>
    <n v="5290"/>
    <n v="0.87142857142857144"/>
    <n v="6.0889929742388757E-2"/>
    <n v="0.14657799944582986"/>
    <n v="76.807980049875312"/>
    <n v="433"/>
    <n v="0.98614318706697457"/>
    <n v="13.192019950124688"/>
    <n v="0.92609699769053122"/>
  </r>
  <r>
    <d v="2026-12-09T00:00:00"/>
    <x v="5"/>
    <x v="2"/>
    <x v="0"/>
    <x v="1"/>
    <n v="390"/>
    <n v="375"/>
    <n v="10"/>
    <n v="365"/>
    <n v="24"/>
    <n v="0.05"/>
    <n v="120"/>
    <n v="30800"/>
    <n v="43800"/>
    <n v="13000"/>
    <n v="0.96153846153846156"/>
    <n v="2.6666666666666668E-2"/>
    <n v="0.29680365296803651"/>
    <n v="84.38356164383562"/>
    <n v="456"/>
    <n v="0.82236842105263153"/>
    <n v="35.61643835616438"/>
    <n v="0.80043859649122806"/>
  </r>
  <r>
    <d v="2026-12-09T00:00:00"/>
    <x v="5"/>
    <x v="2"/>
    <x v="1"/>
    <x v="2"/>
    <n v="500"/>
    <n v="481"/>
    <n v="16"/>
    <n v="465"/>
    <n v="13"/>
    <n v="2.7083333333333334E-2"/>
    <n v="90"/>
    <n v="30800"/>
    <n v="41850"/>
    <n v="11050"/>
    <n v="0.96199999999999997"/>
    <n v="3.3264033264033266E-2"/>
    <n v="0.26403823178016728"/>
    <n v="66.236559139784944"/>
    <n v="467"/>
    <n v="1.0299785867237687"/>
    <n v="23.763440860215052"/>
    <n v="0.99571734475374729"/>
  </r>
  <r>
    <d v="2026-12-09T00:00:00"/>
    <x v="5"/>
    <x v="2"/>
    <x v="2"/>
    <x v="0"/>
    <n v="440"/>
    <n v="402"/>
    <n v="19"/>
    <n v="383"/>
    <n v="36"/>
    <n v="7.4999999999999997E-2"/>
    <n v="100"/>
    <n v="30800"/>
    <n v="38300"/>
    <n v="7500"/>
    <n v="0.91363636363636369"/>
    <n v="4.7263681592039801E-2"/>
    <n v="0.195822454308094"/>
    <n v="80.417754569190606"/>
    <n v="444"/>
    <n v="0.90540540540540537"/>
    <n v="19.582245430809401"/>
    <n v="0.86261261261261257"/>
  </r>
  <r>
    <d v="2026-12-10T00:00:00"/>
    <x v="5"/>
    <x v="0"/>
    <x v="0"/>
    <x v="0"/>
    <n v="450"/>
    <n v="435"/>
    <n v="16"/>
    <n v="419"/>
    <n v="46"/>
    <n v="9.583333333333334E-2"/>
    <n v="100"/>
    <n v="30800"/>
    <n v="41900"/>
    <n v="11100"/>
    <n v="0.96666666666666667"/>
    <n v="3.6781609195402298E-2"/>
    <n v="0.2649164677804296"/>
    <n v="73.508353221957037"/>
    <n v="434"/>
    <n v="1.0023041474654377"/>
    <n v="26.491646778042959"/>
    <n v="0.96543778801843316"/>
  </r>
  <r>
    <d v="2026-12-10T00:00:00"/>
    <x v="5"/>
    <x v="0"/>
    <x v="1"/>
    <x v="1"/>
    <n v="410"/>
    <n v="377"/>
    <n v="15"/>
    <n v="362"/>
    <n v="35"/>
    <n v="7.2916666666666671E-2"/>
    <n v="120"/>
    <n v="30800"/>
    <n v="43440"/>
    <n v="12640"/>
    <n v="0.91951219512195126"/>
    <n v="3.9787798408488062E-2"/>
    <n v="0.29097605893186002"/>
    <n v="85.082872928176798"/>
    <n v="445"/>
    <n v="0.84719101123595508"/>
    <n v="34.917127071823202"/>
    <n v="0.81348314606741579"/>
  </r>
  <r>
    <d v="2026-12-10T00:00:00"/>
    <x v="5"/>
    <x v="0"/>
    <x v="2"/>
    <x v="2"/>
    <n v="490"/>
    <n v="437"/>
    <n v="23"/>
    <n v="414"/>
    <n v="37"/>
    <n v="7.7083333333333337E-2"/>
    <n v="90"/>
    <n v="30800"/>
    <n v="37260"/>
    <n v="6460"/>
    <n v="0.89183673469387759"/>
    <n v="5.2631578947368418E-2"/>
    <n v="0.17337627482555018"/>
    <n v="74.39613526570048"/>
    <n v="443"/>
    <n v="0.98645598194130923"/>
    <n v="15.603864734299517"/>
    <n v="0.93453724604966137"/>
  </r>
  <r>
    <d v="2026-12-10T00:00:00"/>
    <x v="5"/>
    <x v="1"/>
    <x v="0"/>
    <x v="1"/>
    <n v="410"/>
    <n v="362"/>
    <n v="19"/>
    <n v="343"/>
    <n v="59"/>
    <n v="0.12291666666666666"/>
    <n v="120"/>
    <n v="30800"/>
    <n v="41160"/>
    <n v="10360"/>
    <n v="0.88292682926829269"/>
    <n v="5.2486187845303865E-2"/>
    <n v="0.25170068027210885"/>
    <n v="89.795918367346943"/>
    <n v="421"/>
    <n v="0.85985748218527314"/>
    <n v="30.204081632653061"/>
    <n v="0.81472684085510694"/>
  </r>
  <r>
    <d v="2026-12-10T00:00:00"/>
    <x v="5"/>
    <x v="1"/>
    <x v="1"/>
    <x v="2"/>
    <n v="490"/>
    <n v="442"/>
    <n v="24"/>
    <n v="418"/>
    <n v="41"/>
    <n v="8.5416666666666669E-2"/>
    <n v="90"/>
    <n v="30800"/>
    <n v="37620"/>
    <n v="6820"/>
    <n v="0.90204081632653066"/>
    <n v="5.4298642533936653E-2"/>
    <n v="0.18128654970760233"/>
    <n v="73.684210526315795"/>
    <n v="439"/>
    <n v="1.0068337129840548"/>
    <n v="16.315789473684209"/>
    <n v="0.95216400911161736"/>
  </r>
  <r>
    <d v="2026-12-10T00:00:00"/>
    <x v="5"/>
    <x v="1"/>
    <x v="2"/>
    <x v="0"/>
    <n v="460"/>
    <n v="401"/>
    <n v="32"/>
    <n v="369"/>
    <n v="70"/>
    <n v="0.14583333333333334"/>
    <n v="100"/>
    <n v="30800"/>
    <n v="36900"/>
    <n v="6100"/>
    <n v="0.87173913043478257"/>
    <n v="7.9800498753117205E-2"/>
    <n v="0.16531165311653118"/>
    <n v="83.468834688346888"/>
    <n v="410"/>
    <n v="0.97804878048780486"/>
    <n v="16.531165311653115"/>
    <n v="0.9"/>
  </r>
  <r>
    <d v="2026-12-10T00:00:00"/>
    <x v="5"/>
    <x v="2"/>
    <x v="0"/>
    <x v="2"/>
    <n v="500"/>
    <n v="476"/>
    <n v="13"/>
    <n v="463"/>
    <n v="29"/>
    <n v="6.0416666666666667E-2"/>
    <n v="90"/>
    <n v="30800"/>
    <n v="41670"/>
    <n v="10870"/>
    <n v="0.95199999999999996"/>
    <n v="2.7310924369747899E-2"/>
    <n v="0.26085913126949845"/>
    <n v="66.522678185745136"/>
    <n v="451"/>
    <n v="1.0554323725055432"/>
    <n v="23.477321814254861"/>
    <n v="1.0266075388026608"/>
  </r>
  <r>
    <d v="2026-12-10T00:00:00"/>
    <x v="5"/>
    <x v="2"/>
    <x v="1"/>
    <x v="0"/>
    <n v="440"/>
    <n v="428"/>
    <n v="18"/>
    <n v="410"/>
    <n v="45"/>
    <n v="9.375E-2"/>
    <n v="100"/>
    <n v="30800"/>
    <n v="41000"/>
    <n v="10200"/>
    <n v="0.97272727272727277"/>
    <n v="4.2056074766355138E-2"/>
    <n v="0.24878048780487805"/>
    <n v="75.121951219512198"/>
    <n v="435"/>
    <n v="0.98390804597701154"/>
    <n v="24.878048780487806"/>
    <n v="0.94252873563218387"/>
  </r>
  <r>
    <d v="2026-12-10T00:00:00"/>
    <x v="5"/>
    <x v="2"/>
    <x v="2"/>
    <x v="1"/>
    <n v="410"/>
    <n v="377"/>
    <n v="11"/>
    <n v="366"/>
    <n v="29"/>
    <n v="6.0416666666666667E-2"/>
    <n v="120"/>
    <n v="30800"/>
    <n v="43920"/>
    <n v="13120"/>
    <n v="0.91951219512195126"/>
    <n v="2.9177718832891247E-2"/>
    <n v="0.2987249544626594"/>
    <n v="84.15300546448087"/>
    <n v="451"/>
    <n v="0.83592017738359203"/>
    <n v="35.846994535519123"/>
    <n v="0.81152993348115299"/>
  </r>
  <r>
    <d v="2026-12-11T00:00:00"/>
    <x v="5"/>
    <x v="0"/>
    <x v="0"/>
    <x v="1"/>
    <n v="400"/>
    <n v="377"/>
    <n v="11"/>
    <n v="366"/>
    <n v="33"/>
    <n v="6.8750000000000006E-2"/>
    <n v="120"/>
    <n v="30800"/>
    <n v="43920"/>
    <n v="13120"/>
    <n v="0.9425"/>
    <n v="2.9177718832891247E-2"/>
    <n v="0.2987249544626594"/>
    <n v="84.15300546448087"/>
    <n v="447"/>
    <n v="0.84340044742729303"/>
    <n v="35.846994535519123"/>
    <n v="0.81879194630872487"/>
  </r>
  <r>
    <d v="2026-12-11T00:00:00"/>
    <x v="5"/>
    <x v="0"/>
    <x v="1"/>
    <x v="2"/>
    <n v="490"/>
    <n v="478"/>
    <n v="16"/>
    <n v="462"/>
    <n v="33"/>
    <n v="6.8750000000000006E-2"/>
    <n v="90"/>
    <n v="30800"/>
    <n v="41580"/>
    <n v="10780"/>
    <n v="0.97551020408163269"/>
    <n v="3.3472803347280332E-2"/>
    <n v="0.25925925925925924"/>
    <n v="66.666666666666671"/>
    <n v="447"/>
    <n v="1.0693512304250559"/>
    <n v="23.333333333333332"/>
    <n v="1.0335570469798658"/>
  </r>
  <r>
    <d v="2026-12-11T00:00:00"/>
    <x v="5"/>
    <x v="0"/>
    <x v="2"/>
    <x v="0"/>
    <n v="460"/>
    <n v="435"/>
    <n v="27"/>
    <n v="408"/>
    <n v="40"/>
    <n v="8.3333333333333329E-2"/>
    <n v="100"/>
    <n v="30800"/>
    <n v="40800"/>
    <n v="10000"/>
    <n v="0.94565217391304346"/>
    <n v="6.2068965517241378E-2"/>
    <n v="0.24509803921568626"/>
    <n v="75.490196078431367"/>
    <n v="440"/>
    <n v="0.98863636363636365"/>
    <n v="24.509803921568629"/>
    <n v="0.92727272727272725"/>
  </r>
  <r>
    <d v="2026-12-11T00:00:00"/>
    <x v="5"/>
    <x v="1"/>
    <x v="0"/>
    <x v="2"/>
    <n v="500"/>
    <n v="450"/>
    <n v="21"/>
    <n v="429"/>
    <n v="51"/>
    <n v="0.10625"/>
    <n v="90"/>
    <n v="30800"/>
    <n v="38610"/>
    <n v="7810"/>
    <n v="0.9"/>
    <n v="4.6666666666666669E-2"/>
    <n v="0.20227920227920229"/>
    <n v="71.794871794871796"/>
    <n v="429"/>
    <n v="1.048951048951049"/>
    <n v="18.205128205128204"/>
    <n v="1"/>
  </r>
  <r>
    <d v="2026-12-11T00:00:00"/>
    <x v="5"/>
    <x v="1"/>
    <x v="1"/>
    <x v="0"/>
    <n v="430"/>
    <n v="392"/>
    <n v="28"/>
    <n v="364"/>
    <n v="49"/>
    <n v="0.10208333333333333"/>
    <n v="100"/>
    <n v="30800"/>
    <n v="36400"/>
    <n v="5600"/>
    <n v="0.91162790697674423"/>
    <n v="7.1428571428571425E-2"/>
    <n v="0.15384615384615385"/>
    <n v="84.615384615384613"/>
    <n v="431"/>
    <n v="0.90951276102088163"/>
    <n v="15.384615384615385"/>
    <n v="0.84454756380510443"/>
  </r>
  <r>
    <d v="2026-12-11T00:00:00"/>
    <x v="5"/>
    <x v="1"/>
    <x v="2"/>
    <x v="1"/>
    <n v="390"/>
    <n v="340"/>
    <n v="19"/>
    <n v="321"/>
    <n v="71"/>
    <n v="0.14791666666666667"/>
    <n v="120"/>
    <n v="30800"/>
    <n v="38520"/>
    <n v="7720"/>
    <n v="0.87179487179487181"/>
    <n v="5.5882352941176473E-2"/>
    <n v="0.20041536863966772"/>
    <n v="95.950155763239877"/>
    <n v="409"/>
    <n v="0.83129584352078245"/>
    <n v="24.049844236760123"/>
    <n v="0.78484107579462103"/>
  </r>
  <r>
    <d v="2026-12-11T00:00:00"/>
    <x v="5"/>
    <x v="2"/>
    <x v="0"/>
    <x v="0"/>
    <n v="460"/>
    <n v="455"/>
    <n v="18"/>
    <n v="437"/>
    <n v="22"/>
    <n v="4.583333333333333E-2"/>
    <n v="100"/>
    <n v="30800"/>
    <n v="43700"/>
    <n v="12900"/>
    <n v="0.98913043478260865"/>
    <n v="3.9560439560439559E-2"/>
    <n v="0.29519450800915331"/>
    <n v="70.480549199084663"/>
    <n v="458"/>
    <n v="0.99344978165938869"/>
    <n v="29.519450800915333"/>
    <n v="0.95414847161572047"/>
  </r>
  <r>
    <d v="2026-12-11T00:00:00"/>
    <x v="5"/>
    <x v="2"/>
    <x v="1"/>
    <x v="1"/>
    <n v="400"/>
    <n v="397"/>
    <n v="10"/>
    <n v="387"/>
    <n v="25"/>
    <n v="5.2083333333333336E-2"/>
    <n v="120"/>
    <n v="30800"/>
    <n v="46440"/>
    <n v="15640"/>
    <n v="0.99250000000000005"/>
    <n v="2.5188916876574308E-2"/>
    <n v="0.33677863910422051"/>
    <n v="79.586563307493535"/>
    <n v="455"/>
    <n v="0.87252747252747254"/>
    <n v="40.413436692506458"/>
    <n v="0.85054945054945053"/>
  </r>
  <r>
    <d v="2026-12-11T00:00:00"/>
    <x v="5"/>
    <x v="2"/>
    <x v="2"/>
    <x v="2"/>
    <n v="480"/>
    <n v="459"/>
    <n v="16"/>
    <n v="443"/>
    <n v="24"/>
    <n v="0.05"/>
    <n v="90"/>
    <n v="30800"/>
    <n v="39870"/>
    <n v="9070"/>
    <n v="0.95625000000000004"/>
    <n v="3.4858387799564274E-2"/>
    <n v="0.2274893403561575"/>
    <n v="69.525959367945831"/>
    <n v="456"/>
    <n v="1.006578947368421"/>
    <n v="20.474040632054177"/>
    <n v="0.97149122807017541"/>
  </r>
  <r>
    <d v="2026-12-12T00:00:00"/>
    <x v="5"/>
    <x v="0"/>
    <x v="0"/>
    <x v="2"/>
    <n v="520"/>
    <n v="502"/>
    <n v="19"/>
    <n v="483"/>
    <n v="37"/>
    <n v="7.7083333333333337E-2"/>
    <n v="90"/>
    <n v="30800"/>
    <n v="43470"/>
    <n v="12670"/>
    <n v="0.9653846153846154"/>
    <n v="3.7848605577689244E-2"/>
    <n v="0.29146537842190018"/>
    <n v="63.768115942028984"/>
    <n v="443"/>
    <n v="1.1331828442437923"/>
    <n v="26.231884057971016"/>
    <n v="1.090293453724605"/>
  </r>
  <r>
    <d v="2026-12-12T00:00:00"/>
    <x v="5"/>
    <x v="0"/>
    <x v="1"/>
    <x v="0"/>
    <n v="450"/>
    <n v="414"/>
    <n v="23"/>
    <n v="391"/>
    <n v="54"/>
    <n v="0.1125"/>
    <n v="100"/>
    <n v="30800"/>
    <n v="39100"/>
    <n v="8300"/>
    <n v="0.92"/>
    <n v="5.5555555555555552E-2"/>
    <n v="0.21227621483375958"/>
    <n v="78.772378516624045"/>
    <n v="426"/>
    <n v="0.971830985915493"/>
    <n v="21.227621483375959"/>
    <n v="0.9178403755868545"/>
  </r>
  <r>
    <d v="2026-12-12T00:00:00"/>
    <x v="5"/>
    <x v="0"/>
    <x v="2"/>
    <x v="1"/>
    <n v="400"/>
    <n v="365"/>
    <n v="17"/>
    <n v="348"/>
    <n v="53"/>
    <n v="0.11041666666666666"/>
    <n v="120"/>
    <n v="30800"/>
    <n v="41760"/>
    <n v="10960"/>
    <n v="0.91249999999999998"/>
    <n v="4.6575342465753428E-2"/>
    <n v="0.26245210727969348"/>
    <n v="88.505747126436788"/>
    <n v="427"/>
    <n v="0.85480093676814983"/>
    <n v="31.494252873563219"/>
    <n v="0.81498829039812648"/>
  </r>
  <r>
    <d v="2026-12-12T00:00:00"/>
    <x v="5"/>
    <x v="1"/>
    <x v="0"/>
    <x v="0"/>
    <n v="460"/>
    <n v="427"/>
    <n v="29"/>
    <n v="398"/>
    <n v="63"/>
    <n v="0.13125000000000001"/>
    <n v="100"/>
    <n v="30800"/>
    <n v="39800"/>
    <n v="9000"/>
    <n v="0.92826086956521736"/>
    <n v="6.7915690866510545E-2"/>
    <n v="0.22613065326633167"/>
    <n v="77.386934673366838"/>
    <n v="417"/>
    <n v="1.0239808153477219"/>
    <n v="22.613065326633166"/>
    <n v="0.95443645083932849"/>
  </r>
  <r>
    <d v="2026-12-12T00:00:00"/>
    <x v="5"/>
    <x v="1"/>
    <x v="1"/>
    <x v="1"/>
    <n v="400"/>
    <n v="356"/>
    <n v="19"/>
    <n v="337"/>
    <n v="60"/>
    <n v="0.125"/>
    <n v="120"/>
    <n v="30800"/>
    <n v="40440"/>
    <n v="9640"/>
    <n v="0.89"/>
    <n v="5.3370786516853931E-2"/>
    <n v="0.23837784371909002"/>
    <n v="91.394658753709194"/>
    <n v="420"/>
    <n v="0.84761904761904761"/>
    <n v="28.605341246290802"/>
    <n v="0.80238095238095242"/>
  </r>
  <r>
    <d v="2026-12-12T00:00:00"/>
    <x v="5"/>
    <x v="1"/>
    <x v="2"/>
    <x v="2"/>
    <n v="500"/>
    <n v="420"/>
    <n v="23"/>
    <n v="397"/>
    <n v="64"/>
    <n v="0.13333333333333333"/>
    <n v="90"/>
    <n v="30800"/>
    <n v="35730"/>
    <n v="4930"/>
    <n v="0.84"/>
    <n v="5.4761904761904762E-2"/>
    <n v="0.13797928911279037"/>
    <n v="77.581863979848862"/>
    <n v="416"/>
    <n v="1.0096153846153846"/>
    <n v="12.418136020151133"/>
    <n v="0.95432692307692313"/>
  </r>
  <r>
    <d v="2026-12-12T00:00:00"/>
    <x v="5"/>
    <x v="2"/>
    <x v="0"/>
    <x v="1"/>
    <n v="400"/>
    <n v="398"/>
    <n v="6"/>
    <n v="392"/>
    <n v="22"/>
    <n v="4.583333333333333E-2"/>
    <n v="120"/>
    <n v="30800"/>
    <n v="47040"/>
    <n v="16240"/>
    <n v="0.995"/>
    <n v="1.507537688442211E-2"/>
    <n v="0.34523809523809523"/>
    <n v="78.571428571428569"/>
    <n v="458"/>
    <n v="0.86899563318777295"/>
    <n v="41.428571428571431"/>
    <n v="0.85589519650655022"/>
  </r>
  <r>
    <d v="2026-12-12T00:00:00"/>
    <x v="5"/>
    <x v="2"/>
    <x v="1"/>
    <x v="2"/>
    <n v="510"/>
    <n v="488"/>
    <n v="12"/>
    <n v="476"/>
    <n v="17"/>
    <n v="3.5416666666666666E-2"/>
    <n v="90"/>
    <n v="30800"/>
    <n v="42840"/>
    <n v="12040"/>
    <n v="0.95686274509803926"/>
    <n v="2.4590163934426229E-2"/>
    <n v="0.28104575163398693"/>
    <n v="64.705882352941174"/>
    <n v="463"/>
    <n v="1.0539956803455723"/>
    <n v="25.294117647058822"/>
    <n v="1.0280777537796977"/>
  </r>
  <r>
    <d v="2026-12-12T00:00:00"/>
    <x v="5"/>
    <x v="2"/>
    <x v="2"/>
    <x v="0"/>
    <n v="450"/>
    <n v="435"/>
    <n v="24"/>
    <n v="411"/>
    <n v="52"/>
    <n v="0.10833333333333334"/>
    <n v="100"/>
    <n v="30800"/>
    <n v="41100"/>
    <n v="10300"/>
    <n v="0.96666666666666667"/>
    <n v="5.5172413793103448E-2"/>
    <n v="0.25060827250608275"/>
    <n v="74.93917274939173"/>
    <n v="428"/>
    <n v="1.016355140186916"/>
    <n v="25.060827250608273"/>
    <n v="0.96028037383177567"/>
  </r>
  <r>
    <d v="2026-12-13T00:00:00"/>
    <x v="5"/>
    <x v="0"/>
    <x v="0"/>
    <x v="0"/>
    <n v="460"/>
    <n v="446"/>
    <n v="22"/>
    <n v="424"/>
    <n v="33"/>
    <n v="6.8750000000000006E-2"/>
    <n v="100"/>
    <n v="30800"/>
    <n v="42400"/>
    <n v="11600"/>
    <n v="0.9695652173913043"/>
    <n v="4.9327354260089683E-2"/>
    <n v="0.27358490566037735"/>
    <n v="72.64150943396227"/>
    <n v="447"/>
    <n v="0.99776286353467558"/>
    <n v="27.358490566037737"/>
    <n v="0.94854586129753915"/>
  </r>
  <r>
    <d v="2026-12-13T00:00:00"/>
    <x v="5"/>
    <x v="0"/>
    <x v="1"/>
    <x v="1"/>
    <n v="400"/>
    <n v="385"/>
    <n v="11"/>
    <n v="374"/>
    <n v="46"/>
    <n v="9.583333333333334E-2"/>
    <n v="120"/>
    <n v="30800"/>
    <n v="44880"/>
    <n v="14080"/>
    <n v="0.96250000000000002"/>
    <n v="2.8571428571428571E-2"/>
    <n v="0.31372549019607843"/>
    <n v="82.352941176470594"/>
    <n v="434"/>
    <n v="0.88709677419354838"/>
    <n v="37.647058823529413"/>
    <n v="0.86175115207373276"/>
  </r>
  <r>
    <d v="2026-12-13T00:00:00"/>
    <x v="5"/>
    <x v="0"/>
    <x v="2"/>
    <x v="2"/>
    <n v="510"/>
    <n v="478"/>
    <n v="19"/>
    <n v="459"/>
    <n v="39"/>
    <n v="8.1250000000000003E-2"/>
    <n v="90"/>
    <n v="30800"/>
    <n v="41310"/>
    <n v="10510"/>
    <n v="0.93725490196078431"/>
    <n v="3.9748953974895397E-2"/>
    <n v="0.25441781650931977"/>
    <n v="67.102396514161214"/>
    <n v="441"/>
    <n v="1.0839002267573696"/>
    <n v="22.897603485838779"/>
    <n v="1.0408163265306123"/>
  </r>
  <r>
    <d v="2026-12-13T00:00:00"/>
    <x v="5"/>
    <x v="1"/>
    <x v="0"/>
    <x v="1"/>
    <n v="390"/>
    <n v="363"/>
    <n v="19"/>
    <n v="344"/>
    <n v="54"/>
    <n v="0.1125"/>
    <n v="120"/>
    <n v="30800"/>
    <n v="41280"/>
    <n v="10480"/>
    <n v="0.93076923076923079"/>
    <n v="5.2341597796143252E-2"/>
    <n v="0.25387596899224807"/>
    <n v="89.534883720930239"/>
    <n v="426"/>
    <n v="0.852112676056338"/>
    <n v="30.465116279069768"/>
    <n v="0.80751173708920188"/>
  </r>
  <r>
    <d v="2026-12-13T00:00:00"/>
    <x v="5"/>
    <x v="1"/>
    <x v="1"/>
    <x v="2"/>
    <n v="480"/>
    <n v="418"/>
    <n v="23"/>
    <n v="395"/>
    <n v="57"/>
    <n v="0.11874999999999999"/>
    <n v="90"/>
    <n v="30800"/>
    <n v="35550"/>
    <n v="4750"/>
    <n v="0.87083333333333335"/>
    <n v="5.5023923444976079E-2"/>
    <n v="0.13361462728551335"/>
    <n v="77.974683544303801"/>
    <n v="423"/>
    <n v="0.98817966903073284"/>
    <n v="12.025316455696203"/>
    <n v="0.93380614657210403"/>
  </r>
  <r>
    <d v="2026-12-13T00:00:00"/>
    <x v="5"/>
    <x v="1"/>
    <x v="2"/>
    <x v="0"/>
    <n v="440"/>
    <n v="371"/>
    <n v="28"/>
    <n v="343"/>
    <n v="62"/>
    <n v="0.12916666666666668"/>
    <n v="100"/>
    <n v="30800"/>
    <n v="34300"/>
    <n v="3500"/>
    <n v="0.84318181818181814"/>
    <n v="7.5471698113207544E-2"/>
    <n v="0.10204081632653061"/>
    <n v="89.795918367346943"/>
    <n v="418"/>
    <n v="0.88755980861244022"/>
    <n v="10.204081632653061"/>
    <n v="0.82057416267942584"/>
  </r>
  <r>
    <d v="2026-12-13T00:00:00"/>
    <x v="5"/>
    <x v="2"/>
    <x v="0"/>
    <x v="2"/>
    <n v="480"/>
    <n v="473"/>
    <n v="13"/>
    <n v="460"/>
    <n v="9"/>
    <n v="1.8749999999999999E-2"/>
    <n v="90"/>
    <n v="30800"/>
    <n v="41400"/>
    <n v="10600"/>
    <n v="0.98541666666666672"/>
    <n v="2.748414376321353E-2"/>
    <n v="0.2560386473429952"/>
    <n v="66.956521739130437"/>
    <n v="471"/>
    <n v="1.0042462845010616"/>
    <n v="23.043478260869566"/>
    <n v="0.97664543524416136"/>
  </r>
  <r>
    <d v="2026-12-13T00:00:00"/>
    <x v="5"/>
    <x v="2"/>
    <x v="1"/>
    <x v="0"/>
    <n v="470"/>
    <n v="446"/>
    <n v="20"/>
    <n v="426"/>
    <n v="22"/>
    <n v="4.583333333333333E-2"/>
    <n v="100"/>
    <n v="30800"/>
    <n v="42600"/>
    <n v="11800"/>
    <n v="0.94893617021276599"/>
    <n v="4.4843049327354258E-2"/>
    <n v="0.27699530516431925"/>
    <n v="72.300469483568079"/>
    <n v="458"/>
    <n v="0.97379912663755464"/>
    <n v="27.699530516431924"/>
    <n v="0.93013100436681218"/>
  </r>
  <r>
    <d v="2026-12-13T00:00:00"/>
    <x v="5"/>
    <x v="2"/>
    <x v="2"/>
    <x v="1"/>
    <n v="400"/>
    <n v="386"/>
    <n v="13"/>
    <n v="373"/>
    <n v="44"/>
    <n v="9.166666666666666E-2"/>
    <n v="120"/>
    <n v="30800"/>
    <n v="44760"/>
    <n v="13960"/>
    <n v="0.96499999999999997"/>
    <n v="3.367875647668394E-2"/>
    <n v="0.31188561215370869"/>
    <n v="82.573726541554961"/>
    <n v="436"/>
    <n v="0.88532110091743121"/>
    <n v="37.426273458445039"/>
    <n v="0.85550458715596334"/>
  </r>
  <r>
    <d v="2026-12-14T00:00:00"/>
    <x v="5"/>
    <x v="0"/>
    <x v="0"/>
    <x v="1"/>
    <n v="390"/>
    <n v="379"/>
    <n v="9"/>
    <n v="370"/>
    <n v="26"/>
    <n v="5.4166666666666669E-2"/>
    <n v="120"/>
    <n v="30800"/>
    <n v="44400"/>
    <n v="13600"/>
    <n v="0.97179487179487178"/>
    <n v="2.3746701846965697E-2"/>
    <n v="0.30630630630630629"/>
    <n v="83.243243243243242"/>
    <n v="454"/>
    <n v="0.83480176211453749"/>
    <n v="36.756756756756758"/>
    <n v="0.81497797356828194"/>
  </r>
  <r>
    <d v="2026-12-14T00:00:00"/>
    <x v="5"/>
    <x v="0"/>
    <x v="1"/>
    <x v="2"/>
    <n v="510"/>
    <n v="481"/>
    <n v="17"/>
    <n v="464"/>
    <n v="26"/>
    <n v="5.4166666666666669E-2"/>
    <n v="90"/>
    <n v="30800"/>
    <n v="41760"/>
    <n v="10960"/>
    <n v="0.94313725490196076"/>
    <n v="3.5343035343035345E-2"/>
    <n v="0.26245210727969348"/>
    <n v="66.379310344827587"/>
    <n v="454"/>
    <n v="1.0594713656387664"/>
    <n v="23.620689655172413"/>
    <n v="1.0220264317180616"/>
  </r>
  <r>
    <d v="2026-12-14T00:00:00"/>
    <x v="5"/>
    <x v="0"/>
    <x v="2"/>
    <x v="0"/>
    <n v="440"/>
    <n v="413"/>
    <n v="25"/>
    <n v="388"/>
    <n v="42"/>
    <n v="8.7499999999999994E-2"/>
    <n v="100"/>
    <n v="30800"/>
    <n v="38800"/>
    <n v="8000"/>
    <n v="0.9386363636363636"/>
    <n v="6.0532687651331719E-2"/>
    <n v="0.20618556701030927"/>
    <n v="79.381443298969074"/>
    <n v="438"/>
    <n v="0.94292237442922378"/>
    <n v="20.618556701030929"/>
    <n v="0.88584474885844744"/>
  </r>
  <r>
    <d v="2026-12-14T00:00:00"/>
    <x v="5"/>
    <x v="1"/>
    <x v="0"/>
    <x v="2"/>
    <n v="490"/>
    <n v="454"/>
    <n v="19"/>
    <n v="435"/>
    <n v="39"/>
    <n v="8.1250000000000003E-2"/>
    <n v="90"/>
    <n v="30800"/>
    <n v="39150"/>
    <n v="8350"/>
    <n v="0.92653061224489797"/>
    <n v="4.185022026431718E-2"/>
    <n v="0.21328224776500637"/>
    <n v="70.804597701149419"/>
    <n v="441"/>
    <n v="1.0294784580498866"/>
    <n v="19.195402298850574"/>
    <n v="0.98639455782312924"/>
  </r>
  <r>
    <d v="2026-12-14T00:00:00"/>
    <x v="5"/>
    <x v="1"/>
    <x v="1"/>
    <x v="0"/>
    <n v="450"/>
    <n v="416"/>
    <n v="27"/>
    <n v="389"/>
    <n v="69"/>
    <n v="0.14374999999999999"/>
    <n v="100"/>
    <n v="30800"/>
    <n v="38900"/>
    <n v="8100"/>
    <n v="0.9244444444444444"/>
    <n v="6.4903846153846159E-2"/>
    <n v="0.20822622107969152"/>
    <n v="79.177377892030847"/>
    <n v="411"/>
    <n v="1.0121654501216546"/>
    <n v="20.822622107969153"/>
    <n v="0.94647201946472015"/>
  </r>
  <r>
    <d v="2026-12-14T00:00:00"/>
    <x v="5"/>
    <x v="1"/>
    <x v="2"/>
    <x v="1"/>
    <n v="400"/>
    <n v="336"/>
    <n v="18"/>
    <n v="318"/>
    <n v="59"/>
    <n v="0.12291666666666666"/>
    <n v="120"/>
    <n v="30800"/>
    <n v="38160"/>
    <n v="7360"/>
    <n v="0.84"/>
    <n v="5.3571428571428568E-2"/>
    <n v="0.19287211740041929"/>
    <n v="96.855345911949684"/>
    <n v="421"/>
    <n v="0.79809976247030878"/>
    <n v="23.144654088050313"/>
    <n v="0.75534441805225649"/>
  </r>
  <r>
    <d v="2026-12-14T00:00:00"/>
    <x v="5"/>
    <x v="2"/>
    <x v="0"/>
    <x v="0"/>
    <n v="460"/>
    <n v="456"/>
    <n v="19"/>
    <n v="437"/>
    <n v="38"/>
    <n v="7.9166666666666663E-2"/>
    <n v="100"/>
    <n v="30800"/>
    <n v="43700"/>
    <n v="12900"/>
    <n v="0.99130434782608701"/>
    <n v="4.1666666666666664E-2"/>
    <n v="0.29519450800915331"/>
    <n v="70.480549199084663"/>
    <n v="442"/>
    <n v="1.0316742081447965"/>
    <n v="29.519450800915333"/>
    <n v="0.9886877828054299"/>
  </r>
  <r>
    <d v="2026-12-14T00:00:00"/>
    <x v="5"/>
    <x v="2"/>
    <x v="1"/>
    <x v="1"/>
    <n v="390"/>
    <n v="369"/>
    <n v="7"/>
    <n v="362"/>
    <n v="27"/>
    <n v="5.6250000000000001E-2"/>
    <n v="120"/>
    <n v="30800"/>
    <n v="43440"/>
    <n v="12640"/>
    <n v="0.94615384615384612"/>
    <n v="1.8970189701897018E-2"/>
    <n v="0.29097605893186002"/>
    <n v="85.082872928176798"/>
    <n v="453"/>
    <n v="0.81456953642384111"/>
    <n v="34.917127071823202"/>
    <n v="0.79911699779249445"/>
  </r>
  <r>
    <d v="2026-12-14T00:00:00"/>
    <x v="5"/>
    <x v="2"/>
    <x v="2"/>
    <x v="2"/>
    <n v="500"/>
    <n v="465"/>
    <n v="19"/>
    <n v="446"/>
    <n v="39"/>
    <n v="8.1250000000000003E-2"/>
    <n v="90"/>
    <n v="30800"/>
    <n v="40140"/>
    <n v="9340"/>
    <n v="0.93"/>
    <n v="4.0860215053763443E-2"/>
    <n v="0.23268560039860489"/>
    <n v="69.058295964125563"/>
    <n v="441"/>
    <n v="1.0544217687074831"/>
    <n v="20.941704035874441"/>
    <n v="1.0113378684807257"/>
  </r>
  <r>
    <d v="2026-12-15T00:00:00"/>
    <x v="5"/>
    <x v="0"/>
    <x v="0"/>
    <x v="2"/>
    <n v="510"/>
    <n v="499"/>
    <n v="12"/>
    <n v="487"/>
    <n v="29"/>
    <n v="6.0416666666666667E-2"/>
    <n v="90"/>
    <n v="30800"/>
    <n v="43830"/>
    <n v="13030"/>
    <n v="0.97843137254901957"/>
    <n v="2.4048096192384769E-2"/>
    <n v="0.297284964636094"/>
    <n v="63.244353182751539"/>
    <n v="451"/>
    <n v="1.106430155210643"/>
    <n v="26.755646817248461"/>
    <n v="1.0798226164079823"/>
  </r>
  <r>
    <d v="2026-12-15T00:00:00"/>
    <x v="5"/>
    <x v="0"/>
    <x v="1"/>
    <x v="0"/>
    <n v="450"/>
    <n v="440"/>
    <n v="23"/>
    <n v="417"/>
    <n v="34"/>
    <n v="7.0833333333333331E-2"/>
    <n v="100"/>
    <n v="30800"/>
    <n v="41700"/>
    <n v="10900"/>
    <n v="0.97777777777777775"/>
    <n v="5.2272727272727269E-2"/>
    <n v="0.26139088729016785"/>
    <n v="73.860911270983209"/>
    <n v="446"/>
    <n v="0.98654708520179368"/>
    <n v="26.139088729016787"/>
    <n v="0.93497757847533636"/>
  </r>
  <r>
    <d v="2026-12-15T00:00:00"/>
    <x v="5"/>
    <x v="0"/>
    <x v="2"/>
    <x v="1"/>
    <n v="390"/>
    <n v="351"/>
    <n v="13"/>
    <n v="338"/>
    <n v="46"/>
    <n v="9.583333333333334E-2"/>
    <n v="120"/>
    <n v="30800"/>
    <n v="40560"/>
    <n v="9760"/>
    <n v="0.9"/>
    <n v="3.7037037037037035E-2"/>
    <n v="0.24063116370808679"/>
    <n v="91.124260355029591"/>
    <n v="434"/>
    <n v="0.80875576036866359"/>
    <n v="28.875739644970412"/>
    <n v="0.77880184331797231"/>
  </r>
  <r>
    <d v="2026-12-15T00:00:00"/>
    <x v="5"/>
    <x v="1"/>
    <x v="0"/>
    <x v="0"/>
    <n v="460"/>
    <n v="408"/>
    <n v="24"/>
    <n v="384"/>
    <n v="57"/>
    <n v="0.11874999999999999"/>
    <n v="100"/>
    <n v="30800"/>
    <n v="38400"/>
    <n v="7600"/>
    <n v="0.88695652173913042"/>
    <n v="5.8823529411764705E-2"/>
    <n v="0.19791666666666666"/>
    <n v="80.208333333333329"/>
    <n v="423"/>
    <n v="0.96453900709219853"/>
    <n v="19.791666666666668"/>
    <n v="0.90780141843971629"/>
  </r>
  <r>
    <d v="2026-12-15T00:00:00"/>
    <x v="5"/>
    <x v="1"/>
    <x v="1"/>
    <x v="1"/>
    <n v="390"/>
    <n v="342"/>
    <n v="15"/>
    <n v="327"/>
    <n v="47"/>
    <n v="9.7916666666666666E-2"/>
    <n v="120"/>
    <n v="30800"/>
    <n v="39240"/>
    <n v="8440"/>
    <n v="0.87692307692307692"/>
    <n v="4.3859649122807015E-2"/>
    <n v="0.21508664627930682"/>
    <n v="94.189602446483178"/>
    <n v="433"/>
    <n v="0.789838337182448"/>
    <n v="25.810397553516818"/>
    <n v="0.75519630484988454"/>
  </r>
  <r>
    <d v="2026-12-15T00:00:00"/>
    <x v="5"/>
    <x v="1"/>
    <x v="2"/>
    <x v="2"/>
    <n v="510"/>
    <n v="454"/>
    <n v="30"/>
    <n v="424"/>
    <n v="57"/>
    <n v="0.11874999999999999"/>
    <n v="90"/>
    <n v="30800"/>
    <n v="38160"/>
    <n v="7360"/>
    <n v="0.8901960784313725"/>
    <n v="6.6079295154185022E-2"/>
    <n v="0.19287211740041929"/>
    <n v="72.64150943396227"/>
    <n v="423"/>
    <n v="1.0732860520094563"/>
    <n v="17.358490566037737"/>
    <n v="1.0023640661938533"/>
  </r>
  <r>
    <d v="2026-12-15T00:00:00"/>
    <x v="5"/>
    <x v="2"/>
    <x v="0"/>
    <x v="1"/>
    <n v="410"/>
    <n v="396"/>
    <n v="11"/>
    <n v="385"/>
    <n v="18"/>
    <n v="3.7499999999999999E-2"/>
    <n v="120"/>
    <n v="30800"/>
    <n v="46200"/>
    <n v="15400"/>
    <n v="0.96585365853658534"/>
    <n v="2.7777777777777776E-2"/>
    <n v="0.33333333333333331"/>
    <n v="80"/>
    <n v="462"/>
    <n v="0.8571428571428571"/>
    <n v="40"/>
    <n v="0.83333333333333337"/>
  </r>
  <r>
    <d v="2026-12-15T00:00:00"/>
    <x v="5"/>
    <x v="2"/>
    <x v="1"/>
    <x v="2"/>
    <n v="490"/>
    <n v="487"/>
    <n v="14"/>
    <n v="473"/>
    <n v="27"/>
    <n v="5.6250000000000001E-2"/>
    <n v="90"/>
    <n v="30800"/>
    <n v="42570"/>
    <n v="11770"/>
    <n v="0.9938775510204082"/>
    <n v="2.8747433264887063E-2"/>
    <n v="0.27648578811369506"/>
    <n v="65.116279069767444"/>
    <n v="453"/>
    <n v="1.075055187637969"/>
    <n v="24.88372093023256"/>
    <n v="1.0441501103752759"/>
  </r>
  <r>
    <d v="2026-12-15T00:00:00"/>
    <x v="5"/>
    <x v="2"/>
    <x v="2"/>
    <x v="0"/>
    <n v="450"/>
    <n v="434"/>
    <n v="23"/>
    <n v="411"/>
    <n v="42"/>
    <n v="8.7499999999999994E-2"/>
    <n v="100"/>
    <n v="30800"/>
    <n v="41100"/>
    <n v="10300"/>
    <n v="0.96444444444444444"/>
    <n v="5.2995391705069124E-2"/>
    <n v="0.25060827250608275"/>
    <n v="74.93917274939173"/>
    <n v="438"/>
    <n v="0.9908675799086758"/>
    <n v="25.060827250608273"/>
    <n v="0.93835616438356162"/>
  </r>
  <r>
    <d v="2026-12-16T00:00:00"/>
    <x v="5"/>
    <x v="0"/>
    <x v="0"/>
    <x v="0"/>
    <n v="440"/>
    <n v="411"/>
    <n v="16"/>
    <n v="395"/>
    <n v="38"/>
    <n v="7.9166666666666663E-2"/>
    <n v="100"/>
    <n v="30800"/>
    <n v="39500"/>
    <n v="8700"/>
    <n v="0.93409090909090908"/>
    <n v="3.8929440389294405E-2"/>
    <n v="0.22025316455696203"/>
    <n v="77.974683544303801"/>
    <n v="442"/>
    <n v="0.92986425339366519"/>
    <n v="22.025316455696203"/>
    <n v="0.89366515837104077"/>
  </r>
  <r>
    <d v="2026-12-16T00:00:00"/>
    <x v="5"/>
    <x v="0"/>
    <x v="1"/>
    <x v="1"/>
    <n v="390"/>
    <n v="370"/>
    <n v="10"/>
    <n v="360"/>
    <n v="40"/>
    <n v="8.3333333333333329E-2"/>
    <n v="120"/>
    <n v="30800"/>
    <n v="43200"/>
    <n v="12400"/>
    <n v="0.94871794871794868"/>
    <n v="2.7027027027027029E-2"/>
    <n v="0.28703703703703703"/>
    <n v="85.555555555555557"/>
    <n v="440"/>
    <n v="0.84090909090909094"/>
    <n v="34.444444444444443"/>
    <n v="0.81818181818181823"/>
  </r>
  <r>
    <d v="2026-12-16T00:00:00"/>
    <x v="5"/>
    <x v="0"/>
    <x v="2"/>
    <x v="2"/>
    <n v="500"/>
    <n v="475"/>
    <n v="22"/>
    <n v="453"/>
    <n v="40"/>
    <n v="8.3333333333333329E-2"/>
    <n v="90"/>
    <n v="30800"/>
    <n v="40770"/>
    <n v="9970"/>
    <n v="0.95"/>
    <n v="4.6315789473684213E-2"/>
    <n v="0.24454255580083395"/>
    <n v="67.99116997792494"/>
    <n v="440"/>
    <n v="1.0795454545454546"/>
    <n v="22.008830022075056"/>
    <n v="1.0295454545454545"/>
  </r>
  <r>
    <d v="2026-12-16T00:00:00"/>
    <x v="5"/>
    <x v="1"/>
    <x v="0"/>
    <x v="1"/>
    <n v="390"/>
    <n v="360"/>
    <n v="15"/>
    <n v="345"/>
    <n v="47"/>
    <n v="9.7916666666666666E-2"/>
    <n v="120"/>
    <n v="30800"/>
    <n v="41400"/>
    <n v="10600"/>
    <n v="0.92307692307692313"/>
    <n v="4.1666666666666664E-2"/>
    <n v="0.2560386473429952"/>
    <n v="89.275362318840578"/>
    <n v="433"/>
    <n v="0.8314087759815243"/>
    <n v="30.724637681159422"/>
    <n v="0.79676674364896072"/>
  </r>
  <r>
    <d v="2026-12-16T00:00:00"/>
    <x v="5"/>
    <x v="1"/>
    <x v="1"/>
    <x v="2"/>
    <n v="490"/>
    <n v="435"/>
    <n v="26"/>
    <n v="409"/>
    <n v="61"/>
    <n v="0.12708333333333333"/>
    <n v="90"/>
    <n v="30800"/>
    <n v="36810"/>
    <n v="6010"/>
    <n v="0.88775510204081631"/>
    <n v="5.9770114942528735E-2"/>
    <n v="0.16327085031241512"/>
    <n v="75.30562347188264"/>
    <n v="419"/>
    <n v="1.0381861575178997"/>
    <n v="14.69437652811736"/>
    <n v="0.9761336515513126"/>
  </r>
  <r>
    <d v="2026-12-16T00:00:00"/>
    <x v="5"/>
    <x v="1"/>
    <x v="2"/>
    <x v="0"/>
    <n v="460"/>
    <n v="402"/>
    <n v="31"/>
    <n v="371"/>
    <n v="60"/>
    <n v="0.125"/>
    <n v="100"/>
    <n v="30800"/>
    <n v="37100"/>
    <n v="6300"/>
    <n v="0.87391304347826082"/>
    <n v="7.7114427860696513E-2"/>
    <n v="0.16981132075471697"/>
    <n v="83.018867924528308"/>
    <n v="420"/>
    <n v="0.95714285714285718"/>
    <n v="16.981132075471699"/>
    <n v="0.8833333333333333"/>
  </r>
  <r>
    <d v="2026-12-16T00:00:00"/>
    <x v="5"/>
    <x v="2"/>
    <x v="0"/>
    <x v="2"/>
    <n v="520"/>
    <n v="494"/>
    <n v="15"/>
    <n v="479"/>
    <n v="10"/>
    <n v="2.0833333333333332E-2"/>
    <n v="90"/>
    <n v="30800"/>
    <n v="43110"/>
    <n v="12310"/>
    <n v="0.95"/>
    <n v="3.0364372469635626E-2"/>
    <n v="0.28554859661331478"/>
    <n v="64.300626304801668"/>
    <n v="470"/>
    <n v="1.0510638297872341"/>
    <n v="25.699373695198329"/>
    <n v="1.0191489361702128"/>
  </r>
  <r>
    <d v="2026-12-16T00:00:00"/>
    <x v="5"/>
    <x v="2"/>
    <x v="1"/>
    <x v="0"/>
    <n v="470"/>
    <n v="449"/>
    <n v="19"/>
    <n v="430"/>
    <n v="25"/>
    <n v="5.2083333333333336E-2"/>
    <n v="100"/>
    <n v="30800"/>
    <n v="43000"/>
    <n v="12200"/>
    <n v="0.9553191489361702"/>
    <n v="4.2316258351893093E-2"/>
    <n v="0.28372093023255812"/>
    <n v="71.627906976744185"/>
    <n v="455"/>
    <n v="0.98681318681318686"/>
    <n v="28.372093023255815"/>
    <n v="0.94505494505494503"/>
  </r>
  <r>
    <d v="2026-12-16T00:00:00"/>
    <x v="5"/>
    <x v="2"/>
    <x v="2"/>
    <x v="1"/>
    <n v="380"/>
    <n v="361"/>
    <n v="14"/>
    <n v="347"/>
    <n v="35"/>
    <n v="7.2916666666666671E-2"/>
    <n v="120"/>
    <n v="30800"/>
    <n v="41640"/>
    <n v="10840"/>
    <n v="0.95"/>
    <n v="3.8781163434903045E-2"/>
    <n v="0.26032660902977905"/>
    <n v="88.760806916426517"/>
    <n v="445"/>
    <n v="0.81123595505617974"/>
    <n v="31.239193083573486"/>
    <n v="0.77977528089887638"/>
  </r>
  <r>
    <d v="2026-12-17T00:00:00"/>
    <x v="5"/>
    <x v="0"/>
    <x v="0"/>
    <x v="1"/>
    <n v="400"/>
    <n v="395"/>
    <n v="13"/>
    <n v="382"/>
    <n v="22"/>
    <n v="4.583333333333333E-2"/>
    <n v="120"/>
    <n v="30800"/>
    <n v="45840"/>
    <n v="15040"/>
    <n v="0.98750000000000004"/>
    <n v="3.2911392405063293E-2"/>
    <n v="0.32809773123909247"/>
    <n v="80.6282722513089"/>
    <n v="458"/>
    <n v="0.86244541484716153"/>
    <n v="39.3717277486911"/>
    <n v="0.83406113537117899"/>
  </r>
  <r>
    <d v="2026-12-17T00:00:00"/>
    <x v="5"/>
    <x v="0"/>
    <x v="1"/>
    <x v="2"/>
    <n v="480"/>
    <n v="466"/>
    <n v="18"/>
    <n v="448"/>
    <n v="34"/>
    <n v="7.0833333333333331E-2"/>
    <n v="90"/>
    <n v="30800"/>
    <n v="40320"/>
    <n v="9520"/>
    <n v="0.97083333333333333"/>
    <n v="3.8626609442060089E-2"/>
    <n v="0.2361111111111111"/>
    <n v="68.75"/>
    <n v="446"/>
    <n v="1.0448430493273542"/>
    <n v="21.25"/>
    <n v="1.0044843049327354"/>
  </r>
  <r>
    <d v="2026-12-17T00:00:00"/>
    <x v="5"/>
    <x v="0"/>
    <x v="2"/>
    <x v="0"/>
    <n v="470"/>
    <n v="435"/>
    <n v="21"/>
    <n v="414"/>
    <n v="37"/>
    <n v="7.7083333333333337E-2"/>
    <n v="100"/>
    <n v="30800"/>
    <n v="41400"/>
    <n v="10600"/>
    <n v="0.92553191489361697"/>
    <n v="4.8275862068965517E-2"/>
    <n v="0.2560386473429952"/>
    <n v="74.39613526570048"/>
    <n v="443"/>
    <n v="0.98194130925507905"/>
    <n v="25.603864734299517"/>
    <n v="0.93453724604966137"/>
  </r>
  <r>
    <d v="2026-12-17T00:00:00"/>
    <x v="5"/>
    <x v="1"/>
    <x v="0"/>
    <x v="2"/>
    <n v="500"/>
    <n v="454"/>
    <n v="26"/>
    <n v="428"/>
    <n v="54"/>
    <n v="0.1125"/>
    <n v="90"/>
    <n v="30800"/>
    <n v="38520"/>
    <n v="7720"/>
    <n v="0.90800000000000003"/>
    <n v="5.7268722466960353E-2"/>
    <n v="0.20041536863966772"/>
    <n v="71.962616822429908"/>
    <n v="426"/>
    <n v="1.0657276995305165"/>
    <n v="18.037383177570092"/>
    <n v="1.0046948356807512"/>
  </r>
  <r>
    <d v="2026-12-17T00:00:00"/>
    <x v="5"/>
    <x v="1"/>
    <x v="1"/>
    <x v="0"/>
    <n v="440"/>
    <n v="406"/>
    <n v="29"/>
    <n v="377"/>
    <n v="57"/>
    <n v="0.11874999999999999"/>
    <n v="100"/>
    <n v="30800"/>
    <n v="37700"/>
    <n v="6900"/>
    <n v="0.92272727272727273"/>
    <n v="7.1428571428571425E-2"/>
    <n v="0.1830238726790451"/>
    <n v="81.697612732095493"/>
    <n v="423"/>
    <n v="0.95981087470449178"/>
    <n v="18.302387267904511"/>
    <n v="0.89125295508274227"/>
  </r>
  <r>
    <d v="2026-12-17T00:00:00"/>
    <x v="5"/>
    <x v="1"/>
    <x v="2"/>
    <x v="1"/>
    <n v="410"/>
    <n v="363"/>
    <n v="22"/>
    <n v="341"/>
    <n v="68"/>
    <n v="0.14166666666666666"/>
    <n v="120"/>
    <n v="30800"/>
    <n v="40920"/>
    <n v="10120"/>
    <n v="0.88536585365853659"/>
    <n v="6.0606060606060608E-2"/>
    <n v="0.24731182795698925"/>
    <n v="90.322580645161295"/>
    <n v="412"/>
    <n v="0.8810679611650486"/>
    <n v="29.677419354838708"/>
    <n v="0.82766990291262132"/>
  </r>
  <r>
    <d v="2026-12-17T00:00:00"/>
    <x v="5"/>
    <x v="2"/>
    <x v="0"/>
    <x v="0"/>
    <n v="440"/>
    <n v="425"/>
    <n v="14"/>
    <n v="411"/>
    <n v="39"/>
    <n v="8.1250000000000003E-2"/>
    <n v="100"/>
    <n v="30800"/>
    <n v="41100"/>
    <n v="10300"/>
    <n v="0.96590909090909094"/>
    <n v="3.2941176470588238E-2"/>
    <n v="0.25060827250608275"/>
    <n v="74.93917274939173"/>
    <n v="441"/>
    <n v="0.96371882086167804"/>
    <n v="25.060827250608273"/>
    <n v="0.93197278911564629"/>
  </r>
  <r>
    <d v="2026-12-17T00:00:00"/>
    <x v="5"/>
    <x v="2"/>
    <x v="1"/>
    <x v="1"/>
    <n v="390"/>
    <n v="387"/>
    <n v="8"/>
    <n v="379"/>
    <n v="41"/>
    <n v="8.5416666666666669E-2"/>
    <n v="120"/>
    <n v="30800"/>
    <n v="45480"/>
    <n v="14680"/>
    <n v="0.99230769230769234"/>
    <n v="2.0671834625322998E-2"/>
    <n v="0.3227792436235708"/>
    <n v="81.266490765171497"/>
    <n v="439"/>
    <n v="0.8815489749430524"/>
    <n v="38.733509234828496"/>
    <n v="0.86332574031890663"/>
  </r>
  <r>
    <d v="2026-12-17T00:00:00"/>
    <x v="5"/>
    <x v="2"/>
    <x v="2"/>
    <x v="2"/>
    <n v="490"/>
    <n v="468"/>
    <n v="19"/>
    <n v="449"/>
    <n v="21"/>
    <n v="4.3749999999999997E-2"/>
    <n v="90"/>
    <n v="30800"/>
    <n v="40410"/>
    <n v="9610"/>
    <n v="0.95510204081632655"/>
    <n v="4.05982905982906E-2"/>
    <n v="0.23781242266765651"/>
    <n v="68.596881959910917"/>
    <n v="459"/>
    <n v="1.0196078431372548"/>
    <n v="21.403118040089087"/>
    <n v="0.97821350762527237"/>
  </r>
  <r>
    <d v="2026-12-18T00:00:00"/>
    <x v="5"/>
    <x v="0"/>
    <x v="0"/>
    <x v="2"/>
    <n v="500"/>
    <n v="478"/>
    <n v="18"/>
    <n v="460"/>
    <n v="22"/>
    <n v="4.583333333333333E-2"/>
    <n v="90"/>
    <n v="30800"/>
    <n v="41400"/>
    <n v="10600"/>
    <n v="0.95599999999999996"/>
    <n v="3.7656903765690378E-2"/>
    <n v="0.2560386473429952"/>
    <n v="66.956521739130437"/>
    <n v="458"/>
    <n v="1.0436681222707425"/>
    <n v="23.043478260869566"/>
    <n v="1.0043668122270741"/>
  </r>
  <r>
    <d v="2026-12-18T00:00:00"/>
    <x v="5"/>
    <x v="0"/>
    <x v="1"/>
    <x v="0"/>
    <n v="440"/>
    <n v="422"/>
    <n v="23"/>
    <n v="399"/>
    <n v="46"/>
    <n v="9.583333333333334E-2"/>
    <n v="100"/>
    <n v="30800"/>
    <n v="39900"/>
    <n v="9100"/>
    <n v="0.95909090909090911"/>
    <n v="5.4502369668246446E-2"/>
    <n v="0.22807017543859648"/>
    <n v="77.192982456140356"/>
    <n v="434"/>
    <n v="0.97235023041474655"/>
    <n v="22.807017543859651"/>
    <n v="0.91935483870967738"/>
  </r>
  <r>
    <d v="2026-12-18T00:00:00"/>
    <x v="5"/>
    <x v="0"/>
    <x v="2"/>
    <x v="1"/>
    <n v="400"/>
    <n v="377"/>
    <n v="15"/>
    <n v="362"/>
    <n v="49"/>
    <n v="0.10208333333333333"/>
    <n v="120"/>
    <n v="30800"/>
    <n v="43440"/>
    <n v="12640"/>
    <n v="0.9425"/>
    <n v="3.9787798408488062E-2"/>
    <n v="0.29097605893186002"/>
    <n v="85.082872928176798"/>
    <n v="431"/>
    <n v="0.87470997679814388"/>
    <n v="34.917127071823202"/>
    <n v="0.83990719257540603"/>
  </r>
  <r>
    <d v="2026-12-18T00:00:00"/>
    <x v="5"/>
    <x v="1"/>
    <x v="0"/>
    <x v="0"/>
    <n v="450"/>
    <n v="416"/>
    <n v="28"/>
    <n v="388"/>
    <n v="60"/>
    <n v="0.125"/>
    <n v="100"/>
    <n v="30800"/>
    <n v="38800"/>
    <n v="8000"/>
    <n v="0.9244444444444444"/>
    <n v="6.7307692307692304E-2"/>
    <n v="0.20618556701030927"/>
    <n v="79.381443298969074"/>
    <n v="420"/>
    <n v="0.99047619047619051"/>
    <n v="20.618556701030929"/>
    <n v="0.92380952380952386"/>
  </r>
  <r>
    <d v="2026-12-18T00:00:00"/>
    <x v="5"/>
    <x v="1"/>
    <x v="1"/>
    <x v="1"/>
    <n v="400"/>
    <n v="358"/>
    <n v="16"/>
    <n v="342"/>
    <n v="53"/>
    <n v="0.11041666666666666"/>
    <n v="120"/>
    <n v="30800"/>
    <n v="41040"/>
    <n v="10240"/>
    <n v="0.89500000000000002"/>
    <n v="4.4692737430167599E-2"/>
    <n v="0.24951267056530213"/>
    <n v="90.058479532163744"/>
    <n v="427"/>
    <n v="0.83840749414519911"/>
    <n v="29.941520467836256"/>
    <n v="0.80093676814988291"/>
  </r>
  <r>
    <d v="2026-12-18T00:00:00"/>
    <x v="5"/>
    <x v="1"/>
    <x v="2"/>
    <x v="2"/>
    <n v="510"/>
    <n v="448"/>
    <n v="30"/>
    <n v="418"/>
    <n v="59"/>
    <n v="0.12291666666666666"/>
    <n v="90"/>
    <n v="30800"/>
    <n v="37620"/>
    <n v="6820"/>
    <n v="0.8784313725490196"/>
    <n v="6.6964285714285712E-2"/>
    <n v="0.18128654970760233"/>
    <n v="73.684210526315795"/>
    <n v="421"/>
    <n v="1.0641330166270784"/>
    <n v="16.315789473684209"/>
    <n v="0.99287410926365793"/>
  </r>
  <r>
    <d v="2026-12-18T00:00:00"/>
    <x v="5"/>
    <x v="2"/>
    <x v="0"/>
    <x v="1"/>
    <n v="400"/>
    <n v="393"/>
    <n v="7"/>
    <n v="386"/>
    <n v="23"/>
    <n v="4.791666666666667E-2"/>
    <n v="120"/>
    <n v="30800"/>
    <n v="46320"/>
    <n v="15520"/>
    <n v="0.98250000000000004"/>
    <n v="1.7811704834605598E-2"/>
    <n v="0.33506044905008636"/>
    <n v="79.792746113989637"/>
    <n v="457"/>
    <n v="0.85995623632385121"/>
    <n v="40.207253886010363"/>
    <n v="0.84463894967177244"/>
  </r>
  <r>
    <d v="2026-12-18T00:00:00"/>
    <x v="5"/>
    <x v="2"/>
    <x v="1"/>
    <x v="2"/>
    <n v="520"/>
    <n v="504"/>
    <n v="13"/>
    <n v="491"/>
    <n v="16"/>
    <n v="3.3333333333333333E-2"/>
    <n v="90"/>
    <n v="30800"/>
    <n v="44190"/>
    <n v="13390"/>
    <n v="0.96923076923076923"/>
    <n v="2.5793650793650792E-2"/>
    <n v="0.30300973070830506"/>
    <n v="62.729124236252545"/>
    <n v="464"/>
    <n v="1.0862068965517242"/>
    <n v="27.270875763747455"/>
    <n v="1.0581896551724137"/>
  </r>
  <r>
    <d v="2026-12-18T00:00:00"/>
    <x v="5"/>
    <x v="2"/>
    <x v="2"/>
    <x v="0"/>
    <n v="460"/>
    <n v="442"/>
    <n v="23"/>
    <n v="419"/>
    <n v="37"/>
    <n v="7.7083333333333337E-2"/>
    <n v="100"/>
    <n v="30800"/>
    <n v="41900"/>
    <n v="11100"/>
    <n v="0.96086956521739131"/>
    <n v="5.2036199095022627E-2"/>
    <n v="0.2649164677804296"/>
    <n v="73.508353221957037"/>
    <n v="443"/>
    <n v="0.99774266365688491"/>
    <n v="26.491646778042959"/>
    <n v="0.94582392776523705"/>
  </r>
  <r>
    <d v="2026-12-19T00:00:00"/>
    <x v="5"/>
    <x v="0"/>
    <x v="0"/>
    <x v="0"/>
    <n v="430"/>
    <n v="402"/>
    <n v="15"/>
    <n v="387"/>
    <n v="26"/>
    <n v="5.4166666666666669E-2"/>
    <n v="100"/>
    <n v="30800"/>
    <n v="38700"/>
    <n v="7900"/>
    <n v="0.93488372093023253"/>
    <n v="3.7313432835820892E-2"/>
    <n v="0.20413436692506459"/>
    <n v="79.586563307493535"/>
    <n v="454"/>
    <n v="0.88546255506607929"/>
    <n v="20.413436692506458"/>
    <n v="0.85242290748898675"/>
  </r>
  <r>
    <d v="2026-12-19T00:00:00"/>
    <x v="5"/>
    <x v="0"/>
    <x v="1"/>
    <x v="1"/>
    <n v="400"/>
    <n v="370"/>
    <n v="13"/>
    <n v="357"/>
    <n v="43"/>
    <n v="8.9583333333333334E-2"/>
    <n v="120"/>
    <n v="30800"/>
    <n v="42840"/>
    <n v="12040"/>
    <n v="0.92500000000000004"/>
    <n v="3.5135135135135137E-2"/>
    <n v="0.28104575163398693"/>
    <n v="86.274509803921575"/>
    <n v="437"/>
    <n v="0.84668192219679639"/>
    <n v="33.725490196078432"/>
    <n v="0.81693363844393596"/>
  </r>
  <r>
    <d v="2026-12-19T00:00:00"/>
    <x v="5"/>
    <x v="0"/>
    <x v="2"/>
    <x v="2"/>
    <n v="490"/>
    <n v="453"/>
    <n v="22"/>
    <n v="431"/>
    <n v="26"/>
    <n v="5.4166666666666669E-2"/>
    <n v="90"/>
    <n v="30800"/>
    <n v="38790"/>
    <n v="7990"/>
    <n v="0.92448979591836733"/>
    <n v="4.856512141280353E-2"/>
    <n v="0.20598092291827791"/>
    <n v="71.461716937354993"/>
    <n v="454"/>
    <n v="0.99779735682819382"/>
    <n v="18.538283062645011"/>
    <n v="0.9493392070484582"/>
  </r>
  <r>
    <d v="2026-12-19T00:00:00"/>
    <x v="5"/>
    <x v="1"/>
    <x v="0"/>
    <x v="1"/>
    <n v="410"/>
    <n v="372"/>
    <n v="19"/>
    <n v="353"/>
    <n v="48"/>
    <n v="0.1"/>
    <n v="120"/>
    <n v="30800"/>
    <n v="42360"/>
    <n v="11560"/>
    <n v="0.90731707317073174"/>
    <n v="5.1075268817204304E-2"/>
    <n v="0.27289896128423041"/>
    <n v="87.252124645892351"/>
    <n v="432"/>
    <n v="0.86111111111111116"/>
    <n v="32.747875354107649"/>
    <n v="0.81712962962962965"/>
  </r>
  <r>
    <d v="2026-12-19T00:00:00"/>
    <x v="5"/>
    <x v="1"/>
    <x v="1"/>
    <x v="2"/>
    <n v="480"/>
    <n v="443"/>
    <n v="23"/>
    <n v="420"/>
    <n v="56"/>
    <n v="0.11666666666666667"/>
    <n v="90"/>
    <n v="30800"/>
    <n v="37800"/>
    <n v="7000"/>
    <n v="0.92291666666666672"/>
    <n v="5.1918735891647853E-2"/>
    <n v="0.18518518518518517"/>
    <n v="73.333333333333329"/>
    <n v="424"/>
    <n v="1.0448113207547169"/>
    <n v="16.666666666666668"/>
    <n v="0.99056603773584906"/>
  </r>
  <r>
    <d v="2026-12-19T00:00:00"/>
    <x v="5"/>
    <x v="1"/>
    <x v="2"/>
    <x v="0"/>
    <n v="460"/>
    <n v="399"/>
    <n v="32"/>
    <n v="367"/>
    <n v="64"/>
    <n v="0.13333333333333333"/>
    <n v="100"/>
    <n v="30800"/>
    <n v="36700"/>
    <n v="5900"/>
    <n v="0.86739130434782608"/>
    <n v="8.0200501253132828E-2"/>
    <n v="0.16076294277929154"/>
    <n v="83.923705722070849"/>
    <n v="416"/>
    <n v="0.95913461538461542"/>
    <n v="16.076294277929154"/>
    <n v="0.88221153846153844"/>
  </r>
  <r>
    <d v="2026-12-19T00:00:00"/>
    <x v="5"/>
    <x v="2"/>
    <x v="0"/>
    <x v="2"/>
    <n v="490"/>
    <n v="468"/>
    <n v="16"/>
    <n v="452"/>
    <n v="13"/>
    <n v="2.7083333333333334E-2"/>
    <n v="90"/>
    <n v="30800"/>
    <n v="40680"/>
    <n v="9880"/>
    <n v="0.95510204081632655"/>
    <n v="3.4188034188034191E-2"/>
    <n v="0.24287118977384464"/>
    <n v="68.141592920353986"/>
    <n v="467"/>
    <n v="1.0021413276231264"/>
    <n v="21.858407079646017"/>
    <n v="0.9678800856531049"/>
  </r>
  <r>
    <d v="2026-12-19T00:00:00"/>
    <x v="5"/>
    <x v="2"/>
    <x v="1"/>
    <x v="0"/>
    <n v="440"/>
    <n v="428"/>
    <n v="15"/>
    <n v="413"/>
    <n v="25"/>
    <n v="5.2083333333333336E-2"/>
    <n v="100"/>
    <n v="30800"/>
    <n v="41300"/>
    <n v="10500"/>
    <n v="0.97272727272727277"/>
    <n v="3.5046728971962614E-2"/>
    <n v="0.25423728813559321"/>
    <n v="74.576271186440678"/>
    <n v="455"/>
    <n v="0.94065934065934065"/>
    <n v="25.423728813559322"/>
    <n v="0.90769230769230769"/>
  </r>
  <r>
    <d v="2026-12-19T00:00:00"/>
    <x v="5"/>
    <x v="2"/>
    <x v="2"/>
    <x v="1"/>
    <n v="390"/>
    <n v="366"/>
    <n v="14"/>
    <n v="352"/>
    <n v="44"/>
    <n v="9.166666666666666E-2"/>
    <n v="120"/>
    <n v="30800"/>
    <n v="42240"/>
    <n v="11440"/>
    <n v="0.93846153846153846"/>
    <n v="3.825136612021858E-2"/>
    <n v="0.27083333333333331"/>
    <n v="87.5"/>
    <n v="436"/>
    <n v="0.83944954128440363"/>
    <n v="32.5"/>
    <n v="0.80733944954128445"/>
  </r>
  <r>
    <d v="2026-12-20T00:00:00"/>
    <x v="5"/>
    <x v="0"/>
    <x v="0"/>
    <x v="1"/>
    <n v="410"/>
    <n v="389"/>
    <n v="13"/>
    <n v="376"/>
    <n v="37"/>
    <n v="7.7083333333333337E-2"/>
    <n v="120"/>
    <n v="30800"/>
    <n v="45120"/>
    <n v="14320"/>
    <n v="0.948780487804878"/>
    <n v="3.3419023136246784E-2"/>
    <n v="0.31737588652482268"/>
    <n v="81.914893617021278"/>
    <n v="443"/>
    <n v="0.87810383747178333"/>
    <n v="38.085106382978722"/>
    <n v="0.84875846501128671"/>
  </r>
  <r>
    <d v="2026-12-20T00:00:00"/>
    <x v="5"/>
    <x v="0"/>
    <x v="1"/>
    <x v="2"/>
    <n v="510"/>
    <n v="499"/>
    <n v="20"/>
    <n v="479"/>
    <n v="29"/>
    <n v="6.0416666666666667E-2"/>
    <n v="90"/>
    <n v="30800"/>
    <n v="43110"/>
    <n v="12310"/>
    <n v="0.97843137254901957"/>
    <n v="4.0080160320641281E-2"/>
    <n v="0.28554859661331478"/>
    <n v="64.300626304801668"/>
    <n v="451"/>
    <n v="1.106430155210643"/>
    <n v="25.699373695198329"/>
    <n v="1.0620842572062084"/>
  </r>
  <r>
    <d v="2026-12-20T00:00:00"/>
    <x v="5"/>
    <x v="0"/>
    <x v="2"/>
    <x v="0"/>
    <n v="440"/>
    <n v="392"/>
    <n v="20"/>
    <n v="372"/>
    <n v="36"/>
    <n v="7.4999999999999997E-2"/>
    <n v="100"/>
    <n v="30800"/>
    <n v="37200"/>
    <n v="6400"/>
    <n v="0.89090909090909087"/>
    <n v="5.1020408163265307E-2"/>
    <n v="0.17204301075268819"/>
    <n v="82.795698924731184"/>
    <n v="444"/>
    <n v="0.88288288288288286"/>
    <n v="17.204301075268816"/>
    <n v="0.83783783783783783"/>
  </r>
  <r>
    <d v="2026-12-20T00:00:00"/>
    <x v="5"/>
    <x v="1"/>
    <x v="0"/>
    <x v="2"/>
    <n v="510"/>
    <n v="455"/>
    <n v="24"/>
    <n v="431"/>
    <n v="51"/>
    <n v="0.10625"/>
    <n v="90"/>
    <n v="30800"/>
    <n v="38790"/>
    <n v="7990"/>
    <n v="0.89215686274509809"/>
    <n v="5.2747252747252747E-2"/>
    <n v="0.20598092291827791"/>
    <n v="71.461716937354993"/>
    <n v="429"/>
    <n v="1.0606060606060606"/>
    <n v="18.538283062645011"/>
    <n v="1.0046620046620047"/>
  </r>
  <r>
    <d v="2026-12-20T00:00:00"/>
    <x v="5"/>
    <x v="1"/>
    <x v="1"/>
    <x v="0"/>
    <n v="450"/>
    <n v="408"/>
    <n v="29"/>
    <n v="379"/>
    <n v="54"/>
    <n v="0.1125"/>
    <n v="100"/>
    <n v="30800"/>
    <n v="37900"/>
    <n v="7100"/>
    <n v="0.90666666666666662"/>
    <n v="7.1078431372549017E-2"/>
    <n v="0.18733509234828497"/>
    <n v="81.266490765171497"/>
    <n v="426"/>
    <n v="0.95774647887323938"/>
    <n v="18.733509234828496"/>
    <n v="0.88967136150234738"/>
  </r>
  <r>
    <d v="2026-12-20T00:00:00"/>
    <x v="5"/>
    <x v="1"/>
    <x v="2"/>
    <x v="1"/>
    <n v="390"/>
    <n v="338"/>
    <n v="20"/>
    <n v="318"/>
    <n v="49"/>
    <n v="0.10208333333333333"/>
    <n v="120"/>
    <n v="30800"/>
    <n v="38160"/>
    <n v="7360"/>
    <n v="0.8666666666666667"/>
    <n v="5.9171597633136092E-2"/>
    <n v="0.19287211740041929"/>
    <n v="96.855345911949684"/>
    <n v="431"/>
    <n v="0.78422273781902552"/>
    <n v="23.144654088050313"/>
    <n v="0.73781902552204182"/>
  </r>
  <r>
    <d v="2026-12-20T00:00:00"/>
    <x v="5"/>
    <x v="2"/>
    <x v="0"/>
    <x v="0"/>
    <n v="440"/>
    <n v="422"/>
    <n v="17"/>
    <n v="405"/>
    <n v="30"/>
    <n v="6.25E-2"/>
    <n v="100"/>
    <n v="30800"/>
    <n v="40500"/>
    <n v="9700"/>
    <n v="0.95909090909090911"/>
    <n v="4.0284360189573459E-2"/>
    <n v="0.23950617283950618"/>
    <n v="76.049382716049379"/>
    <n v="450"/>
    <n v="0.93777777777777782"/>
    <n v="23.950617283950617"/>
    <n v="0.9"/>
  </r>
  <r>
    <d v="2026-12-20T00:00:00"/>
    <x v="5"/>
    <x v="2"/>
    <x v="1"/>
    <x v="1"/>
    <n v="380"/>
    <n v="367"/>
    <n v="8"/>
    <n v="359"/>
    <n v="26"/>
    <n v="5.4166666666666669E-2"/>
    <n v="120"/>
    <n v="30800"/>
    <n v="43080"/>
    <n v="12280"/>
    <n v="0.96578947368421053"/>
    <n v="2.1798365122615803E-2"/>
    <n v="0.2850510677808728"/>
    <n v="85.793871866295262"/>
    <n v="454"/>
    <n v="0.80837004405286339"/>
    <n v="34.206128133704738"/>
    <n v="0.79074889867841414"/>
  </r>
  <r>
    <d v="2026-12-20T00:00:00"/>
    <x v="5"/>
    <x v="2"/>
    <x v="2"/>
    <x v="2"/>
    <n v="510"/>
    <n v="476"/>
    <n v="17"/>
    <n v="459"/>
    <n v="21"/>
    <n v="4.3749999999999997E-2"/>
    <n v="90"/>
    <n v="30800"/>
    <n v="41310"/>
    <n v="10510"/>
    <n v="0.93333333333333335"/>
    <n v="3.5714285714285712E-2"/>
    <n v="0.25441781650931977"/>
    <n v="67.102396514161214"/>
    <n v="459"/>
    <n v="1.037037037037037"/>
    <n v="22.897603485838779"/>
    <n v="1"/>
  </r>
  <r>
    <d v="2026-12-21T00:00:00"/>
    <x v="5"/>
    <x v="0"/>
    <x v="0"/>
    <x v="2"/>
    <n v="510"/>
    <n v="487"/>
    <n v="15"/>
    <n v="472"/>
    <n v="28"/>
    <n v="5.8333333333333334E-2"/>
    <n v="90"/>
    <n v="30800"/>
    <n v="42480"/>
    <n v="11680"/>
    <n v="0.95490196078431377"/>
    <n v="3.0800821355236138E-2"/>
    <n v="0.27495291902071561"/>
    <n v="65.254237288135599"/>
    <n v="452"/>
    <n v="1.0774336283185841"/>
    <n v="24.745762711864408"/>
    <n v="1.0442477876106195"/>
  </r>
  <r>
    <d v="2026-12-21T00:00:00"/>
    <x v="5"/>
    <x v="0"/>
    <x v="1"/>
    <x v="0"/>
    <n v="450"/>
    <n v="429"/>
    <n v="20"/>
    <n v="409"/>
    <n v="45"/>
    <n v="9.375E-2"/>
    <n v="100"/>
    <n v="30800"/>
    <n v="40900"/>
    <n v="10100"/>
    <n v="0.95333333333333337"/>
    <n v="4.6620046620046623E-2"/>
    <n v="0.24694376528117359"/>
    <n v="75.30562347188264"/>
    <n v="435"/>
    <n v="0.98620689655172411"/>
    <n v="24.69437652811736"/>
    <n v="0.94022988505747129"/>
  </r>
  <r>
    <d v="2026-12-21T00:00:00"/>
    <x v="5"/>
    <x v="0"/>
    <x v="2"/>
    <x v="1"/>
    <n v="400"/>
    <n v="370"/>
    <n v="16"/>
    <n v="354"/>
    <n v="52"/>
    <n v="0.10833333333333334"/>
    <n v="120"/>
    <n v="30800"/>
    <n v="42480"/>
    <n v="11680"/>
    <n v="0.92500000000000004"/>
    <n v="4.3243243243243246E-2"/>
    <n v="0.27495291902071561"/>
    <n v="87.005649717514117"/>
    <n v="428"/>
    <n v="0.86448598130841126"/>
    <n v="32.994350282485875"/>
    <n v="0.82710280373831779"/>
  </r>
  <r>
    <d v="2026-12-21T00:00:00"/>
    <x v="5"/>
    <x v="1"/>
    <x v="0"/>
    <x v="0"/>
    <n v="440"/>
    <n v="389"/>
    <n v="21"/>
    <n v="368"/>
    <n v="59"/>
    <n v="0.12291666666666666"/>
    <n v="100"/>
    <n v="30800"/>
    <n v="36800"/>
    <n v="6000"/>
    <n v="0.88409090909090904"/>
    <n v="5.3984575835475578E-2"/>
    <n v="0.16304347826086957"/>
    <n v="83.695652173913047"/>
    <n v="421"/>
    <n v="0.92399049881235151"/>
    <n v="16.304347826086957"/>
    <n v="0.87410926365795727"/>
  </r>
  <r>
    <d v="2026-12-21T00:00:00"/>
    <x v="5"/>
    <x v="1"/>
    <x v="1"/>
    <x v="1"/>
    <n v="400"/>
    <n v="354"/>
    <n v="19"/>
    <n v="335"/>
    <n v="58"/>
    <n v="0.12083333333333333"/>
    <n v="120"/>
    <n v="30800"/>
    <n v="40200"/>
    <n v="9400"/>
    <n v="0.88500000000000001"/>
    <n v="5.3672316384180789E-2"/>
    <n v="0.23383084577114427"/>
    <n v="91.940298507462686"/>
    <n v="422"/>
    <n v="0.83886255924170616"/>
    <n v="28.059701492537314"/>
    <n v="0.79383886255924174"/>
  </r>
  <r>
    <d v="2026-12-21T00:00:00"/>
    <x v="5"/>
    <x v="1"/>
    <x v="2"/>
    <x v="2"/>
    <n v="500"/>
    <n v="448"/>
    <n v="27"/>
    <n v="421"/>
    <n v="66"/>
    <n v="0.13750000000000001"/>
    <n v="90"/>
    <n v="30800"/>
    <n v="37890"/>
    <n v="7090"/>
    <n v="0.89600000000000002"/>
    <n v="6.0267857142857144E-2"/>
    <n v="0.18712061229875956"/>
    <n v="73.159144893111645"/>
    <n v="414"/>
    <n v="1.0821256038647342"/>
    <n v="16.840855106888363"/>
    <n v="1.0169082125603865"/>
  </r>
  <r>
    <d v="2026-12-21T00:00:00"/>
    <x v="5"/>
    <x v="2"/>
    <x v="0"/>
    <x v="1"/>
    <n v="380"/>
    <n v="367"/>
    <n v="6"/>
    <n v="361"/>
    <n v="21"/>
    <n v="4.3749999999999997E-2"/>
    <n v="120"/>
    <n v="30800"/>
    <n v="43320"/>
    <n v="12520"/>
    <n v="0.96578947368421053"/>
    <n v="1.6348773841961851E-2"/>
    <n v="0.28901200369344415"/>
    <n v="85.31855955678671"/>
    <n v="459"/>
    <n v="0.79956427015250542"/>
    <n v="34.681440443213297"/>
    <n v="0.78649237472766886"/>
  </r>
  <r>
    <d v="2026-12-21T00:00:00"/>
    <x v="5"/>
    <x v="2"/>
    <x v="1"/>
    <x v="2"/>
    <n v="490"/>
    <n v="467"/>
    <n v="18"/>
    <n v="449"/>
    <n v="22"/>
    <n v="4.583333333333333E-2"/>
    <n v="90"/>
    <n v="30800"/>
    <n v="40410"/>
    <n v="9610"/>
    <n v="0.95306122448979591"/>
    <n v="3.8543897216274089E-2"/>
    <n v="0.23781242266765651"/>
    <n v="68.596881959910917"/>
    <n v="458"/>
    <n v="1.0196506550218341"/>
    <n v="21.403118040089087"/>
    <n v="0.98034934497816595"/>
  </r>
  <r>
    <d v="2026-12-21T00:00:00"/>
    <x v="5"/>
    <x v="2"/>
    <x v="2"/>
    <x v="0"/>
    <n v="460"/>
    <n v="438"/>
    <n v="22"/>
    <n v="416"/>
    <n v="37"/>
    <n v="7.7083333333333337E-2"/>
    <n v="100"/>
    <n v="30800"/>
    <n v="41600"/>
    <n v="10800"/>
    <n v="0.95217391304347831"/>
    <n v="5.0228310502283102E-2"/>
    <n v="0.25961538461538464"/>
    <n v="74.038461538461533"/>
    <n v="443"/>
    <n v="0.98871331828442433"/>
    <n v="25.96153846153846"/>
    <n v="0.93905191873589167"/>
  </r>
  <r>
    <d v="2026-12-22T00:00:00"/>
    <x v="5"/>
    <x v="0"/>
    <x v="0"/>
    <x v="0"/>
    <n v="470"/>
    <n v="460"/>
    <n v="22"/>
    <n v="438"/>
    <n v="46"/>
    <n v="9.583333333333334E-2"/>
    <n v="100"/>
    <n v="30800"/>
    <n v="43800"/>
    <n v="13000"/>
    <n v="0.97872340425531912"/>
    <n v="4.7826086956521741E-2"/>
    <n v="0.29680365296803651"/>
    <n v="70.319634703196343"/>
    <n v="434"/>
    <n v="1.0599078341013826"/>
    <n v="29.680365296803654"/>
    <n v="1.0092165898617511"/>
  </r>
  <r>
    <d v="2026-12-22T00:00:00"/>
    <x v="5"/>
    <x v="0"/>
    <x v="1"/>
    <x v="1"/>
    <n v="410"/>
    <n v="396"/>
    <n v="15"/>
    <n v="381"/>
    <n v="44"/>
    <n v="9.166666666666666E-2"/>
    <n v="120"/>
    <n v="30800"/>
    <n v="45720"/>
    <n v="14920"/>
    <n v="0.96585365853658534"/>
    <n v="3.787878787878788E-2"/>
    <n v="0.32633420822397202"/>
    <n v="80.839895013123353"/>
    <n v="436"/>
    <n v="0.90825688073394495"/>
    <n v="39.16010498687664"/>
    <n v="0.87385321100917435"/>
  </r>
  <r>
    <d v="2026-12-22T00:00:00"/>
    <x v="5"/>
    <x v="0"/>
    <x v="2"/>
    <x v="2"/>
    <n v="490"/>
    <n v="458"/>
    <n v="22"/>
    <n v="436"/>
    <n v="30"/>
    <n v="6.25E-2"/>
    <n v="90"/>
    <n v="30800"/>
    <n v="39240"/>
    <n v="8440"/>
    <n v="0.9346938775510204"/>
    <n v="4.8034934497816595E-2"/>
    <n v="0.21508664627930682"/>
    <n v="70.642201834862391"/>
    <n v="450"/>
    <n v="1.0177777777777777"/>
    <n v="19.357798165137616"/>
    <n v="0.96888888888888891"/>
  </r>
  <r>
    <d v="2026-12-22T00:00:00"/>
    <x v="5"/>
    <x v="1"/>
    <x v="0"/>
    <x v="1"/>
    <n v="390"/>
    <n v="357"/>
    <n v="14"/>
    <n v="343"/>
    <n v="49"/>
    <n v="0.10208333333333333"/>
    <n v="120"/>
    <n v="30800"/>
    <n v="41160"/>
    <n v="10360"/>
    <n v="0.91538461538461535"/>
    <n v="3.9215686274509803E-2"/>
    <n v="0.25170068027210885"/>
    <n v="89.795918367346943"/>
    <n v="431"/>
    <n v="0.82830626450116007"/>
    <n v="30.204081632653061"/>
    <n v="0.79582366589327147"/>
  </r>
  <r>
    <d v="2026-12-22T00:00:00"/>
    <x v="5"/>
    <x v="1"/>
    <x v="1"/>
    <x v="2"/>
    <n v="490"/>
    <n v="432"/>
    <n v="21"/>
    <n v="411"/>
    <n v="38"/>
    <n v="7.9166666666666663E-2"/>
    <n v="90"/>
    <n v="30800"/>
    <n v="36990"/>
    <n v="6190"/>
    <n v="0.88163265306122451"/>
    <n v="4.8611111111111112E-2"/>
    <n v="0.16734252500675859"/>
    <n v="74.93917274939173"/>
    <n v="442"/>
    <n v="0.9773755656108597"/>
    <n v="15.060827250608272"/>
    <n v="0.92986425339366519"/>
  </r>
  <r>
    <d v="2026-12-22T00:00:00"/>
    <x v="5"/>
    <x v="1"/>
    <x v="2"/>
    <x v="0"/>
    <n v="460"/>
    <n v="396"/>
    <n v="28"/>
    <n v="368"/>
    <n v="70"/>
    <n v="0.14583333333333334"/>
    <n v="100"/>
    <n v="30800"/>
    <n v="36800"/>
    <n v="6000"/>
    <n v="0.86086956521739133"/>
    <n v="7.0707070707070704E-2"/>
    <n v="0.16304347826086957"/>
    <n v="83.695652173913047"/>
    <n v="410"/>
    <n v="0.96585365853658534"/>
    <n v="16.304347826086957"/>
    <n v="0.89756097560975612"/>
  </r>
  <r>
    <d v="2026-12-22T00:00:00"/>
    <x v="5"/>
    <x v="2"/>
    <x v="0"/>
    <x v="2"/>
    <n v="510"/>
    <n v="494"/>
    <n v="10"/>
    <n v="484"/>
    <n v="12"/>
    <n v="2.5000000000000001E-2"/>
    <n v="90"/>
    <n v="30800"/>
    <n v="43560"/>
    <n v="12760"/>
    <n v="0.96862745098039216"/>
    <n v="2.0242914979757085E-2"/>
    <n v="0.29292929292929293"/>
    <n v="63.636363636363633"/>
    <n v="468"/>
    <n v="1.0555555555555556"/>
    <n v="26.363636363636363"/>
    <n v="1.0341880341880343"/>
  </r>
  <r>
    <d v="2026-12-22T00:00:00"/>
    <x v="5"/>
    <x v="2"/>
    <x v="1"/>
    <x v="0"/>
    <n v="450"/>
    <n v="436"/>
    <n v="22"/>
    <n v="414"/>
    <n v="33"/>
    <n v="6.8750000000000006E-2"/>
    <n v="100"/>
    <n v="30800"/>
    <n v="41400"/>
    <n v="10600"/>
    <n v="0.96888888888888891"/>
    <n v="5.0458715596330278E-2"/>
    <n v="0.2560386473429952"/>
    <n v="74.39613526570048"/>
    <n v="447"/>
    <n v="0.97539149888143173"/>
    <n v="25.603864734299517"/>
    <n v="0.9261744966442953"/>
  </r>
  <r>
    <d v="2026-12-22T00:00:00"/>
    <x v="5"/>
    <x v="2"/>
    <x v="2"/>
    <x v="1"/>
    <n v="410"/>
    <n v="386"/>
    <n v="16"/>
    <n v="370"/>
    <n v="45"/>
    <n v="9.375E-2"/>
    <n v="120"/>
    <n v="30800"/>
    <n v="44400"/>
    <n v="13600"/>
    <n v="0.94146341463414629"/>
    <n v="4.145077720207254E-2"/>
    <n v="0.30630630630630629"/>
    <n v="83.243243243243242"/>
    <n v="435"/>
    <n v="0.88735632183908042"/>
    <n v="36.756756756756758"/>
    <n v="0.85057471264367812"/>
  </r>
  <r>
    <d v="2026-12-23T00:00:00"/>
    <x v="5"/>
    <x v="0"/>
    <x v="0"/>
    <x v="1"/>
    <n v="400"/>
    <n v="374"/>
    <n v="8"/>
    <n v="366"/>
    <n v="32"/>
    <n v="6.6666666666666666E-2"/>
    <n v="120"/>
    <n v="30800"/>
    <n v="43920"/>
    <n v="13120"/>
    <n v="0.93500000000000005"/>
    <n v="2.1390374331550801E-2"/>
    <n v="0.2987249544626594"/>
    <n v="84.15300546448087"/>
    <n v="448"/>
    <n v="0.8348214285714286"/>
    <n v="35.846994535519123"/>
    <n v="0.8169642857142857"/>
  </r>
  <r>
    <d v="2026-12-23T00:00:00"/>
    <x v="5"/>
    <x v="0"/>
    <x v="1"/>
    <x v="2"/>
    <n v="520"/>
    <n v="501"/>
    <n v="22"/>
    <n v="479"/>
    <n v="39"/>
    <n v="8.1250000000000003E-2"/>
    <n v="90"/>
    <n v="30800"/>
    <n v="43110"/>
    <n v="12310"/>
    <n v="0.96346153846153848"/>
    <n v="4.3912175648702596E-2"/>
    <n v="0.28554859661331478"/>
    <n v="64.300626304801668"/>
    <n v="441"/>
    <n v="1.1360544217687074"/>
    <n v="25.699373695198329"/>
    <n v="1.0861678004535147"/>
  </r>
  <r>
    <d v="2026-12-23T00:00:00"/>
    <x v="5"/>
    <x v="0"/>
    <x v="2"/>
    <x v="0"/>
    <n v="460"/>
    <n v="435"/>
    <n v="27"/>
    <n v="408"/>
    <n v="37"/>
    <n v="7.7083333333333337E-2"/>
    <n v="100"/>
    <n v="30800"/>
    <n v="40800"/>
    <n v="10000"/>
    <n v="0.94565217391304346"/>
    <n v="6.2068965517241378E-2"/>
    <n v="0.24509803921568626"/>
    <n v="75.490196078431367"/>
    <n v="443"/>
    <n v="0.98194130925507905"/>
    <n v="24.509803921568629"/>
    <n v="0.92099322799097061"/>
  </r>
  <r>
    <d v="2026-12-23T00:00:00"/>
    <x v="5"/>
    <x v="1"/>
    <x v="0"/>
    <x v="2"/>
    <n v="480"/>
    <n v="440"/>
    <n v="25"/>
    <n v="415"/>
    <n v="42"/>
    <n v="8.7499999999999994E-2"/>
    <n v="90"/>
    <n v="30800"/>
    <n v="37350"/>
    <n v="6550"/>
    <n v="0.91666666666666663"/>
    <n v="5.6818181818181816E-2"/>
    <n v="0.1753681392235609"/>
    <n v="74.216867469879517"/>
    <n v="438"/>
    <n v="1.004566210045662"/>
    <n v="15.783132530120483"/>
    <n v="0.94748858447488582"/>
  </r>
  <r>
    <d v="2026-12-23T00:00:00"/>
    <x v="5"/>
    <x v="1"/>
    <x v="1"/>
    <x v="0"/>
    <n v="460"/>
    <n v="419"/>
    <n v="30"/>
    <n v="389"/>
    <n v="63"/>
    <n v="0.13125000000000001"/>
    <n v="100"/>
    <n v="30800"/>
    <n v="38900"/>
    <n v="8100"/>
    <n v="0.91086956521739126"/>
    <n v="7.1599045346062054E-2"/>
    <n v="0.20822622107969152"/>
    <n v="79.177377892030847"/>
    <n v="417"/>
    <n v="1.0047961630695443"/>
    <n v="20.822622107969153"/>
    <n v="0.93285371702637887"/>
  </r>
  <r>
    <d v="2026-12-23T00:00:00"/>
    <x v="5"/>
    <x v="1"/>
    <x v="2"/>
    <x v="1"/>
    <n v="390"/>
    <n v="336"/>
    <n v="22"/>
    <n v="314"/>
    <n v="52"/>
    <n v="0.10833333333333334"/>
    <n v="120"/>
    <n v="30800"/>
    <n v="37680"/>
    <n v="6880"/>
    <n v="0.86153846153846159"/>
    <n v="6.5476190476190479E-2"/>
    <n v="0.18259023354564755"/>
    <n v="98.089171974522287"/>
    <n v="428"/>
    <n v="0.78504672897196259"/>
    <n v="21.910828025477706"/>
    <n v="0.73364485981308414"/>
  </r>
  <r>
    <d v="2026-12-23T00:00:00"/>
    <x v="5"/>
    <x v="2"/>
    <x v="0"/>
    <x v="0"/>
    <n v="450"/>
    <n v="438"/>
    <n v="19"/>
    <n v="419"/>
    <n v="22"/>
    <n v="4.583333333333333E-2"/>
    <n v="100"/>
    <n v="30800"/>
    <n v="41900"/>
    <n v="11100"/>
    <n v="0.97333333333333338"/>
    <n v="4.3378995433789952E-2"/>
    <n v="0.2649164677804296"/>
    <n v="73.508353221957037"/>
    <n v="458"/>
    <n v="0.95633187772925765"/>
    <n v="26.491646778042959"/>
    <n v="0.91484716157205237"/>
  </r>
  <r>
    <d v="2026-12-23T00:00:00"/>
    <x v="5"/>
    <x v="2"/>
    <x v="1"/>
    <x v="1"/>
    <n v="390"/>
    <n v="378"/>
    <n v="8"/>
    <n v="370"/>
    <n v="28"/>
    <n v="5.8333333333333334E-2"/>
    <n v="120"/>
    <n v="30800"/>
    <n v="44400"/>
    <n v="13600"/>
    <n v="0.96923076923076923"/>
    <n v="2.1164021164021163E-2"/>
    <n v="0.30630630630630629"/>
    <n v="83.243243243243242"/>
    <n v="452"/>
    <n v="0.83628318584070793"/>
    <n v="36.756756756756758"/>
    <n v="0.81858407079646023"/>
  </r>
  <r>
    <d v="2026-12-23T00:00:00"/>
    <x v="5"/>
    <x v="2"/>
    <x v="2"/>
    <x v="2"/>
    <n v="490"/>
    <n v="465"/>
    <n v="16"/>
    <n v="449"/>
    <n v="42"/>
    <n v="8.7499999999999994E-2"/>
    <n v="90"/>
    <n v="30800"/>
    <n v="40410"/>
    <n v="9610"/>
    <n v="0.94897959183673475"/>
    <n v="3.4408602150537634E-2"/>
    <n v="0.23781242266765651"/>
    <n v="68.596881959910917"/>
    <n v="438"/>
    <n v="1.0616438356164384"/>
    <n v="21.403118040089087"/>
    <n v="1.0251141552511416"/>
  </r>
  <r>
    <d v="2026-12-24T00:00:00"/>
    <x v="5"/>
    <x v="0"/>
    <x v="0"/>
    <x v="2"/>
    <n v="500"/>
    <n v="471"/>
    <n v="17"/>
    <n v="454"/>
    <n v="26"/>
    <n v="5.4166666666666669E-2"/>
    <n v="90"/>
    <n v="30800"/>
    <n v="40860"/>
    <n v="10060"/>
    <n v="0.94199999999999995"/>
    <n v="3.6093418259023353E-2"/>
    <n v="0.24620655898188937"/>
    <n v="67.841409691629963"/>
    <n v="454"/>
    <n v="1.0374449339207048"/>
    <n v="22.158590308370044"/>
    <n v="1"/>
  </r>
  <r>
    <d v="2026-12-24T00:00:00"/>
    <x v="5"/>
    <x v="0"/>
    <x v="1"/>
    <x v="0"/>
    <n v="460"/>
    <n v="449"/>
    <n v="22"/>
    <n v="427"/>
    <n v="51"/>
    <n v="0.10625"/>
    <n v="100"/>
    <n v="30800"/>
    <n v="42700"/>
    <n v="11900"/>
    <n v="0.97608695652173916"/>
    <n v="4.8997772828507792E-2"/>
    <n v="0.27868852459016391"/>
    <n v="72.131147540983605"/>
    <n v="429"/>
    <n v="1.0466200466200466"/>
    <n v="27.868852459016395"/>
    <n v="0.99533799533799538"/>
  </r>
  <r>
    <d v="2026-12-24T00:00:00"/>
    <x v="5"/>
    <x v="0"/>
    <x v="2"/>
    <x v="1"/>
    <n v="410"/>
    <n v="375"/>
    <n v="17"/>
    <n v="358"/>
    <n v="53"/>
    <n v="0.11041666666666666"/>
    <n v="120"/>
    <n v="30800"/>
    <n v="42960"/>
    <n v="12160"/>
    <n v="0.91463414634146345"/>
    <n v="4.5333333333333337E-2"/>
    <n v="0.28305400372439476"/>
    <n v="86.033519553072622"/>
    <n v="427"/>
    <n v="0.87822014051522246"/>
    <n v="33.966480446927378"/>
    <n v="0.83840749414519911"/>
  </r>
  <r>
    <d v="2026-12-24T00:00:00"/>
    <x v="5"/>
    <x v="1"/>
    <x v="0"/>
    <x v="0"/>
    <n v="470"/>
    <n v="415"/>
    <n v="25"/>
    <n v="390"/>
    <n v="65"/>
    <n v="0.13541666666666666"/>
    <n v="100"/>
    <n v="30800"/>
    <n v="39000"/>
    <n v="8200"/>
    <n v="0.88297872340425532"/>
    <n v="6.0240963855421686E-2"/>
    <n v="0.21025641025641026"/>
    <n v="78.974358974358978"/>
    <n v="415"/>
    <n v="1"/>
    <n v="21.025641025641026"/>
    <n v="0.93975903614457834"/>
  </r>
  <r>
    <d v="2026-12-24T00:00:00"/>
    <x v="5"/>
    <x v="1"/>
    <x v="1"/>
    <x v="1"/>
    <n v="400"/>
    <n v="357"/>
    <n v="16"/>
    <n v="341"/>
    <n v="63"/>
    <n v="0.13125000000000001"/>
    <n v="120"/>
    <n v="30800"/>
    <n v="40920"/>
    <n v="10120"/>
    <n v="0.89249999999999996"/>
    <n v="4.4817927170868348E-2"/>
    <n v="0.24731182795698925"/>
    <n v="90.322580645161295"/>
    <n v="417"/>
    <n v="0.85611510791366907"/>
    <n v="29.677419354838708"/>
    <n v="0.81774580335731417"/>
  </r>
  <r>
    <d v="2026-12-24T00:00:00"/>
    <x v="5"/>
    <x v="1"/>
    <x v="2"/>
    <x v="2"/>
    <n v="520"/>
    <n v="438"/>
    <n v="29"/>
    <n v="409"/>
    <n v="66"/>
    <n v="0.13750000000000001"/>
    <n v="90"/>
    <n v="30800"/>
    <n v="36810"/>
    <n v="6010"/>
    <n v="0.84230769230769231"/>
    <n v="6.6210045662100453E-2"/>
    <n v="0.16327085031241512"/>
    <n v="75.30562347188264"/>
    <n v="414"/>
    <n v="1.0579710144927537"/>
    <n v="14.69437652811736"/>
    <n v="0.98792270531400961"/>
  </r>
  <r>
    <d v="2026-12-24T00:00:00"/>
    <x v="5"/>
    <x v="2"/>
    <x v="0"/>
    <x v="1"/>
    <n v="410"/>
    <n v="413"/>
    <n v="9"/>
    <n v="404"/>
    <n v="31"/>
    <n v="6.458333333333334E-2"/>
    <n v="120"/>
    <n v="30800"/>
    <n v="48480"/>
    <n v="17680"/>
    <n v="1.0073170731707317"/>
    <n v="2.1791767554479417E-2"/>
    <n v="0.36468646864686466"/>
    <n v="76.237623762376231"/>
    <n v="449"/>
    <n v="0.91982182628062359"/>
    <n v="43.762376237623762"/>
    <n v="0.89977728285077951"/>
  </r>
  <r>
    <d v="2026-12-24T00:00:00"/>
    <x v="5"/>
    <x v="2"/>
    <x v="1"/>
    <x v="2"/>
    <n v="510"/>
    <n v="500"/>
    <n v="14"/>
    <n v="486"/>
    <n v="23"/>
    <n v="4.791666666666667E-2"/>
    <n v="90"/>
    <n v="30800"/>
    <n v="43740"/>
    <n v="12940"/>
    <n v="0.98039215686274506"/>
    <n v="2.8000000000000001E-2"/>
    <n v="0.2958390489254687"/>
    <n v="63.374485596707821"/>
    <n v="457"/>
    <n v="1.0940919037199124"/>
    <n v="26.625514403292183"/>
    <n v="1.0634573304157549"/>
  </r>
  <r>
    <d v="2026-12-24T00:00:00"/>
    <x v="5"/>
    <x v="2"/>
    <x v="2"/>
    <x v="0"/>
    <n v="460"/>
    <n v="443"/>
    <n v="23"/>
    <n v="420"/>
    <n v="32"/>
    <n v="6.6666666666666666E-2"/>
    <n v="100"/>
    <n v="30800"/>
    <n v="42000"/>
    <n v="11200"/>
    <n v="0.96304347826086956"/>
    <n v="5.1918735891647853E-2"/>
    <n v="0.26666666666666666"/>
    <n v="73.333333333333329"/>
    <n v="448"/>
    <n v="0.9888392857142857"/>
    <n v="26.666666666666668"/>
    <n v="0.9375"/>
  </r>
  <r>
    <d v="2026-12-25T00:00:00"/>
    <x v="5"/>
    <x v="0"/>
    <x v="0"/>
    <x v="0"/>
    <n v="450"/>
    <n v="423"/>
    <n v="19"/>
    <n v="404"/>
    <n v="42"/>
    <n v="8.7499999999999994E-2"/>
    <n v="100"/>
    <n v="30800"/>
    <n v="40400"/>
    <n v="9600"/>
    <n v="0.94"/>
    <n v="4.4917257683215132E-2"/>
    <n v="0.23762376237623761"/>
    <n v="76.237623762376231"/>
    <n v="438"/>
    <n v="0.96575342465753422"/>
    <n v="23.762376237623762"/>
    <n v="0.92237442922374424"/>
  </r>
  <r>
    <d v="2026-12-25T00:00:00"/>
    <x v="5"/>
    <x v="0"/>
    <x v="1"/>
    <x v="1"/>
    <n v="400"/>
    <n v="375"/>
    <n v="14"/>
    <n v="361"/>
    <n v="45"/>
    <n v="9.375E-2"/>
    <n v="120"/>
    <n v="30800"/>
    <n v="43320"/>
    <n v="12520"/>
    <n v="0.9375"/>
    <n v="3.7333333333333336E-2"/>
    <n v="0.28901200369344415"/>
    <n v="85.31855955678671"/>
    <n v="435"/>
    <n v="0.86206896551724133"/>
    <n v="34.681440443213297"/>
    <n v="0.8298850574712644"/>
  </r>
  <r>
    <d v="2026-12-25T00:00:00"/>
    <x v="5"/>
    <x v="0"/>
    <x v="2"/>
    <x v="2"/>
    <n v="510"/>
    <n v="479"/>
    <n v="18"/>
    <n v="461"/>
    <n v="43"/>
    <n v="8.9583333333333334E-2"/>
    <n v="90"/>
    <n v="30800"/>
    <n v="41490"/>
    <n v="10690"/>
    <n v="0.9392156862745098"/>
    <n v="3.7578288100208766E-2"/>
    <n v="0.25765244637261991"/>
    <n v="66.811279826464215"/>
    <n v="437"/>
    <n v="1.0961098398169336"/>
    <n v="23.188720173535792"/>
    <n v="1.0549199084668193"/>
  </r>
  <r>
    <d v="2026-12-25T00:00:00"/>
    <x v="5"/>
    <x v="1"/>
    <x v="0"/>
    <x v="1"/>
    <n v="400"/>
    <n v="368"/>
    <n v="19"/>
    <n v="349"/>
    <n v="52"/>
    <n v="0.10833333333333334"/>
    <n v="120"/>
    <n v="30800"/>
    <n v="41880"/>
    <n v="11080"/>
    <n v="0.92"/>
    <n v="5.1630434782608696E-2"/>
    <n v="0.26456542502387775"/>
    <n v="88.252148997134668"/>
    <n v="428"/>
    <n v="0.85981308411214952"/>
    <n v="31.747851002865328"/>
    <n v="0.81542056074766356"/>
  </r>
  <r>
    <d v="2026-12-25T00:00:00"/>
    <x v="5"/>
    <x v="1"/>
    <x v="1"/>
    <x v="2"/>
    <n v="490"/>
    <n v="428"/>
    <n v="24"/>
    <n v="404"/>
    <n v="54"/>
    <n v="0.1125"/>
    <n v="90"/>
    <n v="30800"/>
    <n v="36360"/>
    <n v="5560"/>
    <n v="0.87346938775510208"/>
    <n v="5.6074766355140186E-2"/>
    <n v="0.15291529152915292"/>
    <n v="76.237623762376231"/>
    <n v="426"/>
    <n v="1.0046948356807512"/>
    <n v="13.762376237623762"/>
    <n v="0.94835680751173712"/>
  </r>
  <r>
    <d v="2026-12-25T00:00:00"/>
    <x v="5"/>
    <x v="1"/>
    <x v="2"/>
    <x v="0"/>
    <n v="460"/>
    <n v="390"/>
    <n v="26"/>
    <n v="364"/>
    <n v="71"/>
    <n v="0.14791666666666667"/>
    <n v="100"/>
    <n v="30800"/>
    <n v="36400"/>
    <n v="5600"/>
    <n v="0.84782608695652173"/>
    <n v="6.6666666666666666E-2"/>
    <n v="0.15384615384615385"/>
    <n v="84.615384615384613"/>
    <n v="409"/>
    <n v="0.95354523227383858"/>
    <n v="15.384615384615385"/>
    <n v="0.88997555012224938"/>
  </r>
  <r>
    <d v="2026-12-25T00:00:00"/>
    <x v="5"/>
    <x v="2"/>
    <x v="0"/>
    <x v="2"/>
    <n v="490"/>
    <n v="489"/>
    <n v="11"/>
    <n v="478"/>
    <n v="18"/>
    <n v="3.7499999999999999E-2"/>
    <n v="90"/>
    <n v="30800"/>
    <n v="43020"/>
    <n v="12220"/>
    <n v="0.99795918367346936"/>
    <n v="2.2494887525562373E-2"/>
    <n v="0.28405392840539284"/>
    <n v="64.43514644351464"/>
    <n v="462"/>
    <n v="1.0584415584415585"/>
    <n v="25.564853556485357"/>
    <n v="1.0346320346320346"/>
  </r>
  <r>
    <d v="2026-12-25T00:00:00"/>
    <x v="5"/>
    <x v="2"/>
    <x v="1"/>
    <x v="0"/>
    <n v="440"/>
    <n v="414"/>
    <n v="17"/>
    <n v="397"/>
    <n v="42"/>
    <n v="8.7499999999999994E-2"/>
    <n v="100"/>
    <n v="30800"/>
    <n v="39700"/>
    <n v="8900"/>
    <n v="0.94090909090909092"/>
    <n v="4.1062801932367152E-2"/>
    <n v="0.22418136020151133"/>
    <n v="77.581863979848862"/>
    <n v="438"/>
    <n v="0.9452054794520548"/>
    <n v="22.418136020151135"/>
    <n v="0.90639269406392697"/>
  </r>
  <r>
    <d v="2026-12-25T00:00:00"/>
    <x v="5"/>
    <x v="2"/>
    <x v="2"/>
    <x v="1"/>
    <n v="400"/>
    <n v="364"/>
    <n v="14"/>
    <n v="350"/>
    <n v="26"/>
    <n v="5.4166666666666669E-2"/>
    <n v="120"/>
    <n v="30800"/>
    <n v="42000"/>
    <n v="11200"/>
    <n v="0.91"/>
    <n v="3.8461538461538464E-2"/>
    <n v="0.26666666666666666"/>
    <n v="88"/>
    <n v="454"/>
    <n v="0.80176211453744495"/>
    <n v="32"/>
    <n v="0.77092511013215859"/>
  </r>
  <r>
    <d v="2026-12-26T00:00:00"/>
    <x v="5"/>
    <x v="0"/>
    <x v="0"/>
    <x v="1"/>
    <n v="390"/>
    <n v="379"/>
    <n v="10"/>
    <n v="369"/>
    <n v="25"/>
    <n v="5.2083333333333336E-2"/>
    <n v="120"/>
    <n v="30800"/>
    <n v="44280"/>
    <n v="13480"/>
    <n v="0.97179487179487178"/>
    <n v="2.6385224274406333E-2"/>
    <n v="0.30442637759710928"/>
    <n v="83.468834688346888"/>
    <n v="455"/>
    <n v="0.83296703296703301"/>
    <n v="36.531165311653119"/>
    <n v="0.81098901098901099"/>
  </r>
  <r>
    <d v="2026-12-26T00:00:00"/>
    <x v="5"/>
    <x v="0"/>
    <x v="1"/>
    <x v="2"/>
    <n v="500"/>
    <n v="485"/>
    <n v="19"/>
    <n v="466"/>
    <n v="37"/>
    <n v="7.7083333333333337E-2"/>
    <n v="90"/>
    <n v="30800"/>
    <n v="41940"/>
    <n v="11140"/>
    <n v="0.97"/>
    <n v="3.9175257731958762E-2"/>
    <n v="0.26561754887935146"/>
    <n v="66.094420600858371"/>
    <n v="443"/>
    <n v="1.0948081264108351"/>
    <n v="23.905579399141629"/>
    <n v="1.0519187358916477"/>
  </r>
  <r>
    <d v="2026-12-26T00:00:00"/>
    <x v="5"/>
    <x v="0"/>
    <x v="2"/>
    <x v="0"/>
    <n v="440"/>
    <n v="398"/>
    <n v="24"/>
    <n v="374"/>
    <n v="58"/>
    <n v="0.12083333333333333"/>
    <n v="100"/>
    <n v="30800"/>
    <n v="37400"/>
    <n v="6600"/>
    <n v="0.90454545454545454"/>
    <n v="6.030150753768844E-2"/>
    <n v="0.17647058823529413"/>
    <n v="82.352941176470594"/>
    <n v="422"/>
    <n v="0.94312796208530802"/>
    <n v="17.647058823529413"/>
    <n v="0.88625592417061616"/>
  </r>
  <r>
    <d v="2026-12-26T00:00:00"/>
    <x v="5"/>
    <x v="1"/>
    <x v="0"/>
    <x v="2"/>
    <n v="510"/>
    <n v="469"/>
    <n v="24"/>
    <n v="445"/>
    <n v="38"/>
    <n v="7.9166666666666663E-2"/>
    <n v="90"/>
    <n v="30800"/>
    <n v="40050"/>
    <n v="9250"/>
    <n v="0.91960784313725485"/>
    <n v="5.1172707889125799E-2"/>
    <n v="0.23096129837702872"/>
    <n v="69.213483146067418"/>
    <n v="442"/>
    <n v="1.0610859728506787"/>
    <n v="20.786516853932586"/>
    <n v="1.0067873303167421"/>
  </r>
  <r>
    <d v="2026-12-26T00:00:00"/>
    <x v="5"/>
    <x v="1"/>
    <x v="1"/>
    <x v="0"/>
    <n v="440"/>
    <n v="397"/>
    <n v="29"/>
    <n v="368"/>
    <n v="59"/>
    <n v="0.12291666666666666"/>
    <n v="100"/>
    <n v="30800"/>
    <n v="36800"/>
    <n v="6000"/>
    <n v="0.90227272727272723"/>
    <n v="7.3047858942065488E-2"/>
    <n v="0.16304347826086957"/>
    <n v="83.695652173913047"/>
    <n v="421"/>
    <n v="0.94299287410926369"/>
    <n v="16.304347826086957"/>
    <n v="0.87410926365795727"/>
  </r>
  <r>
    <d v="2026-12-26T00:00:00"/>
    <x v="5"/>
    <x v="1"/>
    <x v="2"/>
    <x v="1"/>
    <n v="390"/>
    <n v="343"/>
    <n v="22"/>
    <n v="321"/>
    <n v="51"/>
    <n v="0.10625"/>
    <n v="120"/>
    <n v="30800"/>
    <n v="38520"/>
    <n v="7720"/>
    <n v="0.87948717948717947"/>
    <n v="6.4139941690962099E-2"/>
    <n v="0.20041536863966772"/>
    <n v="95.950155763239877"/>
    <n v="429"/>
    <n v="0.79953379953379955"/>
    <n v="24.049844236760123"/>
    <n v="0.74825174825174823"/>
  </r>
  <r>
    <d v="2026-12-26T00:00:00"/>
    <x v="5"/>
    <x v="2"/>
    <x v="0"/>
    <x v="0"/>
    <n v="430"/>
    <n v="430"/>
    <n v="16"/>
    <n v="414"/>
    <n v="29"/>
    <n v="6.0416666666666667E-2"/>
    <n v="100"/>
    <n v="30800"/>
    <n v="41400"/>
    <n v="10600"/>
    <n v="1"/>
    <n v="3.7209302325581395E-2"/>
    <n v="0.2560386473429952"/>
    <n v="74.39613526570048"/>
    <n v="451"/>
    <n v="0.95343680709534373"/>
    <n v="25.603864734299517"/>
    <n v="0.91796008869179602"/>
  </r>
  <r>
    <d v="2026-12-26T00:00:00"/>
    <x v="5"/>
    <x v="2"/>
    <x v="1"/>
    <x v="1"/>
    <n v="400"/>
    <n v="387"/>
    <n v="11"/>
    <n v="376"/>
    <n v="33"/>
    <n v="6.8750000000000006E-2"/>
    <n v="120"/>
    <n v="30800"/>
    <n v="45120"/>
    <n v="14320"/>
    <n v="0.96750000000000003"/>
    <n v="2.8423772609819122E-2"/>
    <n v="0.31737588652482268"/>
    <n v="81.914893617021278"/>
    <n v="447"/>
    <n v="0.86577181208053688"/>
    <n v="38.085106382978722"/>
    <n v="0.84116331096196872"/>
  </r>
  <r>
    <d v="2026-12-26T00:00:00"/>
    <x v="5"/>
    <x v="2"/>
    <x v="2"/>
    <x v="2"/>
    <n v="510"/>
    <n v="480"/>
    <n v="20"/>
    <n v="460"/>
    <n v="32"/>
    <n v="6.6666666666666666E-2"/>
    <n v="90"/>
    <n v="30800"/>
    <n v="41400"/>
    <n v="10600"/>
    <n v="0.94117647058823528"/>
    <n v="4.1666666666666664E-2"/>
    <n v="0.2560386473429952"/>
    <n v="66.956521739130437"/>
    <n v="448"/>
    <n v="1.0714285714285714"/>
    <n v="23.043478260869566"/>
    <n v="1.0267857142857142"/>
  </r>
  <r>
    <d v="2026-12-27T00:00:00"/>
    <x v="5"/>
    <x v="0"/>
    <x v="0"/>
    <x v="2"/>
    <n v="510"/>
    <n v="485"/>
    <n v="13"/>
    <n v="472"/>
    <n v="29"/>
    <n v="6.0416666666666667E-2"/>
    <n v="90"/>
    <n v="30800"/>
    <n v="42480"/>
    <n v="11680"/>
    <n v="0.9509803921568627"/>
    <n v="2.6804123711340205E-2"/>
    <n v="0.27495291902071561"/>
    <n v="65.254237288135599"/>
    <n v="451"/>
    <n v="1.0753880266075388"/>
    <n v="24.745762711864408"/>
    <n v="1.0465631929046564"/>
  </r>
  <r>
    <d v="2026-12-27T00:00:00"/>
    <x v="5"/>
    <x v="0"/>
    <x v="1"/>
    <x v="0"/>
    <n v="450"/>
    <n v="424"/>
    <n v="24"/>
    <n v="400"/>
    <n v="46"/>
    <n v="9.583333333333334E-2"/>
    <n v="100"/>
    <n v="30800"/>
    <n v="40000"/>
    <n v="9200"/>
    <n v="0.94222222222222218"/>
    <n v="5.6603773584905662E-2"/>
    <n v="0.23"/>
    <n v="77"/>
    <n v="434"/>
    <n v="0.97695852534562211"/>
    <n v="23"/>
    <n v="0.92165898617511521"/>
  </r>
  <r>
    <d v="2026-12-27T00:00:00"/>
    <x v="5"/>
    <x v="0"/>
    <x v="2"/>
    <x v="1"/>
    <n v="390"/>
    <n v="350"/>
    <n v="14"/>
    <n v="336"/>
    <n v="54"/>
    <n v="0.1125"/>
    <n v="120"/>
    <n v="30800"/>
    <n v="40320"/>
    <n v="9520"/>
    <n v="0.89743589743589747"/>
    <n v="0.04"/>
    <n v="0.2361111111111111"/>
    <n v="91.666666666666671"/>
    <n v="426"/>
    <n v="0.82159624413145538"/>
    <n v="28.333333333333332"/>
    <n v="0.78873239436619713"/>
  </r>
  <r>
    <d v="2026-12-27T00:00:00"/>
    <x v="5"/>
    <x v="1"/>
    <x v="0"/>
    <x v="0"/>
    <n v="470"/>
    <n v="422"/>
    <n v="29"/>
    <n v="393"/>
    <n v="60"/>
    <n v="0.125"/>
    <n v="100"/>
    <n v="30800"/>
    <n v="39300"/>
    <n v="8500"/>
    <n v="0.89787234042553188"/>
    <n v="6.8720379146919433E-2"/>
    <n v="0.21628498727735368"/>
    <n v="78.371501272264638"/>
    <n v="420"/>
    <n v="1.0047619047619047"/>
    <n v="21.628498727735369"/>
    <n v="0.93571428571428572"/>
  </r>
  <r>
    <d v="2026-12-27T00:00:00"/>
    <x v="5"/>
    <x v="1"/>
    <x v="1"/>
    <x v="1"/>
    <n v="390"/>
    <n v="346"/>
    <n v="16"/>
    <n v="330"/>
    <n v="59"/>
    <n v="0.12291666666666666"/>
    <n v="120"/>
    <n v="30800"/>
    <n v="39600"/>
    <n v="8800"/>
    <n v="0.88717948717948714"/>
    <n v="4.6242774566473986E-2"/>
    <n v="0.22222222222222221"/>
    <n v="93.333333333333329"/>
    <n v="421"/>
    <n v="0.82185273159144889"/>
    <n v="26.666666666666668"/>
    <n v="0.78384798099762465"/>
  </r>
  <r>
    <d v="2026-12-27T00:00:00"/>
    <x v="5"/>
    <x v="1"/>
    <x v="2"/>
    <x v="2"/>
    <n v="480"/>
    <n v="410"/>
    <n v="25"/>
    <n v="385"/>
    <n v="53"/>
    <n v="0.11041666666666666"/>
    <n v="90"/>
    <n v="30800"/>
    <n v="34650"/>
    <n v="3850"/>
    <n v="0.85416666666666663"/>
    <n v="6.097560975609756E-2"/>
    <n v="0.1111111111111111"/>
    <n v="80"/>
    <n v="427"/>
    <n v="0.96018735362997654"/>
    <n v="10"/>
    <n v="0.90163934426229508"/>
  </r>
  <r>
    <d v="2026-12-27T00:00:00"/>
    <x v="5"/>
    <x v="2"/>
    <x v="0"/>
    <x v="1"/>
    <n v="380"/>
    <n v="363"/>
    <n v="10"/>
    <n v="353"/>
    <n v="23"/>
    <n v="4.791666666666667E-2"/>
    <n v="120"/>
    <n v="30800"/>
    <n v="42360"/>
    <n v="11560"/>
    <n v="0.95526315789473681"/>
    <n v="2.7548209366391185E-2"/>
    <n v="0.27289896128423041"/>
    <n v="87.252124645892351"/>
    <n v="457"/>
    <n v="0.79431072210065645"/>
    <n v="32.747875354107649"/>
    <n v="0.7724288840262582"/>
  </r>
  <r>
    <d v="2026-12-27T00:00:00"/>
    <x v="5"/>
    <x v="2"/>
    <x v="1"/>
    <x v="2"/>
    <n v="520"/>
    <n v="496"/>
    <n v="14"/>
    <n v="482"/>
    <n v="17"/>
    <n v="3.5416666666666666E-2"/>
    <n v="90"/>
    <n v="30800"/>
    <n v="43380"/>
    <n v="12580"/>
    <n v="0.9538461538461539"/>
    <n v="2.8225806451612902E-2"/>
    <n v="0.28999538958045185"/>
    <n v="63.900414937759336"/>
    <n v="463"/>
    <n v="1.0712742980561556"/>
    <n v="26.099585062240664"/>
    <n v="1.0410367170626349"/>
  </r>
  <r>
    <d v="2026-12-27T00:00:00"/>
    <x v="5"/>
    <x v="2"/>
    <x v="2"/>
    <x v="0"/>
    <n v="430"/>
    <n v="404"/>
    <n v="18"/>
    <n v="386"/>
    <n v="29"/>
    <n v="6.0416666666666667E-2"/>
    <n v="100"/>
    <n v="30800"/>
    <n v="38600"/>
    <n v="7800"/>
    <n v="0.93953488372093019"/>
    <n v="4.4554455445544552E-2"/>
    <n v="0.20207253886010362"/>
    <n v="79.792746113989637"/>
    <n v="451"/>
    <n v="0.89578713968957868"/>
    <n v="20.207253886010363"/>
    <n v="0.85587583148558755"/>
  </r>
  <r>
    <d v="2026-12-28T00:00:00"/>
    <x v="5"/>
    <x v="0"/>
    <x v="0"/>
    <x v="0"/>
    <n v="450"/>
    <n v="425"/>
    <n v="18"/>
    <n v="407"/>
    <n v="33"/>
    <n v="6.8750000000000006E-2"/>
    <n v="100"/>
    <n v="30800"/>
    <n v="40700"/>
    <n v="9900"/>
    <n v="0.94444444444444442"/>
    <n v="4.2352941176470586E-2"/>
    <n v="0.24324324324324326"/>
    <n v="75.675675675675677"/>
    <n v="447"/>
    <n v="0.95078299776286357"/>
    <n v="24.324324324324323"/>
    <n v="0.91051454138702459"/>
  </r>
  <r>
    <d v="2026-12-28T00:00:00"/>
    <x v="5"/>
    <x v="0"/>
    <x v="1"/>
    <x v="1"/>
    <n v="400"/>
    <n v="383"/>
    <n v="13"/>
    <n v="370"/>
    <n v="49"/>
    <n v="0.10208333333333333"/>
    <n v="120"/>
    <n v="30800"/>
    <n v="44400"/>
    <n v="13600"/>
    <n v="0.95750000000000002"/>
    <n v="3.3942558746736295E-2"/>
    <n v="0.30630630630630629"/>
    <n v="83.243243243243242"/>
    <n v="431"/>
    <n v="0.88863109048723898"/>
    <n v="36.756756756756758"/>
    <n v="0.85846867749419953"/>
  </r>
  <r>
    <d v="2026-12-28T00:00:00"/>
    <x v="5"/>
    <x v="0"/>
    <x v="2"/>
    <x v="2"/>
    <n v="500"/>
    <n v="456"/>
    <n v="20"/>
    <n v="436"/>
    <n v="40"/>
    <n v="8.3333333333333329E-2"/>
    <n v="90"/>
    <n v="30800"/>
    <n v="39240"/>
    <n v="8440"/>
    <n v="0.91200000000000003"/>
    <n v="4.3859649122807015E-2"/>
    <n v="0.21508664627930682"/>
    <n v="70.642201834862391"/>
    <n v="440"/>
    <n v="1.0363636363636364"/>
    <n v="19.357798165137616"/>
    <n v="0.99090909090909096"/>
  </r>
  <r>
    <d v="2026-12-28T00:00:00"/>
    <x v="5"/>
    <x v="1"/>
    <x v="0"/>
    <x v="1"/>
    <n v="410"/>
    <n v="367"/>
    <n v="19"/>
    <n v="348"/>
    <n v="57"/>
    <n v="0.11874999999999999"/>
    <n v="120"/>
    <n v="30800"/>
    <n v="41760"/>
    <n v="10960"/>
    <n v="0.89512195121951221"/>
    <n v="5.1771117166212535E-2"/>
    <n v="0.26245210727969348"/>
    <n v="88.505747126436788"/>
    <n v="423"/>
    <n v="0.86761229314420807"/>
    <n v="31.494252873563219"/>
    <n v="0.82269503546099287"/>
  </r>
  <r>
    <d v="2026-12-28T00:00:00"/>
    <x v="5"/>
    <x v="1"/>
    <x v="1"/>
    <x v="2"/>
    <n v="500"/>
    <n v="439"/>
    <n v="23"/>
    <n v="416"/>
    <n v="55"/>
    <n v="0.11458333333333333"/>
    <n v="90"/>
    <n v="30800"/>
    <n v="37440"/>
    <n v="6640"/>
    <n v="0.878"/>
    <n v="5.2391799544419138E-2"/>
    <n v="0.17735042735042736"/>
    <n v="74.038461538461533"/>
    <n v="425"/>
    <n v="1.0329411764705883"/>
    <n v="15.961538461538462"/>
    <n v="0.97882352941176476"/>
  </r>
  <r>
    <d v="2026-12-28T00:00:00"/>
    <x v="5"/>
    <x v="1"/>
    <x v="2"/>
    <x v="0"/>
    <n v="470"/>
    <n v="417"/>
    <n v="33"/>
    <n v="384"/>
    <n v="74"/>
    <n v="0.15416666666666667"/>
    <n v="100"/>
    <n v="30800"/>
    <n v="38400"/>
    <n v="7600"/>
    <n v="0.88723404255319149"/>
    <n v="7.9136690647482008E-2"/>
    <n v="0.19791666666666666"/>
    <n v="80.208333333333329"/>
    <n v="406"/>
    <n v="1.0270935960591132"/>
    <n v="19.791666666666668"/>
    <n v="0.94581280788177335"/>
  </r>
  <r>
    <d v="2026-12-28T00:00:00"/>
    <x v="5"/>
    <x v="2"/>
    <x v="0"/>
    <x v="2"/>
    <n v="510"/>
    <n v="503"/>
    <n v="14"/>
    <n v="489"/>
    <n v="29"/>
    <n v="6.0416666666666667E-2"/>
    <n v="90"/>
    <n v="30800"/>
    <n v="44010"/>
    <n v="13210"/>
    <n v="0.98627450980392162"/>
    <n v="2.7833001988071572E-2"/>
    <n v="0.30015905476028176"/>
    <n v="62.985685071574643"/>
    <n v="451"/>
    <n v="1.1152993348115299"/>
    <n v="27.014314928425357"/>
    <n v="1.0842572062084257"/>
  </r>
  <r>
    <d v="2026-12-28T00:00:00"/>
    <x v="5"/>
    <x v="2"/>
    <x v="1"/>
    <x v="0"/>
    <n v="450"/>
    <n v="424"/>
    <n v="19"/>
    <n v="405"/>
    <n v="28"/>
    <n v="5.8333333333333334E-2"/>
    <n v="100"/>
    <n v="30800"/>
    <n v="40500"/>
    <n v="9700"/>
    <n v="0.94222222222222218"/>
    <n v="4.4811320754716978E-2"/>
    <n v="0.23950617283950618"/>
    <n v="76.049382716049379"/>
    <n v="452"/>
    <n v="0.93805309734513276"/>
    <n v="23.950617283950617"/>
    <n v="0.89601769911504425"/>
  </r>
  <r>
    <d v="2026-12-28T00:00:00"/>
    <x v="5"/>
    <x v="2"/>
    <x v="2"/>
    <x v="1"/>
    <n v="400"/>
    <n v="380"/>
    <n v="16"/>
    <n v="364"/>
    <n v="39"/>
    <n v="8.1250000000000003E-2"/>
    <n v="120"/>
    <n v="30800"/>
    <n v="43680"/>
    <n v="12880"/>
    <n v="0.95"/>
    <n v="4.2105263157894736E-2"/>
    <n v="0.29487179487179488"/>
    <n v="84.615384615384613"/>
    <n v="441"/>
    <n v="0.86167800453514742"/>
    <n v="35.384615384615387"/>
    <n v="0.82539682539682535"/>
  </r>
  <r>
    <d v="2026-12-29T00:00:00"/>
    <x v="5"/>
    <x v="0"/>
    <x v="0"/>
    <x v="1"/>
    <n v="410"/>
    <n v="391"/>
    <n v="8"/>
    <n v="383"/>
    <n v="39"/>
    <n v="8.1250000000000003E-2"/>
    <n v="120"/>
    <n v="30800"/>
    <n v="45960"/>
    <n v="15160"/>
    <n v="0.95365853658536581"/>
    <n v="2.0460358056265986E-2"/>
    <n v="0.329852045256745"/>
    <n v="80.417754569190606"/>
    <n v="441"/>
    <n v="0.88662131519274379"/>
    <n v="39.582245430809401"/>
    <n v="0.86848072562358281"/>
  </r>
  <r>
    <d v="2026-12-29T00:00:00"/>
    <x v="5"/>
    <x v="0"/>
    <x v="1"/>
    <x v="2"/>
    <n v="490"/>
    <n v="448"/>
    <n v="19"/>
    <n v="429"/>
    <n v="27"/>
    <n v="5.6250000000000001E-2"/>
    <n v="90"/>
    <n v="30800"/>
    <n v="38610"/>
    <n v="7810"/>
    <n v="0.91428571428571426"/>
    <n v="4.2410714285714288E-2"/>
    <n v="0.20227920227920229"/>
    <n v="71.794871794871796"/>
    <n v="453"/>
    <n v="0.98896247240618107"/>
    <n v="18.205128205128204"/>
    <n v="0.94701986754966883"/>
  </r>
  <r>
    <d v="2026-12-29T00:00:00"/>
    <x v="5"/>
    <x v="0"/>
    <x v="2"/>
    <x v="0"/>
    <n v="450"/>
    <n v="419"/>
    <n v="25"/>
    <n v="394"/>
    <n v="48"/>
    <n v="0.1"/>
    <n v="100"/>
    <n v="30800"/>
    <n v="39400"/>
    <n v="8600"/>
    <n v="0.93111111111111111"/>
    <n v="5.9665871121718374E-2"/>
    <n v="0.21827411167512689"/>
    <n v="78.172588832487307"/>
    <n v="432"/>
    <n v="0.96990740740740744"/>
    <n v="21.82741116751269"/>
    <n v="0.91203703703703709"/>
  </r>
  <r>
    <d v="2026-12-29T00:00:00"/>
    <x v="5"/>
    <x v="1"/>
    <x v="0"/>
    <x v="2"/>
    <n v="480"/>
    <n v="444"/>
    <n v="19"/>
    <n v="425"/>
    <n v="44"/>
    <n v="9.166666666666666E-2"/>
    <n v="90"/>
    <n v="30800"/>
    <n v="38250"/>
    <n v="7450"/>
    <n v="0.92500000000000004"/>
    <n v="4.2792792792792793E-2"/>
    <n v="0.19477124183006536"/>
    <n v="72.470588235294116"/>
    <n v="436"/>
    <n v="1.0183486238532109"/>
    <n v="17.529411764705884"/>
    <n v="0.97477064220183485"/>
  </r>
  <r>
    <d v="2026-12-29T00:00:00"/>
    <x v="5"/>
    <x v="1"/>
    <x v="1"/>
    <x v="0"/>
    <n v="450"/>
    <n v="412"/>
    <n v="26"/>
    <n v="386"/>
    <n v="56"/>
    <n v="0.11666666666666667"/>
    <n v="100"/>
    <n v="30800"/>
    <n v="38600"/>
    <n v="7800"/>
    <n v="0.91555555555555557"/>
    <n v="6.3106796116504854E-2"/>
    <n v="0.20207253886010362"/>
    <n v="79.792746113989637"/>
    <n v="424"/>
    <n v="0.97169811320754718"/>
    <n v="20.207253886010363"/>
    <n v="0.910377358490566"/>
  </r>
  <r>
    <d v="2026-12-29T00:00:00"/>
    <x v="5"/>
    <x v="1"/>
    <x v="2"/>
    <x v="1"/>
    <n v="390"/>
    <n v="327"/>
    <n v="18"/>
    <n v="309"/>
    <n v="53"/>
    <n v="0.11041666666666666"/>
    <n v="120"/>
    <n v="30800"/>
    <n v="37080"/>
    <n v="6280"/>
    <n v="0.83846153846153848"/>
    <n v="5.5045871559633031E-2"/>
    <n v="0.16936353829557713"/>
    <n v="99.676375404530745"/>
    <n v="427"/>
    <n v="0.76580796252927397"/>
    <n v="20.323624595469255"/>
    <n v="0.72365339578454335"/>
  </r>
  <r>
    <d v="2026-12-29T00:00:00"/>
    <x v="5"/>
    <x v="2"/>
    <x v="0"/>
    <x v="0"/>
    <n v="440"/>
    <n v="418"/>
    <n v="15"/>
    <n v="403"/>
    <n v="28"/>
    <n v="5.8333333333333334E-2"/>
    <n v="100"/>
    <n v="30800"/>
    <n v="40300"/>
    <n v="9500"/>
    <n v="0.95"/>
    <n v="3.5885167464114832E-2"/>
    <n v="0.23573200992555832"/>
    <n v="76.426799007444174"/>
    <n v="452"/>
    <n v="0.9247787610619469"/>
    <n v="23.573200992555833"/>
    <n v="0.8915929203539823"/>
  </r>
  <r>
    <d v="2026-12-29T00:00:00"/>
    <x v="5"/>
    <x v="2"/>
    <x v="1"/>
    <x v="1"/>
    <n v="390"/>
    <n v="379"/>
    <n v="9"/>
    <n v="370"/>
    <n v="17"/>
    <n v="3.5416666666666666E-2"/>
    <n v="120"/>
    <n v="30800"/>
    <n v="44400"/>
    <n v="13600"/>
    <n v="0.97179487179487178"/>
    <n v="2.3746701846965697E-2"/>
    <n v="0.30630630630630629"/>
    <n v="83.243243243243242"/>
    <n v="463"/>
    <n v="0.81857451403887693"/>
    <n v="36.756756756756758"/>
    <n v="0.79913606911447088"/>
  </r>
  <r>
    <d v="2026-12-29T00:00:00"/>
    <x v="5"/>
    <x v="2"/>
    <x v="2"/>
    <x v="2"/>
    <n v="490"/>
    <n v="446"/>
    <n v="15"/>
    <n v="431"/>
    <n v="28"/>
    <n v="5.8333333333333334E-2"/>
    <n v="90"/>
    <n v="30800"/>
    <n v="38790"/>
    <n v="7990"/>
    <n v="0.91020408163265309"/>
    <n v="3.3632286995515695E-2"/>
    <n v="0.20598092291827791"/>
    <n v="71.461716937354993"/>
    <n v="452"/>
    <n v="0.98672566371681414"/>
    <n v="18.538283062645011"/>
    <n v="0.95353982300884954"/>
  </r>
  <r>
    <d v="2026-12-30T00:00:00"/>
    <x v="5"/>
    <x v="0"/>
    <x v="0"/>
    <x v="2"/>
    <n v="500"/>
    <n v="486"/>
    <n v="13"/>
    <n v="473"/>
    <n v="19"/>
    <n v="3.9583333333333331E-2"/>
    <n v="90"/>
    <n v="30800"/>
    <n v="42570"/>
    <n v="11770"/>
    <n v="0.97199999999999998"/>
    <n v="2.6748971193415638E-2"/>
    <n v="0.27648578811369506"/>
    <n v="65.116279069767444"/>
    <n v="461"/>
    <n v="1.054229934924078"/>
    <n v="24.88372093023256"/>
    <n v="1.0260303687635575"/>
  </r>
  <r>
    <d v="2026-12-30T00:00:00"/>
    <x v="5"/>
    <x v="0"/>
    <x v="1"/>
    <x v="0"/>
    <n v="460"/>
    <n v="436"/>
    <n v="21"/>
    <n v="415"/>
    <n v="54"/>
    <n v="0.1125"/>
    <n v="100"/>
    <n v="30800"/>
    <n v="41500"/>
    <n v="10700"/>
    <n v="0.94782608695652171"/>
    <n v="4.8165137614678902E-2"/>
    <n v="0.25783132530120484"/>
    <n v="74.216867469879517"/>
    <n v="426"/>
    <n v="1.0234741784037558"/>
    <n v="25.783132530120483"/>
    <n v="0.9741784037558685"/>
  </r>
  <r>
    <d v="2026-12-30T00:00:00"/>
    <x v="5"/>
    <x v="0"/>
    <x v="2"/>
    <x v="1"/>
    <n v="400"/>
    <n v="356"/>
    <n v="12"/>
    <n v="344"/>
    <n v="45"/>
    <n v="9.375E-2"/>
    <n v="120"/>
    <n v="30800"/>
    <n v="41280"/>
    <n v="10480"/>
    <n v="0.89"/>
    <n v="3.3707865168539325E-2"/>
    <n v="0.25387596899224807"/>
    <n v="89.534883720930239"/>
    <n v="435"/>
    <n v="0.81839080459770119"/>
    <n v="30.465116279069768"/>
    <n v="0.79080459770114941"/>
  </r>
  <r>
    <d v="2026-12-30T00:00:00"/>
    <x v="5"/>
    <x v="1"/>
    <x v="0"/>
    <x v="0"/>
    <n v="450"/>
    <n v="406"/>
    <n v="25"/>
    <n v="381"/>
    <n v="48"/>
    <n v="0.1"/>
    <n v="100"/>
    <n v="30800"/>
    <n v="38100"/>
    <n v="7300"/>
    <n v="0.90222222222222226"/>
    <n v="6.1576354679802957E-2"/>
    <n v="0.19160104986876642"/>
    <n v="80.839895013123353"/>
    <n v="432"/>
    <n v="0.93981481481481477"/>
    <n v="19.16010498687664"/>
    <n v="0.88194444444444442"/>
  </r>
  <r>
    <d v="2026-12-30T00:00:00"/>
    <x v="5"/>
    <x v="1"/>
    <x v="1"/>
    <x v="1"/>
    <n v="390"/>
    <n v="359"/>
    <n v="19"/>
    <n v="340"/>
    <n v="50"/>
    <n v="0.10416666666666667"/>
    <n v="120"/>
    <n v="30800"/>
    <n v="40800"/>
    <n v="10000"/>
    <n v="0.92051282051282046"/>
    <n v="5.2924791086350974E-2"/>
    <n v="0.24509803921568626"/>
    <n v="90.588235294117652"/>
    <n v="430"/>
    <n v="0.83488372093023255"/>
    <n v="29.411764705882351"/>
    <n v="0.79069767441860461"/>
  </r>
  <r>
    <d v="2026-12-30T00:00:00"/>
    <x v="5"/>
    <x v="1"/>
    <x v="2"/>
    <x v="2"/>
    <n v="510"/>
    <n v="429"/>
    <n v="27"/>
    <n v="402"/>
    <n v="58"/>
    <n v="0.12083333333333333"/>
    <n v="90"/>
    <n v="30800"/>
    <n v="36180"/>
    <n v="5380"/>
    <n v="0.8411764705882353"/>
    <n v="6.2937062937062943E-2"/>
    <n v="0.14870093974571585"/>
    <n v="76.616915422885569"/>
    <n v="422"/>
    <n v="1.0165876777251184"/>
    <n v="13.383084577114428"/>
    <n v="0.95260663507109"/>
  </r>
  <r>
    <d v="2026-12-30T00:00:00"/>
    <x v="5"/>
    <x v="2"/>
    <x v="0"/>
    <x v="1"/>
    <n v="410"/>
    <n v="399"/>
    <n v="11"/>
    <n v="388"/>
    <n v="14"/>
    <n v="2.9166666666666667E-2"/>
    <n v="120"/>
    <n v="30800"/>
    <n v="46560"/>
    <n v="15760"/>
    <n v="0.97317073170731705"/>
    <n v="2.7568922305764409E-2"/>
    <n v="0.33848797250859108"/>
    <n v="79.381443298969074"/>
    <n v="466"/>
    <n v="0.85622317596566522"/>
    <n v="40.618556701030926"/>
    <n v="0.83261802575107291"/>
  </r>
  <r>
    <d v="2026-12-30T00:00:00"/>
    <x v="5"/>
    <x v="2"/>
    <x v="1"/>
    <x v="2"/>
    <n v="500"/>
    <n v="471"/>
    <n v="13"/>
    <n v="458"/>
    <n v="25"/>
    <n v="5.2083333333333336E-2"/>
    <n v="90"/>
    <n v="30800"/>
    <n v="41220"/>
    <n v="10420"/>
    <n v="0.94199999999999995"/>
    <n v="2.7600849256900213E-2"/>
    <n v="0.25278990781174188"/>
    <n v="67.248908296943227"/>
    <n v="455"/>
    <n v="1.0351648351648353"/>
    <n v="22.751091703056769"/>
    <n v="1.0065934065934066"/>
  </r>
  <r>
    <d v="2026-12-30T00:00:00"/>
    <x v="5"/>
    <x v="2"/>
    <x v="2"/>
    <x v="0"/>
    <n v="450"/>
    <n v="406"/>
    <n v="20"/>
    <n v="386"/>
    <n v="47"/>
    <n v="9.7916666666666666E-2"/>
    <n v="100"/>
    <n v="30800"/>
    <n v="38600"/>
    <n v="7800"/>
    <n v="0.90222222222222226"/>
    <n v="4.9261083743842367E-2"/>
    <n v="0.20207253886010362"/>
    <n v="79.792746113989637"/>
    <n v="433"/>
    <n v="0.93764434180138567"/>
    <n v="20.207253886010363"/>
    <n v="0.89145496535796764"/>
  </r>
  <r>
    <d v="2026-12-31T00:00:00"/>
    <x v="5"/>
    <x v="0"/>
    <x v="0"/>
    <x v="0"/>
    <n v="460"/>
    <n v="429"/>
    <n v="16"/>
    <n v="413"/>
    <n v="38"/>
    <n v="7.9166666666666663E-2"/>
    <n v="100"/>
    <n v="30800"/>
    <n v="41300"/>
    <n v="10500"/>
    <n v="0.93260869565217386"/>
    <n v="3.7296037296037296E-2"/>
    <n v="0.25423728813559321"/>
    <n v="74.576271186440678"/>
    <n v="442"/>
    <n v="0.97058823529411764"/>
    <n v="25.423728813559322"/>
    <n v="0.93438914027149322"/>
  </r>
  <r>
    <d v="2026-12-31T00:00:00"/>
    <x v="5"/>
    <x v="0"/>
    <x v="1"/>
    <x v="1"/>
    <n v="400"/>
    <n v="385"/>
    <n v="12"/>
    <n v="373"/>
    <n v="36"/>
    <n v="7.4999999999999997E-2"/>
    <n v="120"/>
    <n v="30800"/>
    <n v="44760"/>
    <n v="13960"/>
    <n v="0.96250000000000002"/>
    <n v="3.1168831168831169E-2"/>
    <n v="0.31188561215370869"/>
    <n v="82.573726541554961"/>
    <n v="444"/>
    <n v="0.86711711711711714"/>
    <n v="37.426273458445039"/>
    <n v="0.84009009009009006"/>
  </r>
  <r>
    <d v="2026-12-31T00:00:00"/>
    <x v="5"/>
    <x v="0"/>
    <x v="2"/>
    <x v="2"/>
    <n v="490"/>
    <n v="457"/>
    <n v="19"/>
    <n v="438"/>
    <n v="31"/>
    <n v="6.458333333333334E-2"/>
    <n v="90"/>
    <n v="30800"/>
    <n v="39420"/>
    <n v="8620"/>
    <n v="0.93265306122448977"/>
    <n v="4.1575492341356671E-2"/>
    <n v="0.21867072552004058"/>
    <n v="70.319634703196343"/>
    <n v="449"/>
    <n v="1.0178173719376391"/>
    <n v="19.680365296803654"/>
    <n v="0.97550111358574609"/>
  </r>
  <r>
    <d v="2026-12-31T00:00:00"/>
    <x v="5"/>
    <x v="1"/>
    <x v="0"/>
    <x v="1"/>
    <n v="400"/>
    <n v="356"/>
    <n v="16"/>
    <n v="340"/>
    <n v="39"/>
    <n v="8.1250000000000003E-2"/>
    <n v="120"/>
    <n v="30800"/>
    <n v="40800"/>
    <n v="10000"/>
    <n v="0.89"/>
    <n v="4.49438202247191E-2"/>
    <n v="0.24509803921568626"/>
    <n v="90.588235294117652"/>
    <n v="441"/>
    <n v="0.80725623582766437"/>
    <n v="29.411764705882351"/>
    <n v="0.77097505668934241"/>
  </r>
  <r>
    <d v="2026-12-31T00:00:00"/>
    <x v="5"/>
    <x v="1"/>
    <x v="1"/>
    <x v="2"/>
    <n v="510"/>
    <n v="470"/>
    <n v="29"/>
    <n v="441"/>
    <n v="44"/>
    <n v="9.166666666666666E-2"/>
    <n v="90"/>
    <n v="30800"/>
    <n v="39690"/>
    <n v="8890"/>
    <n v="0.92156862745098034"/>
    <n v="6.1702127659574467E-2"/>
    <n v="0.22398589065255731"/>
    <n v="69.841269841269835"/>
    <n v="436"/>
    <n v="1.0779816513761469"/>
    <n v="20.158730158730158"/>
    <n v="1.011467889908257"/>
  </r>
  <r>
    <d v="2026-12-31T00:00:00"/>
    <x v="5"/>
    <x v="1"/>
    <x v="2"/>
    <x v="0"/>
    <n v="450"/>
    <n v="396"/>
    <n v="32"/>
    <n v="364"/>
    <n v="64"/>
    <n v="0.13333333333333333"/>
    <n v="100"/>
    <n v="30800"/>
    <n v="36400"/>
    <n v="5600"/>
    <n v="0.88"/>
    <n v="8.0808080808080815E-2"/>
    <n v="0.15384615384615385"/>
    <n v="84.615384615384613"/>
    <n v="416"/>
    <n v="0.95192307692307687"/>
    <n v="15.384615384615385"/>
    <n v="0.875"/>
  </r>
  <r>
    <d v="2026-12-31T00:00:00"/>
    <x v="5"/>
    <x v="2"/>
    <x v="0"/>
    <x v="2"/>
    <n v="490"/>
    <n v="484"/>
    <n v="12"/>
    <n v="472"/>
    <n v="12"/>
    <n v="2.5000000000000001E-2"/>
    <n v="90"/>
    <n v="30800"/>
    <n v="42480"/>
    <n v="11680"/>
    <n v="0.98775510204081629"/>
    <n v="2.4793388429752067E-2"/>
    <n v="0.27495291902071561"/>
    <n v="65.254237288135599"/>
    <n v="468"/>
    <n v="1.0341880341880343"/>
    <n v="24.745762711864408"/>
    <n v="1.0085470085470085"/>
  </r>
  <r>
    <d v="2026-12-31T00:00:00"/>
    <x v="5"/>
    <x v="2"/>
    <x v="1"/>
    <x v="0"/>
    <n v="470"/>
    <n v="448"/>
    <n v="19"/>
    <n v="429"/>
    <n v="41"/>
    <n v="8.5416666666666669E-2"/>
    <n v="100"/>
    <n v="30800"/>
    <n v="42900"/>
    <n v="12100"/>
    <n v="0.95319148936170217"/>
    <n v="4.2410714285714288E-2"/>
    <n v="0.28205128205128205"/>
    <n v="71.794871794871796"/>
    <n v="439"/>
    <n v="1.0205011389521641"/>
    <n v="28.205128205128204"/>
    <n v="0.97722095671981779"/>
  </r>
  <r>
    <d v="2026-12-31T00:00:00"/>
    <x v="5"/>
    <x v="2"/>
    <x v="2"/>
    <x v="1"/>
    <n v="380"/>
    <n v="358"/>
    <n v="13"/>
    <n v="345"/>
    <n v="23"/>
    <n v="4.791666666666667E-2"/>
    <n v="120"/>
    <n v="30800"/>
    <n v="41400"/>
    <n v="10600"/>
    <n v="0.94210526315789478"/>
    <n v="3.6312849162011177E-2"/>
    <n v="0.2560386473429952"/>
    <n v="89.275362318840578"/>
    <n v="457"/>
    <n v="0.78336980306345738"/>
    <n v="30.724637681159422"/>
    <n v="0.754923413566739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D2770A-1B44-40FD-9033-C8D263A0BA9F}"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1:B5" firstHeaderRow="1" firstDataRow="1" firstDataCol="1"/>
  <pivotFields count="23">
    <pivotField numFmtId="164" showAll="0"/>
    <pivotField showAll="0"/>
    <pivotField axis="axisRow" showAll="0">
      <items count="4">
        <item x="0"/>
        <item x="1"/>
        <item x="2"/>
        <item t="default"/>
      </items>
    </pivotField>
    <pivotField showAll="0"/>
    <pivotField showAll="0"/>
    <pivotField numFmtId="1" showAll="0"/>
    <pivotField numFmtId="1" showAll="0"/>
    <pivotField numFmtId="1" showAll="0"/>
    <pivotField numFmtId="1" showAll="0"/>
    <pivotField numFmtId="1" showAll="0"/>
    <pivotField numFmtId="10" showAll="0"/>
    <pivotField numFmtId="3" showAll="0"/>
    <pivotField numFmtId="3" showAll="0"/>
    <pivotField numFmtId="3" showAll="0"/>
    <pivotField numFmtId="3" showAll="0"/>
    <pivotField dataField="1" numFmtId="10" showAll="0"/>
    <pivotField numFmtId="10" showAll="0"/>
    <pivotField numFmtId="10" showAll="0"/>
    <pivotField numFmtId="2" showAll="0"/>
    <pivotField showAll="0"/>
    <pivotField numFmtId="2" showAll="0"/>
    <pivotField numFmtId="166" showAll="0"/>
    <pivotField numFmtId="2" showAll="0"/>
  </pivotFields>
  <rowFields count="1">
    <field x="2"/>
  </rowFields>
  <rowItems count="4">
    <i>
      <x/>
    </i>
    <i>
      <x v="1"/>
    </i>
    <i>
      <x v="2"/>
    </i>
    <i t="grand">
      <x/>
    </i>
  </rowItems>
  <colItems count="1">
    <i/>
  </colItems>
  <dataFields count="1">
    <dataField name="Average of Production Efficiency" fld="15" subtotal="average" baseField="2" baseItem="0"/>
  </dataFields>
  <formats count="3">
    <format dxfId="48">
      <pivotArea collapsedLevelsAreSubtotals="1" fieldPosition="0">
        <references count="1">
          <reference field="2" count="1">
            <x v="0"/>
          </reference>
        </references>
      </pivotArea>
    </format>
    <format dxfId="47">
      <pivotArea collapsedLevelsAreSubtotals="1" fieldPosition="0">
        <references count="1">
          <reference field="2" count="2">
            <x v="1"/>
            <x v="2"/>
          </reference>
        </references>
      </pivotArea>
    </format>
    <format dxfId="46">
      <pivotArea grandRow="1" outline="0" collapsedLevelsAreSubtotals="1" fieldPosition="0"/>
    </format>
  </formats>
  <chartFormats count="1">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AA272A-1035-4A42-B87E-01C95D9E5FC5}"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rowHeaderCaption="Line">
  <location ref="A1:B5" firstHeaderRow="1" firstDataRow="1" firstDataCol="1"/>
  <pivotFields count="23">
    <pivotField numFmtId="164" showAll="0"/>
    <pivotField showAll="0"/>
    <pivotField axis="axisRow" showAll="0">
      <items count="4">
        <item x="0"/>
        <item x="1"/>
        <item x="2"/>
        <item t="default"/>
      </items>
    </pivotField>
    <pivotField showAll="0"/>
    <pivotField showAll="0"/>
    <pivotField numFmtId="1" showAll="0"/>
    <pivotField numFmtId="1" showAll="0"/>
    <pivotField numFmtId="1" showAll="0"/>
    <pivotField numFmtId="1" showAll="0"/>
    <pivotField dataField="1" numFmtId="1" showAll="0"/>
    <pivotField numFmtId="10" showAll="0"/>
    <pivotField numFmtId="3" showAll="0"/>
    <pivotField numFmtId="3" showAll="0"/>
    <pivotField numFmtId="3" showAll="0"/>
    <pivotField numFmtId="3" showAll="0"/>
    <pivotField numFmtId="10" showAll="0"/>
    <pivotField numFmtId="10" showAll="0"/>
    <pivotField numFmtId="10" showAll="0"/>
    <pivotField numFmtId="2" showAll="0"/>
    <pivotField showAll="0"/>
    <pivotField numFmtId="2" showAll="0"/>
    <pivotField numFmtId="166" showAll="0"/>
    <pivotField numFmtId="2" showAll="0"/>
  </pivotFields>
  <rowFields count="1">
    <field x="2"/>
  </rowFields>
  <rowItems count="4">
    <i>
      <x/>
    </i>
    <i>
      <x v="1"/>
    </i>
    <i>
      <x v="2"/>
    </i>
    <i t="grand">
      <x/>
    </i>
  </rowItems>
  <colItems count="1">
    <i/>
  </colItems>
  <dataFields count="1">
    <dataField name="Average of Downtime Minutes" fld="9" subtotal="average" baseField="2" baseItem="0" numFmtId="2"/>
  </dataFields>
  <formats count="2">
    <format dxfId="45">
      <pivotArea collapsedLevelsAreSubtotals="1" fieldPosition="0">
        <references count="1">
          <reference field="2" count="1">
            <x v="0"/>
          </reference>
        </references>
      </pivotArea>
    </format>
    <format dxfId="44">
      <pivotArea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5A1F0C-2D11-4FD4-8824-1FC62FA9FC6B}"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Product Type">
  <location ref="A1:B5" firstHeaderRow="1" firstDataRow="1" firstDataCol="1"/>
  <pivotFields count="23">
    <pivotField numFmtId="164" showAll="0"/>
    <pivotField showAll="0"/>
    <pivotField showAll="0"/>
    <pivotField showAll="0"/>
    <pivotField axis="axisRow" showAll="0">
      <items count="4">
        <item x="2"/>
        <item x="0"/>
        <item x="1"/>
        <item t="default"/>
      </items>
    </pivotField>
    <pivotField numFmtId="1" showAll="0"/>
    <pivotField numFmtId="1" showAll="0"/>
    <pivotField numFmtId="1" showAll="0"/>
    <pivotField numFmtId="1" showAll="0"/>
    <pivotField numFmtId="1" showAll="0"/>
    <pivotField numFmtId="10" showAll="0"/>
    <pivotField numFmtId="3" showAll="0"/>
    <pivotField numFmtId="3" showAll="0"/>
    <pivotField numFmtId="3" showAll="0"/>
    <pivotField numFmtId="3" showAll="0"/>
    <pivotField numFmtId="10" showAll="0"/>
    <pivotField dataField="1" numFmtId="10" showAll="0"/>
    <pivotField numFmtId="10" showAll="0"/>
    <pivotField numFmtId="2" showAll="0"/>
    <pivotField showAll="0"/>
    <pivotField numFmtId="2" showAll="0"/>
    <pivotField numFmtId="166" showAll="0"/>
    <pivotField numFmtId="2" showAll="0"/>
  </pivotFields>
  <rowFields count="1">
    <field x="4"/>
  </rowFields>
  <rowItems count="4">
    <i>
      <x/>
    </i>
    <i>
      <x v="1"/>
    </i>
    <i>
      <x v="2"/>
    </i>
    <i t="grand">
      <x/>
    </i>
  </rowItems>
  <colItems count="1">
    <i/>
  </colItems>
  <dataFields count="1">
    <dataField name="Average of Defect Rate" fld="16" subtotal="average" baseField="4" baseItem="0" numFmtId="10"/>
  </dataFields>
  <formats count="1">
    <format dxfId="43">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C6AC22-1C44-473B-8149-36F284A33D55}"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 Type">
  <location ref="A1:B5" firstHeaderRow="1" firstDataRow="1" firstDataCol="1"/>
  <pivotFields count="23">
    <pivotField numFmtId="164" showAll="0"/>
    <pivotField showAll="0"/>
    <pivotField showAll="0"/>
    <pivotField showAll="0"/>
    <pivotField axis="axisRow" showAll="0">
      <items count="4">
        <item x="2"/>
        <item x="0"/>
        <item x="1"/>
        <item t="default"/>
      </items>
    </pivotField>
    <pivotField numFmtId="1" showAll="0"/>
    <pivotField numFmtId="1" showAll="0"/>
    <pivotField numFmtId="1" showAll="0"/>
    <pivotField numFmtId="1" showAll="0"/>
    <pivotField numFmtId="1" showAll="0"/>
    <pivotField numFmtId="10" showAll="0"/>
    <pivotField numFmtId="3" showAll="0"/>
    <pivotField numFmtId="3" showAll="0"/>
    <pivotField numFmtId="3" showAll="0"/>
    <pivotField dataField="1" numFmtId="3" showAll="0"/>
    <pivotField numFmtId="10" showAll="0"/>
    <pivotField numFmtId="10" showAll="0"/>
    <pivotField numFmtId="10" showAll="0"/>
    <pivotField numFmtId="2" showAll="0"/>
    <pivotField showAll="0"/>
    <pivotField numFmtId="2" showAll="0"/>
    <pivotField numFmtId="166" showAll="0"/>
    <pivotField numFmtId="2" showAll="0"/>
  </pivotFields>
  <rowFields count="1">
    <field x="4"/>
  </rowFields>
  <rowItems count="4">
    <i>
      <x/>
    </i>
    <i>
      <x v="1"/>
    </i>
    <i>
      <x v="2"/>
    </i>
    <i t="grand">
      <x/>
    </i>
  </rowItems>
  <colItems count="1">
    <i/>
  </colItems>
  <dataFields count="1">
    <dataField name="Sum of Profit" fld="1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B69469-6FC0-40EE-90EA-B4D70CD57D7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Line">
  <location ref="A1:B5" firstHeaderRow="1" firstDataRow="1" firstDataCol="1"/>
  <pivotFields count="23">
    <pivotField numFmtId="164" showAll="0"/>
    <pivotField showAll="0"/>
    <pivotField axis="axisRow" showAll="0">
      <items count="4">
        <item x="0"/>
        <item x="1"/>
        <item x="2"/>
        <item t="default"/>
      </items>
    </pivotField>
    <pivotField showAll="0"/>
    <pivotField showAll="0"/>
    <pivotField numFmtId="1" showAll="0"/>
    <pivotField numFmtId="1" showAll="0"/>
    <pivotField numFmtId="1" showAll="0"/>
    <pivotField numFmtId="1" showAll="0"/>
    <pivotField numFmtId="1" showAll="0"/>
    <pivotField numFmtId="10" showAll="0"/>
    <pivotField numFmtId="3" showAll="0"/>
    <pivotField numFmtId="3" showAll="0"/>
    <pivotField numFmtId="3" showAll="0"/>
    <pivotField dataField="1" numFmtId="3" showAll="0"/>
    <pivotField numFmtId="10" showAll="0"/>
    <pivotField numFmtId="10" showAll="0"/>
    <pivotField numFmtId="10" showAll="0"/>
    <pivotField numFmtId="2" showAll="0"/>
    <pivotField showAll="0"/>
    <pivotField numFmtId="2" showAll="0"/>
    <pivotField numFmtId="166" showAll="0"/>
    <pivotField numFmtId="2" showAll="0"/>
  </pivotFields>
  <rowFields count="1">
    <field x="2"/>
  </rowFields>
  <rowItems count="4">
    <i>
      <x/>
    </i>
    <i>
      <x v="1"/>
    </i>
    <i>
      <x v="2"/>
    </i>
    <i t="grand">
      <x/>
    </i>
  </rowItems>
  <colItems count="1">
    <i/>
  </colItems>
  <dataFields count="1">
    <dataField name="Sum of Profit" fld="14" baseField="0"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90A32A-2A46-4CE0-BDE3-D194EC06BFFA}"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Shift">
  <location ref="A1:B5" firstHeaderRow="1" firstDataRow="1" firstDataCol="1"/>
  <pivotFields count="23">
    <pivotField numFmtId="164" showAll="0"/>
    <pivotField showAll="0"/>
    <pivotField showAll="0"/>
    <pivotField axis="axisRow" showAll="0">
      <items count="4">
        <item x="1"/>
        <item x="0"/>
        <item x="2"/>
        <item t="default"/>
      </items>
    </pivotField>
    <pivotField showAll="0"/>
    <pivotField numFmtId="1" showAll="0"/>
    <pivotField numFmtId="1" showAll="0"/>
    <pivotField numFmtId="1" showAll="0"/>
    <pivotField numFmtId="1" showAll="0"/>
    <pivotField numFmtId="1" showAll="0"/>
    <pivotField numFmtId="10" showAll="0"/>
    <pivotField numFmtId="3" showAll="0"/>
    <pivotField numFmtId="3" showAll="0"/>
    <pivotField numFmtId="3" showAll="0"/>
    <pivotField dataField="1" numFmtId="3" showAll="0"/>
    <pivotField numFmtId="10" showAll="0"/>
    <pivotField numFmtId="10" showAll="0"/>
    <pivotField numFmtId="10" showAll="0"/>
    <pivotField numFmtId="2" showAll="0"/>
    <pivotField showAll="0"/>
    <pivotField numFmtId="2" showAll="0"/>
    <pivotField numFmtId="166" showAll="0"/>
    <pivotField numFmtId="2" showAll="0"/>
  </pivotFields>
  <rowFields count="1">
    <field x="3"/>
  </rowFields>
  <rowItems count="4">
    <i>
      <x/>
    </i>
    <i>
      <x v="1"/>
    </i>
    <i>
      <x v="2"/>
    </i>
    <i t="grand">
      <x/>
    </i>
  </rowItems>
  <colItems count="1">
    <i/>
  </colItems>
  <dataFields count="1">
    <dataField name="Sum of Profit" fld="1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B5C3C1-BBD4-4C37-B65C-23434840CB7D}"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Shift">
  <location ref="A1:B5" firstHeaderRow="1" firstDataRow="1" firstDataCol="1"/>
  <pivotFields count="23">
    <pivotField numFmtId="164" showAll="0"/>
    <pivotField showAll="0"/>
    <pivotField showAll="0"/>
    <pivotField axis="axisRow" showAll="0">
      <items count="4">
        <item x="1"/>
        <item x="0"/>
        <item x="2"/>
        <item t="default"/>
      </items>
    </pivotField>
    <pivotField showAll="0"/>
    <pivotField numFmtId="1" showAll="0"/>
    <pivotField numFmtId="1" showAll="0"/>
    <pivotField numFmtId="1" showAll="0"/>
    <pivotField numFmtId="1" showAll="0"/>
    <pivotField numFmtId="1" showAll="0"/>
    <pivotField numFmtId="10" showAll="0"/>
    <pivotField numFmtId="3" showAll="0"/>
    <pivotField numFmtId="3" showAll="0"/>
    <pivotField numFmtId="3" showAll="0"/>
    <pivotField numFmtId="3" showAll="0"/>
    <pivotField dataField="1" numFmtId="10" showAll="0"/>
    <pivotField numFmtId="10" showAll="0"/>
    <pivotField numFmtId="10" showAll="0"/>
    <pivotField numFmtId="2" showAll="0"/>
    <pivotField showAll="0"/>
    <pivotField numFmtId="2" showAll="0"/>
    <pivotField numFmtId="166" showAll="0"/>
    <pivotField numFmtId="2" showAll="0"/>
  </pivotFields>
  <rowFields count="1">
    <field x="3"/>
  </rowFields>
  <rowItems count="4">
    <i>
      <x/>
    </i>
    <i>
      <x v="1"/>
    </i>
    <i>
      <x v="2"/>
    </i>
    <i t="grand">
      <x/>
    </i>
  </rowItems>
  <colItems count="1">
    <i/>
  </colItems>
  <dataFields count="1">
    <dataField name="Average of Production Efficiency" fld="15" subtotal="average" baseField="3" baseItem="0"/>
  </dataFields>
  <formats count="4">
    <format dxfId="42">
      <pivotArea collapsedLevelsAreSubtotals="1" fieldPosition="0">
        <references count="1">
          <reference field="3" count="1">
            <x v="0"/>
          </reference>
        </references>
      </pivotArea>
    </format>
    <format dxfId="41">
      <pivotArea collapsedLevelsAreSubtotals="1" fieldPosition="0">
        <references count="1">
          <reference field="3" count="1">
            <x v="1"/>
          </reference>
        </references>
      </pivotArea>
    </format>
    <format dxfId="40">
      <pivotArea grandRow="1" outline="0" collapsedLevelsAreSubtotals="1" fieldPosition="0"/>
    </format>
    <format dxfId="39">
      <pivotArea collapsedLevelsAreSubtotals="1" fieldPosition="0">
        <references count="1">
          <reference field="3"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D4E027-7993-4549-957F-F966B1E17EC8}"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Shift">
  <location ref="A1:B5" firstHeaderRow="1" firstDataRow="1" firstDataCol="1"/>
  <pivotFields count="23">
    <pivotField numFmtId="164" showAll="0"/>
    <pivotField showAll="0"/>
    <pivotField showAll="0"/>
    <pivotField axis="axisRow" showAll="0">
      <items count="4">
        <item x="1"/>
        <item x="0"/>
        <item x="2"/>
        <item t="default"/>
      </items>
    </pivotField>
    <pivotField showAll="0"/>
    <pivotField numFmtId="1" showAll="0"/>
    <pivotField numFmtId="1" showAll="0"/>
    <pivotField numFmtId="1" showAll="0"/>
    <pivotField numFmtId="1" showAll="0"/>
    <pivotField dataField="1" numFmtId="1" showAll="0"/>
    <pivotField numFmtId="10" showAll="0"/>
    <pivotField numFmtId="3" showAll="0"/>
    <pivotField numFmtId="3" showAll="0"/>
    <pivotField numFmtId="3" showAll="0"/>
    <pivotField numFmtId="3" showAll="0"/>
    <pivotField numFmtId="10" showAll="0"/>
    <pivotField numFmtId="10" showAll="0"/>
    <pivotField numFmtId="10" showAll="0"/>
    <pivotField numFmtId="2" showAll="0"/>
    <pivotField showAll="0"/>
    <pivotField numFmtId="2" showAll="0"/>
    <pivotField numFmtId="166" showAll="0"/>
    <pivotField numFmtId="2" showAll="0"/>
  </pivotFields>
  <rowFields count="1">
    <field x="3"/>
  </rowFields>
  <rowItems count="4">
    <i>
      <x/>
    </i>
    <i>
      <x v="1"/>
    </i>
    <i>
      <x v="2"/>
    </i>
    <i t="grand">
      <x/>
    </i>
  </rowItems>
  <colItems count="1">
    <i/>
  </colItems>
  <dataFields count="1">
    <dataField name="Average of Downtime Minutes" fld="9" subtotal="average" baseField="3" baseItem="0"/>
  </dataFields>
  <formats count="4">
    <format dxfId="38">
      <pivotArea collapsedLevelsAreSubtotals="1" fieldPosition="0">
        <references count="1">
          <reference field="3" count="1">
            <x v="0"/>
          </reference>
        </references>
      </pivotArea>
    </format>
    <format dxfId="37">
      <pivotArea collapsedLevelsAreSubtotals="1" fieldPosition="0">
        <references count="1">
          <reference field="3" count="1">
            <x v="1"/>
          </reference>
        </references>
      </pivotArea>
    </format>
    <format dxfId="36">
      <pivotArea collapsedLevelsAreSubtotals="1" fieldPosition="0">
        <references count="1">
          <reference field="3" count="1">
            <x v="2"/>
          </reference>
        </references>
      </pivotArea>
    </format>
    <format dxfId="3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66DC2D-52B3-4AB7-BCF8-DA7F4ECFE282}"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Line" colHeaderCaption="Shift">
  <location ref="A1:E6" firstHeaderRow="1" firstDataRow="2" firstDataCol="1"/>
  <pivotFields count="23">
    <pivotField numFmtId="164" showAll="0"/>
    <pivotField showAll="0"/>
    <pivotField axis="axisRow" showAll="0">
      <items count="4">
        <item x="0"/>
        <item x="1"/>
        <item x="2"/>
        <item t="default"/>
      </items>
    </pivotField>
    <pivotField axis="axisCol" showAll="0">
      <items count="4">
        <item x="1"/>
        <item x="0"/>
        <item x="2"/>
        <item t="default"/>
      </items>
    </pivotField>
    <pivotField showAll="0"/>
    <pivotField numFmtId="1" showAll="0"/>
    <pivotField numFmtId="1" showAll="0"/>
    <pivotField numFmtId="1" showAll="0"/>
    <pivotField numFmtId="1" showAll="0"/>
    <pivotField dataField="1" numFmtId="1" showAll="0"/>
    <pivotField numFmtId="10" showAll="0"/>
    <pivotField numFmtId="3" showAll="0"/>
    <pivotField numFmtId="3" showAll="0"/>
    <pivotField numFmtId="3" showAll="0"/>
    <pivotField numFmtId="3" showAll="0"/>
    <pivotField numFmtId="10" showAll="0"/>
    <pivotField numFmtId="10" showAll="0"/>
    <pivotField numFmtId="10" showAll="0"/>
    <pivotField numFmtId="2" showAll="0"/>
    <pivotField showAll="0"/>
    <pivotField numFmtId="2" showAll="0"/>
    <pivotField numFmtId="166" showAll="0"/>
    <pivotField numFmtId="2" showAll="0"/>
  </pivotFields>
  <rowFields count="1">
    <field x="2"/>
  </rowFields>
  <rowItems count="4">
    <i>
      <x/>
    </i>
    <i>
      <x v="1"/>
    </i>
    <i>
      <x v="2"/>
    </i>
    <i t="grand">
      <x/>
    </i>
  </rowItems>
  <colFields count="1">
    <field x="3"/>
  </colFields>
  <colItems count="4">
    <i>
      <x/>
    </i>
    <i>
      <x v="1"/>
    </i>
    <i>
      <x v="2"/>
    </i>
    <i t="grand">
      <x/>
    </i>
  </colItems>
  <dataFields count="1">
    <dataField name="Average of Downtime Minutes" fld="9" subtotal="average" baseField="2" baseItem="0" numFmtId="2"/>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44C1E59-5978-49C4-94C3-D1FF384E7673}"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 Type">
  <location ref="A1:B5" firstHeaderRow="1" firstDataRow="1" firstDataCol="1"/>
  <pivotFields count="23">
    <pivotField numFmtId="164" showAll="0"/>
    <pivotField showAll="0"/>
    <pivotField showAll="0"/>
    <pivotField showAll="0"/>
    <pivotField axis="axisRow" showAll="0">
      <items count="4">
        <item x="2"/>
        <item x="0"/>
        <item x="1"/>
        <item t="default"/>
      </items>
    </pivotField>
    <pivotField numFmtId="1" showAll="0"/>
    <pivotField numFmtId="1" showAll="0"/>
    <pivotField numFmtId="1" showAll="0"/>
    <pivotField numFmtId="1" showAll="0"/>
    <pivotField numFmtId="1" showAll="0"/>
    <pivotField numFmtId="10" showAll="0"/>
    <pivotField numFmtId="3" showAll="0"/>
    <pivotField numFmtId="3" showAll="0"/>
    <pivotField numFmtId="3" showAll="0"/>
    <pivotField numFmtId="3" showAll="0"/>
    <pivotField numFmtId="10" showAll="0"/>
    <pivotField numFmtId="10" showAll="0"/>
    <pivotField numFmtId="10" showAll="0"/>
    <pivotField dataField="1" numFmtId="2" showAll="0"/>
    <pivotField showAll="0"/>
    <pivotField numFmtId="2" showAll="0"/>
    <pivotField numFmtId="166" showAll="0"/>
    <pivotField numFmtId="2" showAll="0"/>
  </pivotFields>
  <rowFields count="1">
    <field x="4"/>
  </rowFields>
  <rowItems count="4">
    <i>
      <x/>
    </i>
    <i>
      <x v="1"/>
    </i>
    <i>
      <x v="2"/>
    </i>
    <i t="grand">
      <x/>
    </i>
  </rowItems>
  <colItems count="1">
    <i/>
  </colItems>
  <dataFields count="1">
    <dataField name="Average of Cost per Good Unit" fld="18" subtotal="average" baseField="4"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312D7A6-698A-40AC-9413-5FE21E97E0B3}"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2" rowHeaderCaption="Month">
  <location ref="A1:B8" firstHeaderRow="1" firstDataRow="1" firstDataCol="1"/>
  <pivotFields count="23">
    <pivotField numFmtId="164" showAll="0"/>
    <pivotField axis="axisRow" showAll="0">
      <items count="7">
        <item x="0"/>
        <item x="1"/>
        <item x="2"/>
        <item x="3"/>
        <item x="4"/>
        <item x="5"/>
        <item t="default"/>
      </items>
    </pivotField>
    <pivotField showAll="0"/>
    <pivotField showAll="0"/>
    <pivotField showAll="0"/>
    <pivotField numFmtId="1" showAll="0"/>
    <pivotField numFmtId="1" showAll="0"/>
    <pivotField numFmtId="1" showAll="0"/>
    <pivotField numFmtId="1" showAll="0"/>
    <pivotField numFmtId="1" showAll="0"/>
    <pivotField numFmtId="10" showAll="0"/>
    <pivotField numFmtId="3" showAll="0"/>
    <pivotField numFmtId="3" showAll="0"/>
    <pivotField numFmtId="3" showAll="0"/>
    <pivotField dataField="1" numFmtId="3" showAll="0"/>
    <pivotField numFmtId="10" showAll="0"/>
    <pivotField numFmtId="10" showAll="0"/>
    <pivotField numFmtId="10" showAll="0"/>
    <pivotField numFmtId="2" showAll="0"/>
    <pivotField showAll="0"/>
    <pivotField numFmtId="2" showAll="0"/>
    <pivotField numFmtId="166" showAll="0"/>
    <pivotField numFmtId="2" showAll="0"/>
  </pivotFields>
  <rowFields count="1">
    <field x="1"/>
  </rowFields>
  <rowItems count="7">
    <i>
      <x/>
    </i>
    <i>
      <x v="1"/>
    </i>
    <i>
      <x v="2"/>
    </i>
    <i>
      <x v="3"/>
    </i>
    <i>
      <x v="4"/>
    </i>
    <i>
      <x v="5"/>
    </i>
    <i t="grand">
      <x/>
    </i>
  </rowItems>
  <colItems count="1">
    <i/>
  </colItems>
  <dataFields count="1">
    <dataField name="Sum of Profit" fld="14" baseField="0" baseItem="0" numFmtId="165"/>
  </dataFields>
  <chartFormats count="1">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0787BCD-F1D3-449A-998A-EB45D7AAC6D8}"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Product Type">
  <location ref="A1:B5" firstHeaderRow="1" firstDataRow="1" firstDataCol="1"/>
  <pivotFields count="23">
    <pivotField numFmtId="164" showAll="0"/>
    <pivotField showAll="0"/>
    <pivotField showAll="0"/>
    <pivotField showAll="0"/>
    <pivotField axis="axisRow" showAll="0">
      <items count="4">
        <item x="2"/>
        <item x="0"/>
        <item x="1"/>
        <item t="default"/>
      </items>
    </pivotField>
    <pivotField numFmtId="1" showAll="0"/>
    <pivotField numFmtId="1" showAll="0"/>
    <pivotField numFmtId="1" showAll="0"/>
    <pivotField numFmtId="1" showAll="0"/>
    <pivotField numFmtId="1" showAll="0"/>
    <pivotField numFmtId="10" showAll="0"/>
    <pivotField numFmtId="3" showAll="0"/>
    <pivotField numFmtId="3" showAll="0"/>
    <pivotField numFmtId="3" showAll="0"/>
    <pivotField numFmtId="3" showAll="0"/>
    <pivotField numFmtId="10" showAll="0"/>
    <pivotField numFmtId="10" showAll="0"/>
    <pivotField dataField="1" numFmtId="10" showAll="0"/>
    <pivotField numFmtId="2" showAll="0"/>
    <pivotField showAll="0"/>
    <pivotField numFmtId="2" showAll="0"/>
    <pivotField numFmtId="166" showAll="0"/>
    <pivotField numFmtId="2" showAll="0"/>
  </pivotFields>
  <rowFields count="1">
    <field x="4"/>
  </rowFields>
  <rowItems count="4">
    <i>
      <x/>
    </i>
    <i>
      <x v="1"/>
    </i>
    <i>
      <x v="2"/>
    </i>
    <i t="grand">
      <x/>
    </i>
  </rowItems>
  <colItems count="1">
    <i/>
  </colItems>
  <dataFields count="1">
    <dataField name="Average of Profit Margin" fld="17" subtotal="average" baseField="4" baseItem="0" numFmtId="10"/>
  </dataFields>
  <formats count="1">
    <format dxfId="3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893EA6B-28EF-4EF1-AC01-845CDAF669BD}"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C5" firstHeaderRow="0" firstDataRow="1" firstDataCol="0" rowPageCount="2" colPageCount="1"/>
  <pivotFields count="23">
    <pivotField dataField="1" numFmtId="164" showAll="0"/>
    <pivotField showAll="0"/>
    <pivotField axis="axisPage" showAll="0">
      <items count="4">
        <item x="0"/>
        <item x="1"/>
        <item x="2"/>
        <item t="default"/>
      </items>
    </pivotField>
    <pivotField axis="axisPage" showAll="0">
      <items count="4">
        <item x="1"/>
        <item x="0"/>
        <item x="2"/>
        <item t="default"/>
      </items>
    </pivotField>
    <pivotField showAll="0"/>
    <pivotField numFmtId="1" showAll="0"/>
    <pivotField numFmtId="1" showAll="0"/>
    <pivotField numFmtId="1" showAll="0"/>
    <pivotField numFmtId="1" showAll="0"/>
    <pivotField numFmtId="1" showAll="0"/>
    <pivotField numFmtId="10" showAll="0"/>
    <pivotField numFmtId="165" showAll="0"/>
    <pivotField numFmtId="165" showAll="0"/>
    <pivotField numFmtId="165" showAll="0"/>
    <pivotField numFmtId="165" showAll="0"/>
    <pivotField numFmtId="10" showAll="0"/>
    <pivotField numFmtId="10" showAll="0"/>
    <pivotField numFmtId="10" showAll="0"/>
    <pivotField numFmtId="166" showAll="0"/>
    <pivotField showAll="0"/>
    <pivotField numFmtId="2" showAll="0"/>
    <pivotField dataField="1" numFmtId="166" showAll="0"/>
    <pivotField dataField="1" numFmtId="2" showAll="0"/>
  </pivotFields>
  <rowItems count="1">
    <i/>
  </rowItems>
  <colFields count="1">
    <field x="-2"/>
  </colFields>
  <colItems count="3">
    <i>
      <x/>
    </i>
    <i i="1">
      <x v="1"/>
    </i>
    <i i="2">
      <x v="2"/>
    </i>
  </colItems>
  <pageFields count="2">
    <pageField fld="2" item="1" hier="-1"/>
    <pageField fld="3" item="2" hier="-1"/>
  </pageFields>
  <dataFields count="3">
    <dataField name="Average of Good Units per Operating Minute" fld="22" subtotal="average" baseField="0" baseItem="1"/>
    <dataField name="Average of Profit per Good Unit" fld="21" subtotal="average" baseField="0" baseItem="1" numFmtId="166"/>
    <dataField name="Count of Date" fld="0" subtotal="count" baseField="0" baseItem="0" numFmtId="1"/>
  </dataFields>
  <formats count="3">
    <format dxfId="32">
      <pivotArea outline="0" collapsedLevelsAreSubtotals="1" fieldPosition="0"/>
    </format>
    <format dxfId="31">
      <pivotArea outline="0" collapsedLevelsAreSubtotals="1" fieldPosition="0">
        <references count="1">
          <reference field="4294967294" count="1" selected="0">
            <x v="2"/>
          </reference>
        </references>
      </pivotArea>
    </format>
    <format dxfId="3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ductionData" displayName="ProductionData" ref="A1:W1657" headerRowDxfId="29" dataDxfId="28" totalsRowDxfId="27">
  <tableColumns count="23">
    <tableColumn id="1" xr3:uid="{00000000-0010-0000-0000-000001000000}" name="Date" dataDxfId="26"/>
    <tableColumn id="2" xr3:uid="{00000000-0010-0000-0000-000002000000}" name="Month" dataDxfId="25"/>
    <tableColumn id="3" xr3:uid="{00000000-0010-0000-0000-000003000000}" name="Production Line" dataDxfId="24"/>
    <tableColumn id="4" xr3:uid="{00000000-0010-0000-0000-000004000000}" name="Shift" dataDxfId="23"/>
    <tableColumn id="5" xr3:uid="{00000000-0010-0000-0000-000005000000}" name="Product Type" dataDxfId="22"/>
    <tableColumn id="6" xr3:uid="{00000000-0010-0000-0000-000006000000}" name="Planned Production" dataDxfId="21"/>
    <tableColumn id="7" xr3:uid="{00000000-0010-0000-0000-000007000000}" name="Actual Production" dataDxfId="20"/>
    <tableColumn id="8" xr3:uid="{00000000-0010-0000-0000-000008000000}" name="Defective Units" dataDxfId="19"/>
    <tableColumn id="9" xr3:uid="{00000000-0010-0000-0000-000009000000}" name="Good Units" dataDxfId="18"/>
    <tableColumn id="10" xr3:uid="{00000000-0010-0000-0000-00000A000000}" name="Downtime Minutes" dataDxfId="17"/>
    <tableColumn id="11" xr3:uid="{00000000-0010-0000-0000-00000B000000}" name="Downtime Rate" dataDxfId="16"/>
    <tableColumn id="12" xr3:uid="{00000000-0010-0000-0000-00000C000000}" name="Selling Price per Unit" dataDxfId="15"/>
    <tableColumn id="13" xr3:uid="{00000000-0010-0000-0000-00000D000000}" name="Total Cost" dataDxfId="14"/>
    <tableColumn id="14" xr3:uid="{00000000-0010-0000-0000-00000E000000}" name="Revenue" dataDxfId="13">
      <calculatedColumnFormula>I2*L2</calculatedColumnFormula>
    </tableColumn>
    <tableColumn id="15" xr3:uid="{00000000-0010-0000-0000-00000F000000}" name="Profit" dataDxfId="12"/>
    <tableColumn id="16" xr3:uid="{00000000-0010-0000-0000-000010000000}" name="Production Efficiency" dataDxfId="11"/>
    <tableColumn id="17" xr3:uid="{00000000-0010-0000-0000-000011000000}" name="Defect Rate" dataDxfId="10"/>
    <tableColumn id="18" xr3:uid="{00000000-0010-0000-0000-000012000000}" name="Profit Margin" dataDxfId="9"/>
    <tableColumn id="19" xr3:uid="{00000000-0010-0000-0000-000013000000}" name="Cost per Good Unit" dataDxfId="8"/>
    <tableColumn id="20" xr3:uid="{10D25142-5768-4064-A482-3774D3EF1549}" name="Operating Minutes" dataDxfId="7" totalsRowDxfId="6">
      <calculatedColumnFormula>480-ProductionData[[#This Row],[Downtime Minutes]]</calculatedColumnFormula>
    </tableColumn>
    <tableColumn id="21" xr3:uid="{C2D307C9-AB3B-4C04-9E29-3EBEF03EA185}" name="Units per Operating Minute" dataDxfId="5" totalsRowDxfId="4">
      <calculatedColumnFormula>G2/T2</calculatedColumnFormula>
    </tableColumn>
    <tableColumn id="22" xr3:uid="{3D9E4B66-F126-480C-AC1D-40D34DB8A085}" name="Profit per Good Unit" dataDxfId="3" totalsRowDxfId="2">
      <calculatedColumnFormula>ProductionData[[#This Row],[Profit]]/ProductionData[[#This Row],[Good Units]]</calculatedColumnFormula>
    </tableColumn>
    <tableColumn id="23" xr3:uid="{49ED260D-E974-4AA2-B3D4-A54CE2653352}" name="Good Units per Operating Minute" dataDxfId="1" totalsRowDxfId="0">
      <calculatedColumnFormula>ProductionData[[#This Row],[Good Units]]/ProductionData[[#This Row],[Operating Minutes]]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74F1E-088B-49AF-ACA8-B77BB6D43B42}">
  <dimension ref="A1:B5"/>
  <sheetViews>
    <sheetView workbookViewId="0">
      <selection activeCell="B6" sqref="B6"/>
    </sheetView>
  </sheetViews>
  <sheetFormatPr defaultRowHeight="13.8"/>
  <cols>
    <col min="1" max="1" width="13.09765625" bestFit="1" customWidth="1"/>
    <col min="2" max="2" width="30.19921875" bestFit="1" customWidth="1"/>
  </cols>
  <sheetData>
    <row r="1" spans="1:2">
      <c r="A1" s="12" t="s">
        <v>53</v>
      </c>
      <c r="B1" t="s">
        <v>55</v>
      </c>
    </row>
    <row r="2" spans="1:2">
      <c r="A2" s="13" t="s">
        <v>20</v>
      </c>
      <c r="B2" s="3">
        <v>0.93017056947120924</v>
      </c>
    </row>
    <row r="3" spans="1:2">
      <c r="A3" s="13" t="s">
        <v>27</v>
      </c>
      <c r="B3" s="3">
        <v>0.88055803798985777</v>
      </c>
    </row>
    <row r="4" spans="1:2">
      <c r="A4" s="13" t="s">
        <v>28</v>
      </c>
      <c r="B4" s="3">
        <v>0.94957700219300767</v>
      </c>
    </row>
    <row r="5" spans="1:2">
      <c r="A5" s="13" t="s">
        <v>54</v>
      </c>
      <c r="B5" s="3">
        <v>0.92010186988469478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A0612-769F-42F4-B599-77319CDC5F74}">
  <dimension ref="A1:A14"/>
  <sheetViews>
    <sheetView zoomScale="63" zoomScaleNormal="63" workbookViewId="0">
      <selection activeCell="A13" sqref="A13"/>
    </sheetView>
  </sheetViews>
  <sheetFormatPr defaultRowHeight="13.8"/>
  <cols>
    <col min="1" max="1" width="255.5" customWidth="1"/>
  </cols>
  <sheetData>
    <row r="1" spans="1:1">
      <c r="A1" s="14" t="s">
        <v>56</v>
      </c>
    </row>
    <row r="2" spans="1:1">
      <c r="A2" t="s">
        <v>57</v>
      </c>
    </row>
    <row r="3" spans="1:1">
      <c r="A3" t="s">
        <v>59</v>
      </c>
    </row>
    <row r="4" spans="1:1">
      <c r="A4" t="s">
        <v>61</v>
      </c>
    </row>
    <row r="5" spans="1:1">
      <c r="A5" t="s">
        <v>63</v>
      </c>
    </row>
    <row r="6" spans="1:1">
      <c r="A6" t="s">
        <v>64</v>
      </c>
    </row>
    <row r="7" spans="1:1">
      <c r="A7" t="s">
        <v>65</v>
      </c>
    </row>
    <row r="8" spans="1:1">
      <c r="A8" t="s">
        <v>66</v>
      </c>
    </row>
    <row r="9" spans="1:1">
      <c r="A9" t="s">
        <v>67</v>
      </c>
    </row>
    <row r="10" spans="1:1">
      <c r="A10" t="s">
        <v>69</v>
      </c>
    </row>
    <row r="11" spans="1:1">
      <c r="A11" t="s">
        <v>71</v>
      </c>
    </row>
    <row r="12" spans="1:1">
      <c r="A12" t="s">
        <v>72</v>
      </c>
    </row>
    <row r="13" spans="1:1">
      <c r="A13" t="s">
        <v>89</v>
      </c>
    </row>
    <row r="14" spans="1:1">
      <c r="A14" t="s">
        <v>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4C669-B563-4289-A35C-20A7ADBEEBC0}">
  <dimension ref="A1:B5"/>
  <sheetViews>
    <sheetView workbookViewId="0"/>
  </sheetViews>
  <sheetFormatPr defaultRowHeight="13.8"/>
  <cols>
    <col min="1" max="1" width="11" bestFit="1" customWidth="1"/>
    <col min="2" max="2" width="27.69921875" bestFit="1" customWidth="1"/>
  </cols>
  <sheetData>
    <row r="1" spans="1:2">
      <c r="A1" s="12" t="s">
        <v>68</v>
      </c>
      <c r="B1" t="s">
        <v>58</v>
      </c>
    </row>
    <row r="2" spans="1:2">
      <c r="A2" s="13" t="s">
        <v>20</v>
      </c>
      <c r="B2" s="4">
        <v>36.916666666666664</v>
      </c>
    </row>
    <row r="3" spans="1:2">
      <c r="A3" s="13" t="s">
        <v>27</v>
      </c>
      <c r="B3" s="4">
        <v>54.82789855072464</v>
      </c>
    </row>
    <row r="4" spans="1:2">
      <c r="A4" s="13" t="s">
        <v>28</v>
      </c>
      <c r="B4" s="4">
        <v>28.860507246376812</v>
      </c>
    </row>
    <row r="5" spans="1:2">
      <c r="A5" s="13" t="s">
        <v>54</v>
      </c>
      <c r="B5" s="4">
        <v>40.201690821256037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39FF0-8614-46DD-9568-EFECA4E08B96}">
  <dimension ref="A1:B5"/>
  <sheetViews>
    <sheetView workbookViewId="0"/>
  </sheetViews>
  <sheetFormatPr defaultRowHeight="13.8"/>
  <cols>
    <col min="1" max="1" width="14.59765625" bestFit="1" customWidth="1"/>
    <col min="2" max="2" width="21.5" bestFit="1" customWidth="1"/>
  </cols>
  <sheetData>
    <row r="1" spans="1:2">
      <c r="A1" s="12" t="s">
        <v>4</v>
      </c>
      <c r="B1" t="s">
        <v>60</v>
      </c>
    </row>
    <row r="2" spans="1:2">
      <c r="A2" s="13" t="s">
        <v>26</v>
      </c>
      <c r="B2" s="3">
        <v>4.2048289211043997E-2</v>
      </c>
    </row>
    <row r="3" spans="1:2">
      <c r="A3" s="13" t="s">
        <v>22</v>
      </c>
      <c r="B3" s="3">
        <v>5.3970890109640249E-2</v>
      </c>
    </row>
    <row r="4" spans="1:2">
      <c r="A4" s="13" t="s">
        <v>24</v>
      </c>
      <c r="B4" s="3">
        <v>3.8134407397976265E-2</v>
      </c>
    </row>
    <row r="5" spans="1:2">
      <c r="A5" s="13" t="s">
        <v>54</v>
      </c>
      <c r="B5" s="3">
        <v>4.4717862239553596E-2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AA5C3-DB90-43DA-AEC3-EA7268D06858}">
  <dimension ref="A1:B5"/>
  <sheetViews>
    <sheetView workbookViewId="0">
      <selection activeCell="B5" sqref="B2:B5"/>
    </sheetView>
  </sheetViews>
  <sheetFormatPr defaultRowHeight="13.8"/>
  <cols>
    <col min="1" max="1" width="14.59765625" bestFit="1" customWidth="1"/>
    <col min="2" max="2" width="12.296875" bestFit="1" customWidth="1"/>
  </cols>
  <sheetData>
    <row r="1" spans="1:2">
      <c r="A1" s="12" t="s">
        <v>4</v>
      </c>
      <c r="B1" t="s">
        <v>62</v>
      </c>
    </row>
    <row r="2" spans="1:2">
      <c r="A2" s="13" t="s">
        <v>26</v>
      </c>
      <c r="B2" s="15">
        <v>4946340</v>
      </c>
    </row>
    <row r="3" spans="1:2">
      <c r="A3" s="13" t="s">
        <v>22</v>
      </c>
      <c r="B3" s="15">
        <v>4580300</v>
      </c>
    </row>
    <row r="4" spans="1:2">
      <c r="A4" s="13" t="s">
        <v>24</v>
      </c>
      <c r="B4" s="15">
        <v>6497160</v>
      </c>
    </row>
    <row r="5" spans="1:2">
      <c r="A5" s="13" t="s">
        <v>54</v>
      </c>
      <c r="B5" s="15">
        <v>16023800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DAB4F-5D56-4F21-AD28-BD11FE58D631}">
  <dimension ref="A1:B5"/>
  <sheetViews>
    <sheetView workbookViewId="0"/>
  </sheetViews>
  <sheetFormatPr defaultRowHeight="13.8"/>
  <cols>
    <col min="1" max="1" width="11" bestFit="1" customWidth="1"/>
    <col min="2" max="2" width="12.296875" bestFit="1" customWidth="1"/>
  </cols>
  <sheetData>
    <row r="1" spans="1:2">
      <c r="A1" s="12" t="s">
        <v>68</v>
      </c>
      <c r="B1" t="s">
        <v>62</v>
      </c>
    </row>
    <row r="2" spans="1:2">
      <c r="A2" s="13" t="s">
        <v>20</v>
      </c>
      <c r="B2" s="15">
        <v>5686440</v>
      </c>
    </row>
    <row r="3" spans="1:2">
      <c r="A3" s="13" t="s">
        <v>27</v>
      </c>
      <c r="B3" s="15">
        <v>4037350</v>
      </c>
    </row>
    <row r="4" spans="1:2">
      <c r="A4" s="13" t="s">
        <v>28</v>
      </c>
      <c r="B4" s="15">
        <v>6300010</v>
      </c>
    </row>
    <row r="5" spans="1:2">
      <c r="A5" s="13" t="s">
        <v>54</v>
      </c>
      <c r="B5" s="15">
        <v>16023800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0891E-566D-4239-9D6C-E4BED29D0306}">
  <dimension ref="A1:B5"/>
  <sheetViews>
    <sheetView workbookViewId="0"/>
  </sheetViews>
  <sheetFormatPr defaultRowHeight="13.8"/>
  <cols>
    <col min="1" max="1" width="11" bestFit="1" customWidth="1"/>
    <col min="2" max="2" width="12.296875" bestFit="1" customWidth="1"/>
  </cols>
  <sheetData>
    <row r="1" spans="1:2">
      <c r="A1" s="12" t="s">
        <v>3</v>
      </c>
      <c r="B1" t="s">
        <v>62</v>
      </c>
    </row>
    <row r="2" spans="1:2">
      <c r="A2" s="13" t="s">
        <v>23</v>
      </c>
      <c r="B2" s="15">
        <v>5535220</v>
      </c>
    </row>
    <row r="3" spans="1:2">
      <c r="A3" s="13" t="s">
        <v>21</v>
      </c>
      <c r="B3" s="15">
        <v>5906080</v>
      </c>
    </row>
    <row r="4" spans="1:2">
      <c r="A4" s="13" t="s">
        <v>25</v>
      </c>
      <c r="B4" s="15">
        <v>4582500</v>
      </c>
    </row>
    <row r="5" spans="1:2">
      <c r="A5" s="13" t="s">
        <v>54</v>
      </c>
      <c r="B5" s="15">
        <v>16023800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BBA2D-8B02-4BFE-971C-D16EDF731A0F}">
  <dimension ref="A1:B5"/>
  <sheetViews>
    <sheetView workbookViewId="0"/>
  </sheetViews>
  <sheetFormatPr defaultRowHeight="13.8"/>
  <cols>
    <col min="1" max="1" width="11" bestFit="1" customWidth="1"/>
    <col min="2" max="2" width="30.19921875" bestFit="1" customWidth="1"/>
  </cols>
  <sheetData>
    <row r="1" spans="1:2">
      <c r="A1" s="12" t="s">
        <v>3</v>
      </c>
      <c r="B1" t="s">
        <v>55</v>
      </c>
    </row>
    <row r="2" spans="1:2">
      <c r="A2" s="13" t="s">
        <v>23</v>
      </c>
      <c r="B2" s="3">
        <v>0.92692540117369893</v>
      </c>
    </row>
    <row r="3" spans="1:2">
      <c r="A3" s="13" t="s">
        <v>21</v>
      </c>
      <c r="B3" s="3">
        <v>0.93706391714020709</v>
      </c>
    </row>
    <row r="4" spans="1:2">
      <c r="A4" s="13" t="s">
        <v>25</v>
      </c>
      <c r="B4" s="3">
        <v>0.89631629134016799</v>
      </c>
    </row>
    <row r="5" spans="1:2">
      <c r="A5" s="13" t="s">
        <v>54</v>
      </c>
      <c r="B5" s="3">
        <v>0.92010186988469278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D9F5C-4616-4D27-8434-5BB26D5CF622}">
  <dimension ref="A1:B5"/>
  <sheetViews>
    <sheetView workbookViewId="0"/>
  </sheetViews>
  <sheetFormatPr defaultRowHeight="13.8"/>
  <cols>
    <col min="1" max="1" width="11" bestFit="1" customWidth="1"/>
    <col min="2" max="2" width="27.69921875" bestFit="1" customWidth="1"/>
  </cols>
  <sheetData>
    <row r="1" spans="1:2">
      <c r="A1" s="12" t="s">
        <v>3</v>
      </c>
      <c r="B1" t="s">
        <v>58</v>
      </c>
    </row>
    <row r="2" spans="1:2">
      <c r="A2" s="13" t="s">
        <v>23</v>
      </c>
      <c r="B2" s="4">
        <v>40.081521739130437</v>
      </c>
    </row>
    <row r="3" spans="1:2">
      <c r="A3" s="13" t="s">
        <v>21</v>
      </c>
      <c r="B3" s="4">
        <v>33.858695652173914</v>
      </c>
    </row>
    <row r="4" spans="1:2">
      <c r="A4" s="13" t="s">
        <v>25</v>
      </c>
      <c r="B4" s="4">
        <v>46.664855072463766</v>
      </c>
    </row>
    <row r="5" spans="1:2">
      <c r="A5" s="13" t="s">
        <v>54</v>
      </c>
      <c r="B5" s="4">
        <v>40.201690821256037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0A3C4-8BC2-4EE8-BE30-22B982A28FD5}">
  <dimension ref="A1:E6"/>
  <sheetViews>
    <sheetView workbookViewId="0">
      <selection activeCell="B1" sqref="B1"/>
    </sheetView>
  </sheetViews>
  <sheetFormatPr defaultRowHeight="13.8"/>
  <cols>
    <col min="1" max="1" width="27.69921875" bestFit="1" customWidth="1"/>
    <col min="2" max="2" width="8.09765625" bestFit="1" customWidth="1"/>
    <col min="3" max="3" width="8" bestFit="1" customWidth="1"/>
    <col min="4" max="4" width="5.5" bestFit="1" customWidth="1"/>
    <col min="5" max="5" width="11" bestFit="1" customWidth="1"/>
  </cols>
  <sheetData>
    <row r="1" spans="1:5">
      <c r="A1" s="12" t="s">
        <v>58</v>
      </c>
      <c r="B1" s="12" t="s">
        <v>3</v>
      </c>
    </row>
    <row r="2" spans="1:5">
      <c r="A2" s="12" t="s">
        <v>68</v>
      </c>
      <c r="B2" t="s">
        <v>23</v>
      </c>
      <c r="C2" t="s">
        <v>21</v>
      </c>
      <c r="D2" t="s">
        <v>25</v>
      </c>
      <c r="E2" t="s">
        <v>54</v>
      </c>
    </row>
    <row r="3" spans="1:5">
      <c r="A3" s="13" t="s">
        <v>20</v>
      </c>
      <c r="B3" s="4">
        <v>36.961956521739133</v>
      </c>
      <c r="C3" s="4">
        <v>30.668478260869566</v>
      </c>
      <c r="D3" s="4">
        <v>43.119565217391305</v>
      </c>
      <c r="E3" s="4">
        <v>36.916666666666664</v>
      </c>
    </row>
    <row r="4" spans="1:5">
      <c r="A4" s="13" t="s">
        <v>27</v>
      </c>
      <c r="B4" s="4">
        <v>54.472826086956523</v>
      </c>
      <c r="C4" s="4">
        <v>48.836956521739133</v>
      </c>
      <c r="D4" s="4">
        <v>61.173913043478258</v>
      </c>
      <c r="E4" s="4">
        <v>54.82789855072464</v>
      </c>
    </row>
    <row r="5" spans="1:5">
      <c r="A5" s="13" t="s">
        <v>28</v>
      </c>
      <c r="B5" s="4">
        <v>28.809782608695652</v>
      </c>
      <c r="C5" s="4">
        <v>22.070652173913043</v>
      </c>
      <c r="D5" s="4">
        <v>35.701086956521742</v>
      </c>
      <c r="E5" s="4">
        <v>28.860507246376812</v>
      </c>
    </row>
    <row r="6" spans="1:5">
      <c r="A6" s="13" t="s">
        <v>54</v>
      </c>
      <c r="B6" s="4">
        <v>40.081521739130437</v>
      </c>
      <c r="C6" s="4">
        <v>33.858695652173914</v>
      </c>
      <c r="D6" s="4">
        <v>46.664855072463766</v>
      </c>
      <c r="E6" s="4">
        <v>40.201690821256037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6FD9C-5A81-4383-A664-AC264744E39A}">
  <dimension ref="A1:B5"/>
  <sheetViews>
    <sheetView workbookViewId="0"/>
  </sheetViews>
  <sheetFormatPr defaultRowHeight="13.8"/>
  <cols>
    <col min="1" max="1" width="14.59765625" bestFit="1" customWidth="1"/>
    <col min="2" max="2" width="28" bestFit="1" customWidth="1"/>
  </cols>
  <sheetData>
    <row r="1" spans="1:2">
      <c r="A1" s="12" t="s">
        <v>4</v>
      </c>
      <c r="B1" t="s">
        <v>70</v>
      </c>
    </row>
    <row r="2" spans="1:2">
      <c r="A2" s="13" t="s">
        <v>26</v>
      </c>
      <c r="B2" s="19">
        <v>69.984143996763521</v>
      </c>
    </row>
    <row r="3" spans="1:2">
      <c r="A3" s="13" t="s">
        <v>22</v>
      </c>
      <c r="B3" s="19">
        <v>79.048570679999187</v>
      </c>
    </row>
    <row r="4" spans="1:2">
      <c r="A4" s="13" t="s">
        <v>24</v>
      </c>
      <c r="B4" s="19">
        <v>87.116624027111399</v>
      </c>
    </row>
    <row r="5" spans="1:2">
      <c r="A5" s="13" t="s">
        <v>54</v>
      </c>
      <c r="B5" s="19">
        <v>78.716446234625224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4A75D-4A54-42B2-B70E-4A4F3A68BB3B}">
  <dimension ref="A1:B8"/>
  <sheetViews>
    <sheetView workbookViewId="0">
      <selection activeCell="A3" sqref="A3"/>
    </sheetView>
  </sheetViews>
  <sheetFormatPr defaultRowHeight="13.8"/>
  <cols>
    <col min="1" max="1" width="11" bestFit="1" customWidth="1"/>
    <col min="2" max="2" width="12.296875" bestFit="1" customWidth="1"/>
  </cols>
  <sheetData>
    <row r="1" spans="1:2">
      <c r="A1" s="12" t="s">
        <v>1</v>
      </c>
      <c r="B1" t="s">
        <v>62</v>
      </c>
    </row>
    <row r="2" spans="1:2">
      <c r="A2" s="13" t="s">
        <v>19</v>
      </c>
      <c r="B2" s="15">
        <v>2818900</v>
      </c>
    </row>
    <row r="3" spans="1:2">
      <c r="A3" s="13" t="s">
        <v>29</v>
      </c>
      <c r="B3" s="15">
        <v>2582050</v>
      </c>
    </row>
    <row r="4" spans="1:2">
      <c r="A4" s="13" t="s">
        <v>30</v>
      </c>
      <c r="B4" s="15">
        <v>2606330</v>
      </c>
    </row>
    <row r="5" spans="1:2">
      <c r="A5" s="13" t="s">
        <v>31</v>
      </c>
      <c r="B5" s="15">
        <v>2743470</v>
      </c>
    </row>
    <row r="6" spans="1:2">
      <c r="A6" s="13" t="s">
        <v>32</v>
      </c>
      <c r="B6" s="15">
        <v>2463050</v>
      </c>
    </row>
    <row r="7" spans="1:2">
      <c r="A7" s="13" t="s">
        <v>33</v>
      </c>
      <c r="B7" s="15">
        <v>2810000</v>
      </c>
    </row>
    <row r="8" spans="1:2">
      <c r="A8" s="13" t="s">
        <v>54</v>
      </c>
      <c r="B8" s="15">
        <v>16023800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7D5A6-2D7F-4EF5-8C16-D7B890434B49}">
  <dimension ref="A1:B5"/>
  <sheetViews>
    <sheetView workbookViewId="0">
      <selection activeCell="A3" sqref="A2:A4"/>
    </sheetView>
  </sheetViews>
  <sheetFormatPr defaultRowHeight="13.8"/>
  <cols>
    <col min="1" max="1" width="14.59765625" bestFit="1" customWidth="1"/>
    <col min="2" max="2" width="22.3984375" bestFit="1" customWidth="1"/>
  </cols>
  <sheetData>
    <row r="1" spans="1:2">
      <c r="A1" s="12" t="s">
        <v>4</v>
      </c>
      <c r="B1" t="s">
        <v>73</v>
      </c>
    </row>
    <row r="2" spans="1:2">
      <c r="A2" s="13" t="s">
        <v>26</v>
      </c>
      <c r="B2" s="3">
        <v>0.22239840003595948</v>
      </c>
    </row>
    <row r="3" spans="1:2">
      <c r="A3" s="13" t="s">
        <v>22</v>
      </c>
      <c r="B3" s="3">
        <v>0.20951429320000775</v>
      </c>
    </row>
    <row r="4" spans="1:2">
      <c r="A4" s="13" t="s">
        <v>24</v>
      </c>
      <c r="B4" s="3">
        <v>0.27402813310740481</v>
      </c>
    </row>
    <row r="5" spans="1:2">
      <c r="A5" s="13" t="s">
        <v>54</v>
      </c>
      <c r="B5" s="3">
        <v>0.23531360878112373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155A7-7346-4A89-9853-62C5C55CB96C}">
  <dimension ref="A1:C14"/>
  <sheetViews>
    <sheetView workbookViewId="0">
      <selection activeCell="A11" sqref="A11"/>
    </sheetView>
  </sheetViews>
  <sheetFormatPr defaultRowHeight="13.8"/>
  <cols>
    <col min="1" max="1" width="40.296875" bestFit="1" customWidth="1"/>
    <col min="2" max="2" width="28.69921875" bestFit="1" customWidth="1"/>
    <col min="3" max="3" width="12.796875" bestFit="1" customWidth="1"/>
  </cols>
  <sheetData>
    <row r="1" spans="1:3">
      <c r="A1" s="12" t="s">
        <v>2</v>
      </c>
      <c r="B1" t="s">
        <v>27</v>
      </c>
    </row>
    <row r="2" spans="1:3">
      <c r="A2" s="12" t="s">
        <v>3</v>
      </c>
      <c r="B2" t="s">
        <v>25</v>
      </c>
    </row>
    <row r="4" spans="1:3">
      <c r="A4" t="s">
        <v>86</v>
      </c>
      <c r="B4" t="s">
        <v>78</v>
      </c>
      <c r="C4" t="s">
        <v>77</v>
      </c>
    </row>
    <row r="5" spans="1:3">
      <c r="A5" s="4">
        <v>0.85801386290293002</v>
      </c>
      <c r="B5" s="19">
        <v>16.781919911032826</v>
      </c>
      <c r="C5" s="2">
        <v>184</v>
      </c>
    </row>
    <row r="8" spans="1:3">
      <c r="A8" t="s">
        <v>79</v>
      </c>
      <c r="B8">
        <v>61.17</v>
      </c>
    </row>
    <row r="9" spans="1:3">
      <c r="A9" t="s">
        <v>80</v>
      </c>
      <c r="B9" s="4">
        <v>40.200000000000003</v>
      </c>
    </row>
    <row r="10" spans="1:3">
      <c r="A10" t="s">
        <v>81</v>
      </c>
      <c r="B10" s="4">
        <f>B8-B9</f>
        <v>20.97</v>
      </c>
    </row>
    <row r="11" spans="1:3">
      <c r="A11" s="20" t="s">
        <v>87</v>
      </c>
      <c r="B11">
        <v>0.86</v>
      </c>
    </row>
    <row r="12" spans="1:3">
      <c r="A12" s="20" t="s">
        <v>82</v>
      </c>
      <c r="B12" s="19">
        <v>16.78</v>
      </c>
    </row>
    <row r="13" spans="1:3">
      <c r="A13" t="s">
        <v>83</v>
      </c>
      <c r="B13">
        <v>184</v>
      </c>
    </row>
    <row r="14" spans="1:3">
      <c r="A14" t="s">
        <v>84</v>
      </c>
      <c r="B14" s="19">
        <f>B10*B11*B12*B13</f>
        <v>55680.953183999998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657"/>
  <sheetViews>
    <sheetView zoomScale="96" zoomScaleNormal="96" workbookViewId="0">
      <selection activeCell="W2" sqref="W2"/>
    </sheetView>
  </sheetViews>
  <sheetFormatPr defaultRowHeight="13.8"/>
  <cols>
    <col min="1" max="2" width="12" style="8" customWidth="1"/>
    <col min="3" max="3" width="16" style="8" customWidth="1"/>
    <col min="4" max="4" width="12" style="8" customWidth="1"/>
    <col min="5" max="5" width="14" style="8" customWidth="1"/>
    <col min="6" max="7" width="18" style="8" customWidth="1"/>
    <col min="8" max="8" width="16" style="8" customWidth="1"/>
    <col min="9" max="9" width="12" style="8" customWidth="1"/>
    <col min="10" max="10" width="18" style="8" customWidth="1"/>
    <col min="11" max="11" width="14" style="8" customWidth="1"/>
    <col min="12" max="12" width="18" style="17" customWidth="1"/>
    <col min="13" max="15" width="14" style="8" customWidth="1"/>
    <col min="16" max="16" width="18" style="8" customWidth="1"/>
    <col min="17" max="18" width="14" style="8" customWidth="1"/>
    <col min="19" max="19" width="17.796875" style="8" customWidth="1"/>
    <col min="20" max="20" width="20.3984375" bestFit="1" customWidth="1"/>
    <col min="21" max="21" width="30.59765625" customWidth="1"/>
    <col min="22" max="22" width="22.796875" bestFit="1" customWidth="1"/>
    <col min="23" max="23" width="37.69921875" bestFit="1" customWidth="1"/>
  </cols>
  <sheetData>
    <row r="1" spans="1:23" ht="27.6">
      <c r="A1" s="1" t="s">
        <v>0</v>
      </c>
      <c r="B1" s="1" t="s">
        <v>1</v>
      </c>
      <c r="C1" s="1" t="s">
        <v>2</v>
      </c>
      <c r="D1" s="1" t="s">
        <v>3</v>
      </c>
      <c r="E1" s="1" t="s">
        <v>4</v>
      </c>
      <c r="F1" s="1" t="s">
        <v>5</v>
      </c>
      <c r="G1" s="1" t="s">
        <v>6</v>
      </c>
      <c r="H1" s="1" t="s">
        <v>7</v>
      </c>
      <c r="I1" s="1" t="s">
        <v>8</v>
      </c>
      <c r="J1" s="1" t="s">
        <v>9</v>
      </c>
      <c r="K1" s="1" t="s">
        <v>10</v>
      </c>
      <c r="L1" s="16" t="s">
        <v>11</v>
      </c>
      <c r="M1" s="1" t="s">
        <v>12</v>
      </c>
      <c r="N1" s="1" t="s">
        <v>13</v>
      </c>
      <c r="O1" s="1" t="s">
        <v>14</v>
      </c>
      <c r="P1" s="1" t="s">
        <v>15</v>
      </c>
      <c r="Q1" s="1" t="s">
        <v>16</v>
      </c>
      <c r="R1" s="1" t="s">
        <v>17</v>
      </c>
      <c r="S1" s="1" t="s">
        <v>18</v>
      </c>
      <c r="T1" s="1" t="s">
        <v>74</v>
      </c>
      <c r="U1" s="1" t="s">
        <v>75</v>
      </c>
      <c r="V1" s="1" t="s">
        <v>76</v>
      </c>
      <c r="W1" s="1" t="s">
        <v>85</v>
      </c>
    </row>
    <row r="2" spans="1:23">
      <c r="A2" s="7">
        <v>46204</v>
      </c>
      <c r="B2" s="8" t="s">
        <v>19</v>
      </c>
      <c r="C2" s="8" t="s">
        <v>20</v>
      </c>
      <c r="D2" s="8" t="s">
        <v>21</v>
      </c>
      <c r="E2" s="8" t="s">
        <v>22</v>
      </c>
      <c r="F2" s="9">
        <v>460</v>
      </c>
      <c r="G2" s="9">
        <v>422</v>
      </c>
      <c r="H2" s="9">
        <v>17</v>
      </c>
      <c r="I2" s="9">
        <f t="shared" ref="I2:I65" si="0">G2-H2</f>
        <v>405</v>
      </c>
      <c r="J2" s="9">
        <v>30</v>
      </c>
      <c r="K2" s="10">
        <f t="shared" ref="K2:K65" si="1">J2/480</f>
        <v>6.25E-2</v>
      </c>
      <c r="L2" s="17">
        <v>100</v>
      </c>
      <c r="M2" s="17">
        <v>30800</v>
      </c>
      <c r="N2" s="17">
        <f t="shared" ref="N2:N65" si="2">I2*L2</f>
        <v>40500</v>
      </c>
      <c r="O2" s="17">
        <f t="shared" ref="O2:O65" si="3">N2-M2</f>
        <v>9700</v>
      </c>
      <c r="P2" s="10">
        <f t="shared" ref="P2:P65" si="4">G2/F2</f>
        <v>0.91739130434782612</v>
      </c>
      <c r="Q2" s="10">
        <f t="shared" ref="Q2:Q65" si="5">H2/G2</f>
        <v>4.0284360189573459E-2</v>
      </c>
      <c r="R2" s="10">
        <f t="shared" ref="R2:R65" si="6">O2/N2</f>
        <v>0.23950617283950618</v>
      </c>
      <c r="S2" s="18">
        <f t="shared" ref="S2:S65" si="7">M2/I2</f>
        <v>76.049382716049379</v>
      </c>
      <c r="T2" s="8">
        <f>480-ProductionData[[#This Row],[Downtime Minutes]]</f>
        <v>450</v>
      </c>
      <c r="U2" s="11">
        <f t="shared" ref="U2:U65" si="8">G2/T2</f>
        <v>0.93777777777777782</v>
      </c>
      <c r="V2" s="18">
        <f>ProductionData[[#This Row],[Profit]]/ProductionData[[#This Row],[Good Units]]</f>
        <v>23.950617283950617</v>
      </c>
      <c r="W2" s="1" t="s">
        <v>85</v>
      </c>
    </row>
    <row r="3" spans="1:23">
      <c r="A3" s="7">
        <v>46204</v>
      </c>
      <c r="B3" s="8" t="s">
        <v>19</v>
      </c>
      <c r="C3" s="8" t="s">
        <v>20</v>
      </c>
      <c r="D3" s="8" t="s">
        <v>23</v>
      </c>
      <c r="E3" s="8" t="s">
        <v>24</v>
      </c>
      <c r="F3" s="9">
        <v>410</v>
      </c>
      <c r="G3" s="9">
        <v>388</v>
      </c>
      <c r="H3" s="9">
        <v>15</v>
      </c>
      <c r="I3" s="9">
        <f t="shared" si="0"/>
        <v>373</v>
      </c>
      <c r="J3" s="9">
        <v>27</v>
      </c>
      <c r="K3" s="10">
        <f t="shared" si="1"/>
        <v>5.6250000000000001E-2</v>
      </c>
      <c r="L3" s="17">
        <v>120</v>
      </c>
      <c r="M3" s="17">
        <v>30800</v>
      </c>
      <c r="N3" s="17">
        <f t="shared" si="2"/>
        <v>44760</v>
      </c>
      <c r="O3" s="17">
        <f t="shared" si="3"/>
        <v>13960</v>
      </c>
      <c r="P3" s="10">
        <f t="shared" si="4"/>
        <v>0.9463414634146341</v>
      </c>
      <c r="Q3" s="10">
        <f t="shared" si="5"/>
        <v>3.8659793814432991E-2</v>
      </c>
      <c r="R3" s="10">
        <f t="shared" si="6"/>
        <v>0.31188561215370869</v>
      </c>
      <c r="S3" s="18">
        <f t="shared" si="7"/>
        <v>82.573726541554961</v>
      </c>
      <c r="T3" s="8">
        <f>480-ProductionData[[#This Row],[Downtime Minutes]]</f>
        <v>453</v>
      </c>
      <c r="U3" s="11">
        <f t="shared" si="8"/>
        <v>0.85651214128035325</v>
      </c>
      <c r="V3" s="18">
        <f>ProductionData[[#This Row],[Profit]]/ProductionData[[#This Row],[Good Units]]</f>
        <v>37.426273458445039</v>
      </c>
      <c r="W3" s="11">
        <f>ProductionData[[#This Row],[Good Units]]/ProductionData[[#This Row],[Operating Minutes]]</f>
        <v>0.82339955849889623</v>
      </c>
    </row>
    <row r="4" spans="1:23">
      <c r="A4" s="7">
        <v>46204</v>
      </c>
      <c r="B4" s="8" t="s">
        <v>19</v>
      </c>
      <c r="C4" s="8" t="s">
        <v>20</v>
      </c>
      <c r="D4" s="8" t="s">
        <v>25</v>
      </c>
      <c r="E4" s="8" t="s">
        <v>26</v>
      </c>
      <c r="F4" s="9">
        <v>500</v>
      </c>
      <c r="G4" s="9">
        <v>438</v>
      </c>
      <c r="H4" s="9">
        <v>18</v>
      </c>
      <c r="I4" s="9">
        <f t="shared" si="0"/>
        <v>420</v>
      </c>
      <c r="J4" s="9">
        <v>42</v>
      </c>
      <c r="K4" s="10">
        <f t="shared" si="1"/>
        <v>8.7499999999999994E-2</v>
      </c>
      <c r="L4" s="17">
        <v>90</v>
      </c>
      <c r="M4" s="17">
        <v>30800</v>
      </c>
      <c r="N4" s="17">
        <f t="shared" si="2"/>
        <v>37800</v>
      </c>
      <c r="O4" s="17">
        <f t="shared" si="3"/>
        <v>7000</v>
      </c>
      <c r="P4" s="10">
        <f t="shared" si="4"/>
        <v>0.876</v>
      </c>
      <c r="Q4" s="10">
        <f t="shared" si="5"/>
        <v>4.1095890410958902E-2</v>
      </c>
      <c r="R4" s="10">
        <f t="shared" si="6"/>
        <v>0.18518518518518517</v>
      </c>
      <c r="S4" s="18">
        <f t="shared" si="7"/>
        <v>73.333333333333329</v>
      </c>
      <c r="T4" s="8">
        <f>480-ProductionData[[#This Row],[Downtime Minutes]]</f>
        <v>438</v>
      </c>
      <c r="U4" s="11">
        <f t="shared" si="8"/>
        <v>1</v>
      </c>
      <c r="V4" s="18">
        <f>ProductionData[[#This Row],[Profit]]/ProductionData[[#This Row],[Good Units]]</f>
        <v>16.666666666666668</v>
      </c>
      <c r="W4" s="11">
        <f>ProductionData[[#This Row],[Good Units]]/ProductionData[[#This Row],[Operating Minutes]]</f>
        <v>0.95890410958904104</v>
      </c>
    </row>
    <row r="5" spans="1:23">
      <c r="A5" s="7">
        <v>46204</v>
      </c>
      <c r="B5" s="8" t="s">
        <v>19</v>
      </c>
      <c r="C5" s="8" t="s">
        <v>27</v>
      </c>
      <c r="D5" s="8" t="s">
        <v>21</v>
      </c>
      <c r="E5" s="8" t="s">
        <v>24</v>
      </c>
      <c r="F5" s="9">
        <v>380</v>
      </c>
      <c r="G5" s="9">
        <v>333</v>
      </c>
      <c r="H5" s="9">
        <v>16</v>
      </c>
      <c r="I5" s="9">
        <f t="shared" si="0"/>
        <v>317</v>
      </c>
      <c r="J5" s="9">
        <v>53</v>
      </c>
      <c r="K5" s="10">
        <f t="shared" si="1"/>
        <v>0.11041666666666666</v>
      </c>
      <c r="L5" s="17">
        <v>120</v>
      </c>
      <c r="M5" s="17">
        <v>30800</v>
      </c>
      <c r="N5" s="17">
        <f t="shared" si="2"/>
        <v>38040</v>
      </c>
      <c r="O5" s="17">
        <f t="shared" si="3"/>
        <v>7240</v>
      </c>
      <c r="P5" s="10">
        <f t="shared" si="4"/>
        <v>0.87631578947368416</v>
      </c>
      <c r="Q5" s="10">
        <f t="shared" si="5"/>
        <v>4.8048048048048048E-2</v>
      </c>
      <c r="R5" s="10">
        <f t="shared" si="6"/>
        <v>0.19032597266035753</v>
      </c>
      <c r="S5" s="18">
        <f t="shared" si="7"/>
        <v>97.160883280757105</v>
      </c>
      <c r="T5" s="8">
        <f>480-ProductionData[[#This Row],[Downtime Minutes]]</f>
        <v>427</v>
      </c>
      <c r="U5" s="11">
        <f t="shared" si="8"/>
        <v>0.77985948477751754</v>
      </c>
      <c r="V5" s="18">
        <f>ProductionData[[#This Row],[Profit]]/ProductionData[[#This Row],[Good Units]]</f>
        <v>22.839116719242902</v>
      </c>
      <c r="W5" s="11">
        <f>ProductionData[[#This Row],[Good Units]]/ProductionData[[#This Row],[Operating Minutes]]</f>
        <v>0.74238875878220145</v>
      </c>
    </row>
    <row r="6" spans="1:23">
      <c r="A6" s="7">
        <v>46204</v>
      </c>
      <c r="B6" s="8" t="s">
        <v>19</v>
      </c>
      <c r="C6" s="8" t="s">
        <v>27</v>
      </c>
      <c r="D6" s="8" t="s">
        <v>23</v>
      </c>
      <c r="E6" s="8" t="s">
        <v>26</v>
      </c>
      <c r="F6" s="9">
        <v>490</v>
      </c>
      <c r="G6" s="9">
        <v>436</v>
      </c>
      <c r="H6" s="9">
        <v>26</v>
      </c>
      <c r="I6" s="9">
        <f t="shared" si="0"/>
        <v>410</v>
      </c>
      <c r="J6" s="9">
        <v>38</v>
      </c>
      <c r="K6" s="10">
        <f t="shared" si="1"/>
        <v>7.9166666666666663E-2</v>
      </c>
      <c r="L6" s="17">
        <v>90</v>
      </c>
      <c r="M6" s="17">
        <v>30800</v>
      </c>
      <c r="N6" s="17">
        <f t="shared" si="2"/>
        <v>36900</v>
      </c>
      <c r="O6" s="17">
        <f t="shared" si="3"/>
        <v>6100</v>
      </c>
      <c r="P6" s="10">
        <f t="shared" si="4"/>
        <v>0.88979591836734695</v>
      </c>
      <c r="Q6" s="10">
        <f t="shared" si="5"/>
        <v>5.9633027522935783E-2</v>
      </c>
      <c r="R6" s="10">
        <f t="shared" si="6"/>
        <v>0.16531165311653118</v>
      </c>
      <c r="S6" s="18">
        <f t="shared" si="7"/>
        <v>75.121951219512198</v>
      </c>
      <c r="T6" s="8">
        <f>480-ProductionData[[#This Row],[Downtime Minutes]]</f>
        <v>442</v>
      </c>
      <c r="U6" s="11">
        <f t="shared" si="8"/>
        <v>0.98642533936651589</v>
      </c>
      <c r="V6" s="18">
        <f>ProductionData[[#This Row],[Profit]]/ProductionData[[#This Row],[Good Units]]</f>
        <v>14.878048780487806</v>
      </c>
      <c r="W6" s="11">
        <f>ProductionData[[#This Row],[Good Units]]/ProductionData[[#This Row],[Operating Minutes]]</f>
        <v>0.92760180995475117</v>
      </c>
    </row>
    <row r="7" spans="1:23">
      <c r="A7" s="7">
        <v>46204</v>
      </c>
      <c r="B7" s="8" t="s">
        <v>19</v>
      </c>
      <c r="C7" s="8" t="s">
        <v>27</v>
      </c>
      <c r="D7" s="8" t="s">
        <v>25</v>
      </c>
      <c r="E7" s="8" t="s">
        <v>22</v>
      </c>
      <c r="F7" s="9">
        <v>460</v>
      </c>
      <c r="G7" s="9">
        <v>389</v>
      </c>
      <c r="H7" s="9">
        <v>27</v>
      </c>
      <c r="I7" s="9">
        <f t="shared" si="0"/>
        <v>362</v>
      </c>
      <c r="J7" s="9">
        <v>78</v>
      </c>
      <c r="K7" s="10">
        <f t="shared" si="1"/>
        <v>0.16250000000000001</v>
      </c>
      <c r="L7" s="17">
        <v>100</v>
      </c>
      <c r="M7" s="17">
        <v>30800</v>
      </c>
      <c r="N7" s="17">
        <f t="shared" si="2"/>
        <v>36200</v>
      </c>
      <c r="O7" s="17">
        <f t="shared" si="3"/>
        <v>5400</v>
      </c>
      <c r="P7" s="10">
        <f t="shared" si="4"/>
        <v>0.84565217391304348</v>
      </c>
      <c r="Q7" s="10">
        <f t="shared" si="5"/>
        <v>6.9408740359897178E-2</v>
      </c>
      <c r="R7" s="10">
        <f t="shared" si="6"/>
        <v>0.14917127071823205</v>
      </c>
      <c r="S7" s="18">
        <f t="shared" si="7"/>
        <v>85.082872928176798</v>
      </c>
      <c r="T7" s="8">
        <f>480-ProductionData[[#This Row],[Downtime Minutes]]</f>
        <v>402</v>
      </c>
      <c r="U7" s="11">
        <f t="shared" si="8"/>
        <v>0.96766169154228854</v>
      </c>
      <c r="V7" s="18">
        <f>ProductionData[[#This Row],[Profit]]/ProductionData[[#This Row],[Good Units]]</f>
        <v>14.917127071823204</v>
      </c>
      <c r="W7" s="11">
        <f>ProductionData[[#This Row],[Good Units]]/ProductionData[[#This Row],[Operating Minutes]]</f>
        <v>0.90049751243781095</v>
      </c>
    </row>
    <row r="8" spans="1:23">
      <c r="A8" s="7">
        <v>46204</v>
      </c>
      <c r="B8" s="8" t="s">
        <v>19</v>
      </c>
      <c r="C8" s="8" t="s">
        <v>28</v>
      </c>
      <c r="D8" s="8" t="s">
        <v>21</v>
      </c>
      <c r="E8" s="8" t="s">
        <v>26</v>
      </c>
      <c r="F8" s="9">
        <v>480</v>
      </c>
      <c r="G8" s="9">
        <v>460</v>
      </c>
      <c r="H8" s="9">
        <v>11</v>
      </c>
      <c r="I8" s="9">
        <f t="shared" si="0"/>
        <v>449</v>
      </c>
      <c r="J8" s="9">
        <v>16</v>
      </c>
      <c r="K8" s="10">
        <f t="shared" si="1"/>
        <v>3.3333333333333333E-2</v>
      </c>
      <c r="L8" s="17">
        <v>90</v>
      </c>
      <c r="M8" s="17">
        <v>30800</v>
      </c>
      <c r="N8" s="17">
        <f t="shared" si="2"/>
        <v>40410</v>
      </c>
      <c r="O8" s="17">
        <f t="shared" si="3"/>
        <v>9610</v>
      </c>
      <c r="P8" s="10">
        <f t="shared" si="4"/>
        <v>0.95833333333333337</v>
      </c>
      <c r="Q8" s="10">
        <f t="shared" si="5"/>
        <v>2.391304347826087E-2</v>
      </c>
      <c r="R8" s="10">
        <f t="shared" si="6"/>
        <v>0.23781242266765651</v>
      </c>
      <c r="S8" s="18">
        <f t="shared" si="7"/>
        <v>68.596881959910917</v>
      </c>
      <c r="T8" s="8">
        <f>480-ProductionData[[#This Row],[Downtime Minutes]]</f>
        <v>464</v>
      </c>
      <c r="U8" s="11">
        <f t="shared" si="8"/>
        <v>0.99137931034482762</v>
      </c>
      <c r="V8" s="18">
        <f>ProductionData[[#This Row],[Profit]]/ProductionData[[#This Row],[Good Units]]</f>
        <v>21.403118040089087</v>
      </c>
      <c r="W8" s="11">
        <f>ProductionData[[#This Row],[Good Units]]/ProductionData[[#This Row],[Operating Minutes]]</f>
        <v>0.96767241379310343</v>
      </c>
    </row>
    <row r="9" spans="1:23">
      <c r="A9" s="7">
        <v>46204</v>
      </c>
      <c r="B9" s="8" t="s">
        <v>19</v>
      </c>
      <c r="C9" s="8" t="s">
        <v>28</v>
      </c>
      <c r="D9" s="8" t="s">
        <v>23</v>
      </c>
      <c r="E9" s="8" t="s">
        <v>22</v>
      </c>
      <c r="F9" s="9">
        <v>440</v>
      </c>
      <c r="G9" s="9">
        <v>408</v>
      </c>
      <c r="H9" s="9">
        <v>17</v>
      </c>
      <c r="I9" s="9">
        <f t="shared" si="0"/>
        <v>391</v>
      </c>
      <c r="J9" s="9">
        <v>25</v>
      </c>
      <c r="K9" s="10">
        <f t="shared" si="1"/>
        <v>5.2083333333333336E-2</v>
      </c>
      <c r="L9" s="17">
        <v>100</v>
      </c>
      <c r="M9" s="17">
        <v>30800</v>
      </c>
      <c r="N9" s="17">
        <f t="shared" si="2"/>
        <v>39100</v>
      </c>
      <c r="O9" s="17">
        <f t="shared" si="3"/>
        <v>8300</v>
      </c>
      <c r="P9" s="10">
        <f t="shared" si="4"/>
        <v>0.92727272727272725</v>
      </c>
      <c r="Q9" s="10">
        <f t="shared" si="5"/>
        <v>4.1666666666666664E-2</v>
      </c>
      <c r="R9" s="10">
        <f t="shared" si="6"/>
        <v>0.21227621483375958</v>
      </c>
      <c r="S9" s="18">
        <f t="shared" si="7"/>
        <v>78.772378516624045</v>
      </c>
      <c r="T9" s="8">
        <f>480-ProductionData[[#This Row],[Downtime Minutes]]</f>
        <v>455</v>
      </c>
      <c r="U9" s="11">
        <f t="shared" si="8"/>
        <v>0.89670329670329674</v>
      </c>
      <c r="V9" s="18">
        <f>ProductionData[[#This Row],[Profit]]/ProductionData[[#This Row],[Good Units]]</f>
        <v>21.227621483375959</v>
      </c>
      <c r="W9" s="11">
        <f>ProductionData[[#This Row],[Good Units]]/ProductionData[[#This Row],[Operating Minutes]]</f>
        <v>0.85934065934065929</v>
      </c>
    </row>
    <row r="10" spans="1:23">
      <c r="A10" s="7">
        <v>46204</v>
      </c>
      <c r="B10" s="8" t="s">
        <v>19</v>
      </c>
      <c r="C10" s="8" t="s">
        <v>28</v>
      </c>
      <c r="D10" s="8" t="s">
        <v>25</v>
      </c>
      <c r="E10" s="8" t="s">
        <v>24</v>
      </c>
      <c r="F10" s="9">
        <v>390</v>
      </c>
      <c r="G10" s="9">
        <v>356</v>
      </c>
      <c r="H10" s="9">
        <v>13</v>
      </c>
      <c r="I10" s="9">
        <f t="shared" si="0"/>
        <v>343</v>
      </c>
      <c r="J10" s="9">
        <v>34</v>
      </c>
      <c r="K10" s="10">
        <f t="shared" si="1"/>
        <v>7.0833333333333331E-2</v>
      </c>
      <c r="L10" s="17">
        <v>120</v>
      </c>
      <c r="M10" s="17">
        <v>30800</v>
      </c>
      <c r="N10" s="17">
        <f t="shared" si="2"/>
        <v>41160</v>
      </c>
      <c r="O10" s="17">
        <f t="shared" si="3"/>
        <v>10360</v>
      </c>
      <c r="P10" s="10">
        <f t="shared" si="4"/>
        <v>0.9128205128205128</v>
      </c>
      <c r="Q10" s="10">
        <f t="shared" si="5"/>
        <v>3.6516853932584269E-2</v>
      </c>
      <c r="R10" s="10">
        <f t="shared" si="6"/>
        <v>0.25170068027210885</v>
      </c>
      <c r="S10" s="18">
        <f t="shared" si="7"/>
        <v>89.795918367346943</v>
      </c>
      <c r="T10" s="8">
        <f>480-ProductionData[[#This Row],[Downtime Minutes]]</f>
        <v>446</v>
      </c>
      <c r="U10" s="11">
        <f t="shared" si="8"/>
        <v>0.7982062780269058</v>
      </c>
      <c r="V10" s="18">
        <f>ProductionData[[#This Row],[Profit]]/ProductionData[[#This Row],[Good Units]]</f>
        <v>30.204081632653061</v>
      </c>
      <c r="W10" s="11">
        <f>ProductionData[[#This Row],[Good Units]]/ProductionData[[#This Row],[Operating Minutes]]</f>
        <v>0.76905829596412556</v>
      </c>
    </row>
    <row r="11" spans="1:23">
      <c r="A11" s="7">
        <v>46205</v>
      </c>
      <c r="B11" s="8" t="s">
        <v>19</v>
      </c>
      <c r="C11" s="8" t="s">
        <v>20</v>
      </c>
      <c r="D11" s="8" t="s">
        <v>21</v>
      </c>
      <c r="E11" s="8" t="s">
        <v>24</v>
      </c>
      <c r="F11" s="9">
        <v>390</v>
      </c>
      <c r="G11" s="9">
        <v>359</v>
      </c>
      <c r="H11" s="9">
        <v>11</v>
      </c>
      <c r="I11" s="9">
        <f t="shared" si="0"/>
        <v>348</v>
      </c>
      <c r="J11" s="9">
        <v>42</v>
      </c>
      <c r="K11" s="10">
        <f t="shared" si="1"/>
        <v>8.7499999999999994E-2</v>
      </c>
      <c r="L11" s="17">
        <v>120</v>
      </c>
      <c r="M11" s="17">
        <v>30800</v>
      </c>
      <c r="N11" s="17">
        <f t="shared" si="2"/>
        <v>41760</v>
      </c>
      <c r="O11" s="17">
        <f t="shared" si="3"/>
        <v>10960</v>
      </c>
      <c r="P11" s="10">
        <f t="shared" si="4"/>
        <v>0.92051282051282046</v>
      </c>
      <c r="Q11" s="10">
        <f t="shared" si="5"/>
        <v>3.0640668523676879E-2</v>
      </c>
      <c r="R11" s="10">
        <f t="shared" si="6"/>
        <v>0.26245210727969348</v>
      </c>
      <c r="S11" s="18">
        <f t="shared" si="7"/>
        <v>88.505747126436788</v>
      </c>
      <c r="T11" s="8">
        <f>480-ProductionData[[#This Row],[Downtime Minutes]]</f>
        <v>438</v>
      </c>
      <c r="U11" s="11">
        <f t="shared" si="8"/>
        <v>0.81963470319634701</v>
      </c>
      <c r="V11" s="18">
        <f>ProductionData[[#This Row],[Profit]]/ProductionData[[#This Row],[Good Units]]</f>
        <v>31.494252873563219</v>
      </c>
      <c r="W11" s="11">
        <f>ProductionData[[#This Row],[Good Units]]/ProductionData[[#This Row],[Operating Minutes]]</f>
        <v>0.79452054794520544</v>
      </c>
    </row>
    <row r="12" spans="1:23">
      <c r="A12" s="7">
        <v>46205</v>
      </c>
      <c r="B12" s="8" t="s">
        <v>19</v>
      </c>
      <c r="C12" s="8" t="s">
        <v>20</v>
      </c>
      <c r="D12" s="8" t="s">
        <v>23</v>
      </c>
      <c r="E12" s="8" t="s">
        <v>26</v>
      </c>
      <c r="F12" s="9">
        <v>520</v>
      </c>
      <c r="G12" s="9">
        <v>498</v>
      </c>
      <c r="H12" s="9">
        <v>21</v>
      </c>
      <c r="I12" s="9">
        <f t="shared" si="0"/>
        <v>477</v>
      </c>
      <c r="J12" s="9">
        <v>32</v>
      </c>
      <c r="K12" s="10">
        <f t="shared" si="1"/>
        <v>6.6666666666666666E-2</v>
      </c>
      <c r="L12" s="17">
        <v>90</v>
      </c>
      <c r="M12" s="17">
        <v>30800</v>
      </c>
      <c r="N12" s="17">
        <f t="shared" si="2"/>
        <v>42930</v>
      </c>
      <c r="O12" s="17">
        <f t="shared" si="3"/>
        <v>12130</v>
      </c>
      <c r="P12" s="10">
        <f t="shared" si="4"/>
        <v>0.95769230769230773</v>
      </c>
      <c r="Q12" s="10">
        <f t="shared" si="5"/>
        <v>4.2168674698795178E-2</v>
      </c>
      <c r="R12" s="10">
        <f t="shared" si="6"/>
        <v>0.28255299324481714</v>
      </c>
      <c r="S12" s="18">
        <f t="shared" si="7"/>
        <v>64.570230607966451</v>
      </c>
      <c r="T12" s="8">
        <f>480-ProductionData[[#This Row],[Downtime Minutes]]</f>
        <v>448</v>
      </c>
      <c r="U12" s="11">
        <f t="shared" si="8"/>
        <v>1.1116071428571428</v>
      </c>
      <c r="V12" s="18">
        <f>ProductionData[[#This Row],[Profit]]/ProductionData[[#This Row],[Good Units]]</f>
        <v>25.429769392033542</v>
      </c>
      <c r="W12" s="11">
        <f>ProductionData[[#This Row],[Good Units]]/ProductionData[[#This Row],[Operating Minutes]]</f>
        <v>1.0647321428571428</v>
      </c>
    </row>
    <row r="13" spans="1:23">
      <c r="A13" s="7">
        <v>46205</v>
      </c>
      <c r="B13" s="8" t="s">
        <v>19</v>
      </c>
      <c r="C13" s="8" t="s">
        <v>20</v>
      </c>
      <c r="D13" s="8" t="s">
        <v>25</v>
      </c>
      <c r="E13" s="8" t="s">
        <v>22</v>
      </c>
      <c r="F13" s="9">
        <v>450</v>
      </c>
      <c r="G13" s="9">
        <v>417</v>
      </c>
      <c r="H13" s="9">
        <v>22</v>
      </c>
      <c r="I13" s="9">
        <f t="shared" si="0"/>
        <v>395</v>
      </c>
      <c r="J13" s="9">
        <v>47</v>
      </c>
      <c r="K13" s="10">
        <f t="shared" si="1"/>
        <v>9.7916666666666666E-2</v>
      </c>
      <c r="L13" s="17">
        <v>100</v>
      </c>
      <c r="M13" s="17">
        <v>30800</v>
      </c>
      <c r="N13" s="17">
        <f t="shared" si="2"/>
        <v>39500</v>
      </c>
      <c r="O13" s="17">
        <f t="shared" si="3"/>
        <v>8700</v>
      </c>
      <c r="P13" s="10">
        <f t="shared" si="4"/>
        <v>0.92666666666666664</v>
      </c>
      <c r="Q13" s="10">
        <f t="shared" si="5"/>
        <v>5.2757793764988008E-2</v>
      </c>
      <c r="R13" s="10">
        <f t="shared" si="6"/>
        <v>0.22025316455696203</v>
      </c>
      <c r="S13" s="18">
        <f t="shared" si="7"/>
        <v>77.974683544303801</v>
      </c>
      <c r="T13" s="8">
        <f>480-ProductionData[[#This Row],[Downtime Minutes]]</f>
        <v>433</v>
      </c>
      <c r="U13" s="11">
        <f t="shared" si="8"/>
        <v>0.96304849884526555</v>
      </c>
      <c r="V13" s="18">
        <f>ProductionData[[#This Row],[Profit]]/ProductionData[[#This Row],[Good Units]]</f>
        <v>22.025316455696203</v>
      </c>
      <c r="W13" s="11">
        <f>ProductionData[[#This Row],[Good Units]]/ProductionData[[#This Row],[Operating Minutes]]</f>
        <v>0.91224018475750579</v>
      </c>
    </row>
    <row r="14" spans="1:23">
      <c r="A14" s="7">
        <v>46205</v>
      </c>
      <c r="B14" s="8" t="s">
        <v>19</v>
      </c>
      <c r="C14" s="8" t="s">
        <v>27</v>
      </c>
      <c r="D14" s="8" t="s">
        <v>21</v>
      </c>
      <c r="E14" s="8" t="s">
        <v>26</v>
      </c>
      <c r="F14" s="9">
        <v>510</v>
      </c>
      <c r="G14" s="9">
        <v>463</v>
      </c>
      <c r="H14" s="9">
        <v>25</v>
      </c>
      <c r="I14" s="9">
        <f t="shared" si="0"/>
        <v>438</v>
      </c>
      <c r="J14" s="9">
        <v>33</v>
      </c>
      <c r="K14" s="10">
        <f t="shared" si="1"/>
        <v>6.8750000000000006E-2</v>
      </c>
      <c r="L14" s="17">
        <v>90</v>
      </c>
      <c r="M14" s="17">
        <v>30800</v>
      </c>
      <c r="N14" s="17">
        <f t="shared" si="2"/>
        <v>39420</v>
      </c>
      <c r="O14" s="17">
        <f t="shared" si="3"/>
        <v>8620</v>
      </c>
      <c r="P14" s="10">
        <f t="shared" si="4"/>
        <v>0.90784313725490196</v>
      </c>
      <c r="Q14" s="10">
        <f t="shared" si="5"/>
        <v>5.3995680345572353E-2</v>
      </c>
      <c r="R14" s="10">
        <f t="shared" si="6"/>
        <v>0.21867072552004058</v>
      </c>
      <c r="S14" s="18">
        <f t="shared" si="7"/>
        <v>70.319634703196343</v>
      </c>
      <c r="T14" s="8">
        <f>480-ProductionData[[#This Row],[Downtime Minutes]]</f>
        <v>447</v>
      </c>
      <c r="U14" s="11">
        <f t="shared" si="8"/>
        <v>1.0357941834451903</v>
      </c>
      <c r="V14" s="18">
        <f>ProductionData[[#This Row],[Profit]]/ProductionData[[#This Row],[Good Units]]</f>
        <v>19.680365296803654</v>
      </c>
      <c r="W14" s="11">
        <f>ProductionData[[#This Row],[Good Units]]/ProductionData[[#This Row],[Operating Minutes]]</f>
        <v>0.97986577181208057</v>
      </c>
    </row>
    <row r="15" spans="1:23">
      <c r="A15" s="7">
        <v>46205</v>
      </c>
      <c r="B15" s="8" t="s">
        <v>19</v>
      </c>
      <c r="C15" s="8" t="s">
        <v>27</v>
      </c>
      <c r="D15" s="8" t="s">
        <v>23</v>
      </c>
      <c r="E15" s="8" t="s">
        <v>22</v>
      </c>
      <c r="F15" s="9">
        <v>450</v>
      </c>
      <c r="G15" s="9">
        <v>400</v>
      </c>
      <c r="H15" s="9">
        <v>25</v>
      </c>
      <c r="I15" s="9">
        <f t="shared" si="0"/>
        <v>375</v>
      </c>
      <c r="J15" s="9">
        <v>62</v>
      </c>
      <c r="K15" s="10">
        <f t="shared" si="1"/>
        <v>0.12916666666666668</v>
      </c>
      <c r="L15" s="17">
        <v>100</v>
      </c>
      <c r="M15" s="17">
        <v>30800</v>
      </c>
      <c r="N15" s="17">
        <f t="shared" si="2"/>
        <v>37500</v>
      </c>
      <c r="O15" s="17">
        <f t="shared" si="3"/>
        <v>6700</v>
      </c>
      <c r="P15" s="10">
        <f t="shared" si="4"/>
        <v>0.88888888888888884</v>
      </c>
      <c r="Q15" s="10">
        <f t="shared" si="5"/>
        <v>6.25E-2</v>
      </c>
      <c r="R15" s="10">
        <f t="shared" si="6"/>
        <v>0.17866666666666667</v>
      </c>
      <c r="S15" s="18">
        <f t="shared" si="7"/>
        <v>82.13333333333334</v>
      </c>
      <c r="T15" s="8">
        <f>480-ProductionData[[#This Row],[Downtime Minutes]]</f>
        <v>418</v>
      </c>
      <c r="U15" s="11">
        <f t="shared" si="8"/>
        <v>0.9569377990430622</v>
      </c>
      <c r="V15" s="18">
        <f>ProductionData[[#This Row],[Profit]]/ProductionData[[#This Row],[Good Units]]</f>
        <v>17.866666666666667</v>
      </c>
      <c r="W15" s="11">
        <f>ProductionData[[#This Row],[Good Units]]/ProductionData[[#This Row],[Operating Minutes]]</f>
        <v>0.89712918660287078</v>
      </c>
    </row>
    <row r="16" spans="1:23">
      <c r="A16" s="7">
        <v>46205</v>
      </c>
      <c r="B16" s="8" t="s">
        <v>19</v>
      </c>
      <c r="C16" s="8" t="s">
        <v>27</v>
      </c>
      <c r="D16" s="8" t="s">
        <v>25</v>
      </c>
      <c r="E16" s="8" t="s">
        <v>24</v>
      </c>
      <c r="F16" s="9">
        <v>390</v>
      </c>
      <c r="G16" s="9">
        <v>344</v>
      </c>
      <c r="H16" s="9">
        <v>21</v>
      </c>
      <c r="I16" s="9">
        <f t="shared" si="0"/>
        <v>323</v>
      </c>
      <c r="J16" s="9">
        <v>56</v>
      </c>
      <c r="K16" s="10">
        <f t="shared" si="1"/>
        <v>0.11666666666666667</v>
      </c>
      <c r="L16" s="17">
        <v>120</v>
      </c>
      <c r="M16" s="17">
        <v>30800</v>
      </c>
      <c r="N16" s="17">
        <f t="shared" si="2"/>
        <v>38760</v>
      </c>
      <c r="O16" s="17">
        <f t="shared" si="3"/>
        <v>7960</v>
      </c>
      <c r="P16" s="10">
        <f t="shared" si="4"/>
        <v>0.88205128205128203</v>
      </c>
      <c r="Q16" s="10">
        <f t="shared" si="5"/>
        <v>6.1046511627906974E-2</v>
      </c>
      <c r="R16" s="10">
        <f t="shared" si="6"/>
        <v>0.20536635706914344</v>
      </c>
      <c r="S16" s="18">
        <f t="shared" si="7"/>
        <v>95.356037151702793</v>
      </c>
      <c r="T16" s="8">
        <f>480-ProductionData[[#This Row],[Downtime Minutes]]</f>
        <v>424</v>
      </c>
      <c r="U16" s="11">
        <f t="shared" si="8"/>
        <v>0.81132075471698117</v>
      </c>
      <c r="V16" s="18">
        <f>ProductionData[[#This Row],[Profit]]/ProductionData[[#This Row],[Good Units]]</f>
        <v>24.643962848297214</v>
      </c>
      <c r="W16" s="11">
        <f>ProductionData[[#This Row],[Good Units]]/ProductionData[[#This Row],[Operating Minutes]]</f>
        <v>0.7617924528301887</v>
      </c>
    </row>
    <row r="17" spans="1:23">
      <c r="A17" s="7">
        <v>46205</v>
      </c>
      <c r="B17" s="8" t="s">
        <v>19</v>
      </c>
      <c r="C17" s="8" t="s">
        <v>28</v>
      </c>
      <c r="D17" s="8" t="s">
        <v>21</v>
      </c>
      <c r="E17" s="8" t="s">
        <v>22</v>
      </c>
      <c r="F17" s="9">
        <v>460</v>
      </c>
      <c r="G17" s="9">
        <v>452</v>
      </c>
      <c r="H17" s="9">
        <v>15</v>
      </c>
      <c r="I17" s="9">
        <f t="shared" si="0"/>
        <v>437</v>
      </c>
      <c r="J17" s="9">
        <v>16</v>
      </c>
      <c r="K17" s="10">
        <f t="shared" si="1"/>
        <v>3.3333333333333333E-2</v>
      </c>
      <c r="L17" s="17">
        <v>100</v>
      </c>
      <c r="M17" s="17">
        <v>30800</v>
      </c>
      <c r="N17" s="17">
        <f t="shared" si="2"/>
        <v>43700</v>
      </c>
      <c r="O17" s="17">
        <f t="shared" si="3"/>
        <v>12900</v>
      </c>
      <c r="P17" s="10">
        <f t="shared" si="4"/>
        <v>0.9826086956521739</v>
      </c>
      <c r="Q17" s="10">
        <f t="shared" si="5"/>
        <v>3.3185840707964605E-2</v>
      </c>
      <c r="R17" s="10">
        <f t="shared" si="6"/>
        <v>0.29519450800915331</v>
      </c>
      <c r="S17" s="18">
        <f t="shared" si="7"/>
        <v>70.480549199084663</v>
      </c>
      <c r="T17" s="8">
        <f>480-ProductionData[[#This Row],[Downtime Minutes]]</f>
        <v>464</v>
      </c>
      <c r="U17" s="11">
        <f t="shared" si="8"/>
        <v>0.97413793103448276</v>
      </c>
      <c r="V17" s="18">
        <f>ProductionData[[#This Row],[Profit]]/ProductionData[[#This Row],[Good Units]]</f>
        <v>29.519450800915333</v>
      </c>
      <c r="W17" s="11">
        <f>ProductionData[[#This Row],[Good Units]]/ProductionData[[#This Row],[Operating Minutes]]</f>
        <v>0.94181034482758619</v>
      </c>
    </row>
    <row r="18" spans="1:23">
      <c r="A18" s="7">
        <v>46205</v>
      </c>
      <c r="B18" s="8" t="s">
        <v>19</v>
      </c>
      <c r="C18" s="8" t="s">
        <v>28</v>
      </c>
      <c r="D18" s="8" t="s">
        <v>23</v>
      </c>
      <c r="E18" s="8" t="s">
        <v>24</v>
      </c>
      <c r="F18" s="9">
        <v>400</v>
      </c>
      <c r="G18" s="9">
        <v>372</v>
      </c>
      <c r="H18" s="9">
        <v>13</v>
      </c>
      <c r="I18" s="9">
        <f t="shared" si="0"/>
        <v>359</v>
      </c>
      <c r="J18" s="9">
        <v>35</v>
      </c>
      <c r="K18" s="10">
        <f t="shared" si="1"/>
        <v>7.2916666666666671E-2</v>
      </c>
      <c r="L18" s="17">
        <v>120</v>
      </c>
      <c r="M18" s="17">
        <v>30800</v>
      </c>
      <c r="N18" s="17">
        <f t="shared" si="2"/>
        <v>43080</v>
      </c>
      <c r="O18" s="17">
        <f t="shared" si="3"/>
        <v>12280</v>
      </c>
      <c r="P18" s="10">
        <f t="shared" si="4"/>
        <v>0.93</v>
      </c>
      <c r="Q18" s="10">
        <f t="shared" si="5"/>
        <v>3.4946236559139782E-2</v>
      </c>
      <c r="R18" s="10">
        <f t="shared" si="6"/>
        <v>0.2850510677808728</v>
      </c>
      <c r="S18" s="18">
        <f t="shared" si="7"/>
        <v>85.793871866295262</v>
      </c>
      <c r="T18" s="8">
        <f>480-ProductionData[[#This Row],[Downtime Minutes]]</f>
        <v>445</v>
      </c>
      <c r="U18" s="11">
        <f t="shared" si="8"/>
        <v>0.83595505617977528</v>
      </c>
      <c r="V18" s="18">
        <f>ProductionData[[#This Row],[Profit]]/ProductionData[[#This Row],[Good Units]]</f>
        <v>34.206128133704738</v>
      </c>
      <c r="W18" s="11">
        <f>ProductionData[[#This Row],[Good Units]]/ProductionData[[#This Row],[Operating Minutes]]</f>
        <v>0.80674157303370786</v>
      </c>
    </row>
    <row r="19" spans="1:23">
      <c r="A19" s="7">
        <v>46205</v>
      </c>
      <c r="B19" s="8" t="s">
        <v>19</v>
      </c>
      <c r="C19" s="8" t="s">
        <v>28</v>
      </c>
      <c r="D19" s="8" t="s">
        <v>25</v>
      </c>
      <c r="E19" s="8" t="s">
        <v>26</v>
      </c>
      <c r="F19" s="9">
        <v>490</v>
      </c>
      <c r="G19" s="9">
        <v>454</v>
      </c>
      <c r="H19" s="9">
        <v>21</v>
      </c>
      <c r="I19" s="9">
        <f t="shared" si="0"/>
        <v>433</v>
      </c>
      <c r="J19" s="9">
        <v>38</v>
      </c>
      <c r="K19" s="10">
        <f t="shared" si="1"/>
        <v>7.9166666666666663E-2</v>
      </c>
      <c r="L19" s="17">
        <v>90</v>
      </c>
      <c r="M19" s="17">
        <v>30800</v>
      </c>
      <c r="N19" s="17">
        <f t="shared" si="2"/>
        <v>38970</v>
      </c>
      <c r="O19" s="17">
        <f t="shared" si="3"/>
        <v>8170</v>
      </c>
      <c r="P19" s="10">
        <f t="shared" si="4"/>
        <v>0.92653061224489797</v>
      </c>
      <c r="Q19" s="10">
        <f t="shared" si="5"/>
        <v>4.6255506607929514E-2</v>
      </c>
      <c r="R19" s="10">
        <f t="shared" si="6"/>
        <v>0.20964844752373621</v>
      </c>
      <c r="S19" s="18">
        <f t="shared" si="7"/>
        <v>71.131639722863738</v>
      </c>
      <c r="T19" s="8">
        <f>480-ProductionData[[#This Row],[Downtime Minutes]]</f>
        <v>442</v>
      </c>
      <c r="U19" s="11">
        <f t="shared" si="8"/>
        <v>1.0271493212669682</v>
      </c>
      <c r="V19" s="18">
        <f>ProductionData[[#This Row],[Profit]]/ProductionData[[#This Row],[Good Units]]</f>
        <v>18.868360277136258</v>
      </c>
      <c r="W19" s="11">
        <f>ProductionData[[#This Row],[Good Units]]/ProductionData[[#This Row],[Operating Minutes]]</f>
        <v>0.97963800904977372</v>
      </c>
    </row>
    <row r="20" spans="1:23">
      <c r="A20" s="7">
        <v>46206</v>
      </c>
      <c r="B20" s="8" t="s">
        <v>19</v>
      </c>
      <c r="C20" s="8" t="s">
        <v>20</v>
      </c>
      <c r="D20" s="8" t="s">
        <v>21</v>
      </c>
      <c r="E20" s="8" t="s">
        <v>26</v>
      </c>
      <c r="F20" s="9">
        <v>490</v>
      </c>
      <c r="G20" s="9">
        <v>454</v>
      </c>
      <c r="H20" s="9">
        <v>16</v>
      </c>
      <c r="I20" s="9">
        <f t="shared" si="0"/>
        <v>438</v>
      </c>
      <c r="J20" s="9">
        <v>30</v>
      </c>
      <c r="K20" s="10">
        <f t="shared" si="1"/>
        <v>6.25E-2</v>
      </c>
      <c r="L20" s="17">
        <v>90</v>
      </c>
      <c r="M20" s="17">
        <v>30800</v>
      </c>
      <c r="N20" s="17">
        <f t="shared" si="2"/>
        <v>39420</v>
      </c>
      <c r="O20" s="17">
        <f t="shared" si="3"/>
        <v>8620</v>
      </c>
      <c r="P20" s="10">
        <f t="shared" si="4"/>
        <v>0.92653061224489797</v>
      </c>
      <c r="Q20" s="10">
        <f t="shared" si="5"/>
        <v>3.5242290748898682E-2</v>
      </c>
      <c r="R20" s="10">
        <f t="shared" si="6"/>
        <v>0.21867072552004058</v>
      </c>
      <c r="S20" s="18">
        <f t="shared" si="7"/>
        <v>70.319634703196343</v>
      </c>
      <c r="T20" s="8">
        <f>480-ProductionData[[#This Row],[Downtime Minutes]]</f>
        <v>450</v>
      </c>
      <c r="U20" s="11">
        <f t="shared" si="8"/>
        <v>1.0088888888888889</v>
      </c>
      <c r="V20" s="18">
        <f>ProductionData[[#This Row],[Profit]]/ProductionData[[#This Row],[Good Units]]</f>
        <v>19.680365296803654</v>
      </c>
      <c r="W20" s="11">
        <f>ProductionData[[#This Row],[Good Units]]/ProductionData[[#This Row],[Operating Minutes]]</f>
        <v>0.97333333333333338</v>
      </c>
    </row>
    <row r="21" spans="1:23">
      <c r="A21" s="7">
        <v>46206</v>
      </c>
      <c r="B21" s="8" t="s">
        <v>19</v>
      </c>
      <c r="C21" s="8" t="s">
        <v>20</v>
      </c>
      <c r="D21" s="8" t="s">
        <v>23</v>
      </c>
      <c r="E21" s="8" t="s">
        <v>22</v>
      </c>
      <c r="F21" s="9">
        <v>460</v>
      </c>
      <c r="G21" s="9">
        <v>429</v>
      </c>
      <c r="H21" s="9">
        <v>22</v>
      </c>
      <c r="I21" s="9">
        <f t="shared" si="0"/>
        <v>407</v>
      </c>
      <c r="J21" s="9">
        <v>41</v>
      </c>
      <c r="K21" s="10">
        <f t="shared" si="1"/>
        <v>8.5416666666666669E-2</v>
      </c>
      <c r="L21" s="17">
        <v>100</v>
      </c>
      <c r="M21" s="17">
        <v>30800</v>
      </c>
      <c r="N21" s="17">
        <f t="shared" si="2"/>
        <v>40700</v>
      </c>
      <c r="O21" s="17">
        <f t="shared" si="3"/>
        <v>9900</v>
      </c>
      <c r="P21" s="10">
        <f t="shared" si="4"/>
        <v>0.93260869565217386</v>
      </c>
      <c r="Q21" s="10">
        <f t="shared" si="5"/>
        <v>5.128205128205128E-2</v>
      </c>
      <c r="R21" s="10">
        <f t="shared" si="6"/>
        <v>0.24324324324324326</v>
      </c>
      <c r="S21" s="18">
        <f t="shared" si="7"/>
        <v>75.675675675675677</v>
      </c>
      <c r="T21" s="8">
        <f>480-ProductionData[[#This Row],[Downtime Minutes]]</f>
        <v>439</v>
      </c>
      <c r="U21" s="11">
        <f t="shared" si="8"/>
        <v>0.97722095671981779</v>
      </c>
      <c r="V21" s="18">
        <f>ProductionData[[#This Row],[Profit]]/ProductionData[[#This Row],[Good Units]]</f>
        <v>24.324324324324323</v>
      </c>
      <c r="W21" s="11">
        <f>ProductionData[[#This Row],[Good Units]]/ProductionData[[#This Row],[Operating Minutes]]</f>
        <v>0.92710706150341682</v>
      </c>
    </row>
    <row r="22" spans="1:23">
      <c r="A22" s="7">
        <v>46206</v>
      </c>
      <c r="B22" s="8" t="s">
        <v>19</v>
      </c>
      <c r="C22" s="8" t="s">
        <v>20</v>
      </c>
      <c r="D22" s="8" t="s">
        <v>25</v>
      </c>
      <c r="E22" s="8" t="s">
        <v>24</v>
      </c>
      <c r="F22" s="9">
        <v>420</v>
      </c>
      <c r="G22" s="9">
        <v>372</v>
      </c>
      <c r="H22" s="9">
        <v>15</v>
      </c>
      <c r="I22" s="9">
        <f t="shared" si="0"/>
        <v>357</v>
      </c>
      <c r="J22" s="9">
        <v>55</v>
      </c>
      <c r="K22" s="10">
        <f t="shared" si="1"/>
        <v>0.11458333333333333</v>
      </c>
      <c r="L22" s="17">
        <v>120</v>
      </c>
      <c r="M22" s="17">
        <v>30800</v>
      </c>
      <c r="N22" s="17">
        <f t="shared" si="2"/>
        <v>42840</v>
      </c>
      <c r="O22" s="17">
        <f t="shared" si="3"/>
        <v>12040</v>
      </c>
      <c r="P22" s="10">
        <f t="shared" si="4"/>
        <v>0.88571428571428568</v>
      </c>
      <c r="Q22" s="10">
        <f t="shared" si="5"/>
        <v>4.0322580645161289E-2</v>
      </c>
      <c r="R22" s="10">
        <f t="shared" si="6"/>
        <v>0.28104575163398693</v>
      </c>
      <c r="S22" s="18">
        <f t="shared" si="7"/>
        <v>86.274509803921575</v>
      </c>
      <c r="T22" s="8">
        <f>480-ProductionData[[#This Row],[Downtime Minutes]]</f>
        <v>425</v>
      </c>
      <c r="U22" s="11">
        <f t="shared" si="8"/>
        <v>0.87529411764705878</v>
      </c>
      <c r="V22" s="18">
        <f>ProductionData[[#This Row],[Profit]]/ProductionData[[#This Row],[Good Units]]</f>
        <v>33.725490196078432</v>
      </c>
      <c r="W22" s="11">
        <f>ProductionData[[#This Row],[Good Units]]/ProductionData[[#This Row],[Operating Minutes]]</f>
        <v>0.84</v>
      </c>
    </row>
    <row r="23" spans="1:23">
      <c r="A23" s="7">
        <v>46206</v>
      </c>
      <c r="B23" s="8" t="s">
        <v>19</v>
      </c>
      <c r="C23" s="8" t="s">
        <v>27</v>
      </c>
      <c r="D23" s="8" t="s">
        <v>21</v>
      </c>
      <c r="E23" s="8" t="s">
        <v>22</v>
      </c>
      <c r="F23" s="9">
        <v>460</v>
      </c>
      <c r="G23" s="9">
        <v>403</v>
      </c>
      <c r="H23" s="9">
        <v>23</v>
      </c>
      <c r="I23" s="9">
        <f t="shared" si="0"/>
        <v>380</v>
      </c>
      <c r="J23" s="9">
        <v>62</v>
      </c>
      <c r="K23" s="10">
        <f t="shared" si="1"/>
        <v>0.12916666666666668</v>
      </c>
      <c r="L23" s="17">
        <v>100</v>
      </c>
      <c r="M23" s="17">
        <v>30800</v>
      </c>
      <c r="N23" s="17">
        <f t="shared" si="2"/>
        <v>38000</v>
      </c>
      <c r="O23" s="17">
        <f t="shared" si="3"/>
        <v>7200</v>
      </c>
      <c r="P23" s="10">
        <f t="shared" si="4"/>
        <v>0.87608695652173918</v>
      </c>
      <c r="Q23" s="10">
        <f t="shared" si="5"/>
        <v>5.7071960297766747E-2</v>
      </c>
      <c r="R23" s="10">
        <f t="shared" si="6"/>
        <v>0.18947368421052632</v>
      </c>
      <c r="S23" s="18">
        <f t="shared" si="7"/>
        <v>81.05263157894737</v>
      </c>
      <c r="T23" s="8">
        <f>480-ProductionData[[#This Row],[Downtime Minutes]]</f>
        <v>418</v>
      </c>
      <c r="U23" s="11">
        <f t="shared" si="8"/>
        <v>0.96411483253588515</v>
      </c>
      <c r="V23" s="18">
        <f>ProductionData[[#This Row],[Profit]]/ProductionData[[#This Row],[Good Units]]</f>
        <v>18.94736842105263</v>
      </c>
      <c r="W23" s="11">
        <f>ProductionData[[#This Row],[Good Units]]/ProductionData[[#This Row],[Operating Minutes]]</f>
        <v>0.90909090909090906</v>
      </c>
    </row>
    <row r="24" spans="1:23">
      <c r="A24" s="7">
        <v>46206</v>
      </c>
      <c r="B24" s="8" t="s">
        <v>19</v>
      </c>
      <c r="C24" s="8" t="s">
        <v>27</v>
      </c>
      <c r="D24" s="8" t="s">
        <v>23</v>
      </c>
      <c r="E24" s="8" t="s">
        <v>24</v>
      </c>
      <c r="F24" s="9">
        <v>400</v>
      </c>
      <c r="G24" s="9">
        <v>352</v>
      </c>
      <c r="H24" s="9">
        <v>18</v>
      </c>
      <c r="I24" s="9">
        <f t="shared" si="0"/>
        <v>334</v>
      </c>
      <c r="J24" s="9">
        <v>57</v>
      </c>
      <c r="K24" s="10">
        <f t="shared" si="1"/>
        <v>0.11874999999999999</v>
      </c>
      <c r="L24" s="17">
        <v>120</v>
      </c>
      <c r="M24" s="17">
        <v>30800</v>
      </c>
      <c r="N24" s="17">
        <f t="shared" si="2"/>
        <v>40080</v>
      </c>
      <c r="O24" s="17">
        <f t="shared" si="3"/>
        <v>9280</v>
      </c>
      <c r="P24" s="10">
        <f t="shared" si="4"/>
        <v>0.88</v>
      </c>
      <c r="Q24" s="10">
        <f t="shared" si="5"/>
        <v>5.113636363636364E-2</v>
      </c>
      <c r="R24" s="10">
        <f t="shared" si="6"/>
        <v>0.2315369261477046</v>
      </c>
      <c r="S24" s="18">
        <f t="shared" si="7"/>
        <v>92.215568862275447</v>
      </c>
      <c r="T24" s="8">
        <f>480-ProductionData[[#This Row],[Downtime Minutes]]</f>
        <v>423</v>
      </c>
      <c r="U24" s="11">
        <f t="shared" si="8"/>
        <v>0.8321513002364066</v>
      </c>
      <c r="V24" s="18">
        <f>ProductionData[[#This Row],[Profit]]/ProductionData[[#This Row],[Good Units]]</f>
        <v>27.78443113772455</v>
      </c>
      <c r="W24" s="11">
        <f>ProductionData[[#This Row],[Good Units]]/ProductionData[[#This Row],[Operating Minutes]]</f>
        <v>0.78959810874704495</v>
      </c>
    </row>
    <row r="25" spans="1:23">
      <c r="A25" s="7">
        <v>46206</v>
      </c>
      <c r="B25" s="8" t="s">
        <v>19</v>
      </c>
      <c r="C25" s="8" t="s">
        <v>27</v>
      </c>
      <c r="D25" s="8" t="s">
        <v>25</v>
      </c>
      <c r="E25" s="8" t="s">
        <v>26</v>
      </c>
      <c r="F25" s="9">
        <v>490</v>
      </c>
      <c r="G25" s="9">
        <v>422</v>
      </c>
      <c r="H25" s="9">
        <v>30</v>
      </c>
      <c r="I25" s="9">
        <f t="shared" si="0"/>
        <v>392</v>
      </c>
      <c r="J25" s="9">
        <v>65</v>
      </c>
      <c r="K25" s="10">
        <f t="shared" si="1"/>
        <v>0.13541666666666666</v>
      </c>
      <c r="L25" s="17">
        <v>90</v>
      </c>
      <c r="M25" s="17">
        <v>30800</v>
      </c>
      <c r="N25" s="17">
        <f t="shared" si="2"/>
        <v>35280</v>
      </c>
      <c r="O25" s="17">
        <f t="shared" si="3"/>
        <v>4480</v>
      </c>
      <c r="P25" s="10">
        <f t="shared" si="4"/>
        <v>0.86122448979591837</v>
      </c>
      <c r="Q25" s="10">
        <f t="shared" si="5"/>
        <v>7.1090047393364927E-2</v>
      </c>
      <c r="R25" s="10">
        <f t="shared" si="6"/>
        <v>0.12698412698412698</v>
      </c>
      <c r="S25" s="18">
        <f t="shared" si="7"/>
        <v>78.571428571428569</v>
      </c>
      <c r="T25" s="8">
        <f>480-ProductionData[[#This Row],[Downtime Minutes]]</f>
        <v>415</v>
      </c>
      <c r="U25" s="11">
        <f t="shared" si="8"/>
        <v>1.0168674698795181</v>
      </c>
      <c r="V25" s="18">
        <f>ProductionData[[#This Row],[Profit]]/ProductionData[[#This Row],[Good Units]]</f>
        <v>11.428571428571429</v>
      </c>
      <c r="W25" s="11">
        <f>ProductionData[[#This Row],[Good Units]]/ProductionData[[#This Row],[Operating Minutes]]</f>
        <v>0.944578313253012</v>
      </c>
    </row>
    <row r="26" spans="1:23">
      <c r="A26" s="7">
        <v>46206</v>
      </c>
      <c r="B26" s="8" t="s">
        <v>19</v>
      </c>
      <c r="C26" s="8" t="s">
        <v>28</v>
      </c>
      <c r="D26" s="8" t="s">
        <v>21</v>
      </c>
      <c r="E26" s="8" t="s">
        <v>24</v>
      </c>
      <c r="F26" s="9">
        <v>410</v>
      </c>
      <c r="G26" s="9">
        <v>398</v>
      </c>
      <c r="H26" s="9">
        <v>7</v>
      </c>
      <c r="I26" s="9">
        <f t="shared" si="0"/>
        <v>391</v>
      </c>
      <c r="J26" s="9">
        <v>30</v>
      </c>
      <c r="K26" s="10">
        <f t="shared" si="1"/>
        <v>6.25E-2</v>
      </c>
      <c r="L26" s="17">
        <v>120</v>
      </c>
      <c r="M26" s="17">
        <v>30800</v>
      </c>
      <c r="N26" s="17">
        <f t="shared" si="2"/>
        <v>46920</v>
      </c>
      <c r="O26" s="17">
        <f t="shared" si="3"/>
        <v>16120</v>
      </c>
      <c r="P26" s="10">
        <f t="shared" si="4"/>
        <v>0.97073170731707314</v>
      </c>
      <c r="Q26" s="10">
        <f t="shared" si="5"/>
        <v>1.7587939698492462E-2</v>
      </c>
      <c r="R26" s="10">
        <f t="shared" si="6"/>
        <v>0.34356351236146632</v>
      </c>
      <c r="S26" s="18">
        <f t="shared" si="7"/>
        <v>78.772378516624045</v>
      </c>
      <c r="T26" s="8">
        <f>480-ProductionData[[#This Row],[Downtime Minutes]]</f>
        <v>450</v>
      </c>
      <c r="U26" s="11">
        <f t="shared" si="8"/>
        <v>0.88444444444444448</v>
      </c>
      <c r="V26" s="18">
        <f>ProductionData[[#This Row],[Profit]]/ProductionData[[#This Row],[Good Units]]</f>
        <v>41.227621483375962</v>
      </c>
      <c r="W26" s="11">
        <f>ProductionData[[#This Row],[Good Units]]/ProductionData[[#This Row],[Operating Minutes]]</f>
        <v>0.86888888888888893</v>
      </c>
    </row>
    <row r="27" spans="1:23">
      <c r="A27" s="7">
        <v>46206</v>
      </c>
      <c r="B27" s="8" t="s">
        <v>19</v>
      </c>
      <c r="C27" s="8" t="s">
        <v>28</v>
      </c>
      <c r="D27" s="8" t="s">
        <v>23</v>
      </c>
      <c r="E27" s="8" t="s">
        <v>26</v>
      </c>
      <c r="F27" s="9">
        <v>480</v>
      </c>
      <c r="G27" s="9">
        <v>458</v>
      </c>
      <c r="H27" s="9">
        <v>14</v>
      </c>
      <c r="I27" s="9">
        <f t="shared" si="0"/>
        <v>444</v>
      </c>
      <c r="J27" s="9">
        <v>35</v>
      </c>
      <c r="K27" s="10">
        <f t="shared" si="1"/>
        <v>7.2916666666666671E-2</v>
      </c>
      <c r="L27" s="17">
        <v>90</v>
      </c>
      <c r="M27" s="17">
        <v>30800</v>
      </c>
      <c r="N27" s="17">
        <f t="shared" si="2"/>
        <v>39960</v>
      </c>
      <c r="O27" s="17">
        <f t="shared" si="3"/>
        <v>9160</v>
      </c>
      <c r="P27" s="10">
        <f t="shared" si="4"/>
        <v>0.95416666666666672</v>
      </c>
      <c r="Q27" s="10">
        <f t="shared" si="5"/>
        <v>3.0567685589519649E-2</v>
      </c>
      <c r="R27" s="10">
        <f t="shared" si="6"/>
        <v>0.22922922922922923</v>
      </c>
      <c r="S27" s="18">
        <f t="shared" si="7"/>
        <v>69.369369369369366</v>
      </c>
      <c r="T27" s="8">
        <f>480-ProductionData[[#This Row],[Downtime Minutes]]</f>
        <v>445</v>
      </c>
      <c r="U27" s="11">
        <f t="shared" si="8"/>
        <v>1.0292134831460673</v>
      </c>
      <c r="V27" s="18">
        <f>ProductionData[[#This Row],[Profit]]/ProductionData[[#This Row],[Good Units]]</f>
        <v>20.63063063063063</v>
      </c>
      <c r="W27" s="11">
        <f>ProductionData[[#This Row],[Good Units]]/ProductionData[[#This Row],[Operating Minutes]]</f>
        <v>0.99775280898876406</v>
      </c>
    </row>
    <row r="28" spans="1:23">
      <c r="A28" s="7">
        <v>46206</v>
      </c>
      <c r="B28" s="8" t="s">
        <v>19</v>
      </c>
      <c r="C28" s="8" t="s">
        <v>28</v>
      </c>
      <c r="D28" s="8" t="s">
        <v>25</v>
      </c>
      <c r="E28" s="8" t="s">
        <v>22</v>
      </c>
      <c r="F28" s="9">
        <v>470</v>
      </c>
      <c r="G28" s="9">
        <v>443</v>
      </c>
      <c r="H28" s="9">
        <v>23</v>
      </c>
      <c r="I28" s="9">
        <f t="shared" si="0"/>
        <v>420</v>
      </c>
      <c r="J28" s="9">
        <v>31</v>
      </c>
      <c r="K28" s="10">
        <f t="shared" si="1"/>
        <v>6.458333333333334E-2</v>
      </c>
      <c r="L28" s="17">
        <v>100</v>
      </c>
      <c r="M28" s="17">
        <v>30800</v>
      </c>
      <c r="N28" s="17">
        <f t="shared" si="2"/>
        <v>42000</v>
      </c>
      <c r="O28" s="17">
        <f t="shared" si="3"/>
        <v>11200</v>
      </c>
      <c r="P28" s="10">
        <f t="shared" si="4"/>
        <v>0.94255319148936167</v>
      </c>
      <c r="Q28" s="10">
        <f t="shared" si="5"/>
        <v>5.1918735891647853E-2</v>
      </c>
      <c r="R28" s="10">
        <f t="shared" si="6"/>
        <v>0.26666666666666666</v>
      </c>
      <c r="S28" s="18">
        <f t="shared" si="7"/>
        <v>73.333333333333329</v>
      </c>
      <c r="T28" s="8">
        <f>480-ProductionData[[#This Row],[Downtime Minutes]]</f>
        <v>449</v>
      </c>
      <c r="U28" s="11">
        <f t="shared" si="8"/>
        <v>0.98663697104677062</v>
      </c>
      <c r="V28" s="18">
        <f>ProductionData[[#This Row],[Profit]]/ProductionData[[#This Row],[Good Units]]</f>
        <v>26.666666666666668</v>
      </c>
      <c r="W28" s="11">
        <f>ProductionData[[#This Row],[Good Units]]/ProductionData[[#This Row],[Operating Minutes]]</f>
        <v>0.93541202672605794</v>
      </c>
    </row>
    <row r="29" spans="1:23">
      <c r="A29" s="7">
        <v>46207</v>
      </c>
      <c r="B29" s="8" t="s">
        <v>19</v>
      </c>
      <c r="C29" s="8" t="s">
        <v>20</v>
      </c>
      <c r="D29" s="8" t="s">
        <v>21</v>
      </c>
      <c r="E29" s="8" t="s">
        <v>22</v>
      </c>
      <c r="F29" s="9">
        <v>440</v>
      </c>
      <c r="G29" s="9">
        <v>421</v>
      </c>
      <c r="H29" s="9">
        <v>19</v>
      </c>
      <c r="I29" s="9">
        <f t="shared" si="0"/>
        <v>402</v>
      </c>
      <c r="J29" s="9">
        <v>27</v>
      </c>
      <c r="K29" s="10">
        <f t="shared" si="1"/>
        <v>5.6250000000000001E-2</v>
      </c>
      <c r="L29" s="17">
        <v>100</v>
      </c>
      <c r="M29" s="17">
        <v>30800</v>
      </c>
      <c r="N29" s="17">
        <f t="shared" si="2"/>
        <v>40200</v>
      </c>
      <c r="O29" s="17">
        <f t="shared" si="3"/>
        <v>9400</v>
      </c>
      <c r="P29" s="10">
        <f t="shared" si="4"/>
        <v>0.95681818181818179</v>
      </c>
      <c r="Q29" s="10">
        <f t="shared" si="5"/>
        <v>4.5130641330166268E-2</v>
      </c>
      <c r="R29" s="10">
        <f t="shared" si="6"/>
        <v>0.23383084577114427</v>
      </c>
      <c r="S29" s="18">
        <f t="shared" si="7"/>
        <v>76.616915422885569</v>
      </c>
      <c r="T29" s="8">
        <f>480-ProductionData[[#This Row],[Downtime Minutes]]</f>
        <v>453</v>
      </c>
      <c r="U29" s="11">
        <f t="shared" si="8"/>
        <v>0.92935982339955847</v>
      </c>
      <c r="V29" s="18">
        <f>ProductionData[[#This Row],[Profit]]/ProductionData[[#This Row],[Good Units]]</f>
        <v>23.383084577114428</v>
      </c>
      <c r="W29" s="11">
        <f>ProductionData[[#This Row],[Good Units]]/ProductionData[[#This Row],[Operating Minutes]]</f>
        <v>0.88741721854304634</v>
      </c>
    </row>
    <row r="30" spans="1:23">
      <c r="A30" s="7">
        <v>46207</v>
      </c>
      <c r="B30" s="8" t="s">
        <v>19</v>
      </c>
      <c r="C30" s="8" t="s">
        <v>20</v>
      </c>
      <c r="D30" s="8" t="s">
        <v>23</v>
      </c>
      <c r="E30" s="8" t="s">
        <v>24</v>
      </c>
      <c r="F30" s="9">
        <v>410</v>
      </c>
      <c r="G30" s="9">
        <v>386</v>
      </c>
      <c r="H30" s="9">
        <v>14</v>
      </c>
      <c r="I30" s="9">
        <f t="shared" si="0"/>
        <v>372</v>
      </c>
      <c r="J30" s="9">
        <v>41</v>
      </c>
      <c r="K30" s="10">
        <f t="shared" si="1"/>
        <v>8.5416666666666669E-2</v>
      </c>
      <c r="L30" s="17">
        <v>120</v>
      </c>
      <c r="M30" s="17">
        <v>30800</v>
      </c>
      <c r="N30" s="17">
        <f t="shared" si="2"/>
        <v>44640</v>
      </c>
      <c r="O30" s="17">
        <f t="shared" si="3"/>
        <v>13840</v>
      </c>
      <c r="P30" s="10">
        <f t="shared" si="4"/>
        <v>0.94146341463414629</v>
      </c>
      <c r="Q30" s="10">
        <f t="shared" si="5"/>
        <v>3.6269430051813469E-2</v>
      </c>
      <c r="R30" s="10">
        <f t="shared" si="6"/>
        <v>0.31003584229390679</v>
      </c>
      <c r="S30" s="18">
        <f t="shared" si="7"/>
        <v>82.795698924731184</v>
      </c>
      <c r="T30" s="8">
        <f>480-ProductionData[[#This Row],[Downtime Minutes]]</f>
        <v>439</v>
      </c>
      <c r="U30" s="11">
        <f t="shared" si="8"/>
        <v>0.87927107061503418</v>
      </c>
      <c r="V30" s="18">
        <f>ProductionData[[#This Row],[Profit]]/ProductionData[[#This Row],[Good Units]]</f>
        <v>37.204301075268816</v>
      </c>
      <c r="W30" s="11">
        <f>ProductionData[[#This Row],[Good Units]]/ProductionData[[#This Row],[Operating Minutes]]</f>
        <v>0.84738041002277908</v>
      </c>
    </row>
    <row r="31" spans="1:23">
      <c r="A31" s="7">
        <v>46207</v>
      </c>
      <c r="B31" s="8" t="s">
        <v>19</v>
      </c>
      <c r="C31" s="8" t="s">
        <v>20</v>
      </c>
      <c r="D31" s="8" t="s">
        <v>25</v>
      </c>
      <c r="E31" s="8" t="s">
        <v>26</v>
      </c>
      <c r="F31" s="9">
        <v>500</v>
      </c>
      <c r="G31" s="9">
        <v>454</v>
      </c>
      <c r="H31" s="9">
        <v>18</v>
      </c>
      <c r="I31" s="9">
        <f t="shared" si="0"/>
        <v>436</v>
      </c>
      <c r="J31" s="9">
        <v>37</v>
      </c>
      <c r="K31" s="10">
        <f t="shared" si="1"/>
        <v>7.7083333333333337E-2</v>
      </c>
      <c r="L31" s="17">
        <v>90</v>
      </c>
      <c r="M31" s="17">
        <v>30800</v>
      </c>
      <c r="N31" s="17">
        <f t="shared" si="2"/>
        <v>39240</v>
      </c>
      <c r="O31" s="17">
        <f t="shared" si="3"/>
        <v>8440</v>
      </c>
      <c r="P31" s="10">
        <f t="shared" si="4"/>
        <v>0.90800000000000003</v>
      </c>
      <c r="Q31" s="10">
        <f t="shared" si="5"/>
        <v>3.9647577092511016E-2</v>
      </c>
      <c r="R31" s="10">
        <f t="shared" si="6"/>
        <v>0.21508664627930682</v>
      </c>
      <c r="S31" s="18">
        <f t="shared" si="7"/>
        <v>70.642201834862391</v>
      </c>
      <c r="T31" s="8">
        <f>480-ProductionData[[#This Row],[Downtime Minutes]]</f>
        <v>443</v>
      </c>
      <c r="U31" s="11">
        <f t="shared" si="8"/>
        <v>1.0248306997742664</v>
      </c>
      <c r="V31" s="18">
        <f>ProductionData[[#This Row],[Profit]]/ProductionData[[#This Row],[Good Units]]</f>
        <v>19.357798165137616</v>
      </c>
      <c r="W31" s="11">
        <f>ProductionData[[#This Row],[Good Units]]/ProductionData[[#This Row],[Operating Minutes]]</f>
        <v>0.98419864559819414</v>
      </c>
    </row>
    <row r="32" spans="1:23">
      <c r="A32" s="7">
        <v>46207</v>
      </c>
      <c r="B32" s="8" t="s">
        <v>19</v>
      </c>
      <c r="C32" s="8" t="s">
        <v>27</v>
      </c>
      <c r="D32" s="8" t="s">
        <v>21</v>
      </c>
      <c r="E32" s="8" t="s">
        <v>24</v>
      </c>
      <c r="F32" s="9">
        <v>390</v>
      </c>
      <c r="G32" s="9">
        <v>344</v>
      </c>
      <c r="H32" s="9">
        <v>16</v>
      </c>
      <c r="I32" s="9">
        <f t="shared" si="0"/>
        <v>328</v>
      </c>
      <c r="J32" s="9">
        <v>38</v>
      </c>
      <c r="K32" s="10">
        <f t="shared" si="1"/>
        <v>7.9166666666666663E-2</v>
      </c>
      <c r="L32" s="17">
        <v>120</v>
      </c>
      <c r="M32" s="17">
        <v>30800</v>
      </c>
      <c r="N32" s="17">
        <f t="shared" si="2"/>
        <v>39360</v>
      </c>
      <c r="O32" s="17">
        <f t="shared" si="3"/>
        <v>8560</v>
      </c>
      <c r="P32" s="10">
        <f t="shared" si="4"/>
        <v>0.88205128205128203</v>
      </c>
      <c r="Q32" s="10">
        <f t="shared" si="5"/>
        <v>4.6511627906976744E-2</v>
      </c>
      <c r="R32" s="10">
        <f t="shared" si="6"/>
        <v>0.21747967479674796</v>
      </c>
      <c r="S32" s="18">
        <f t="shared" si="7"/>
        <v>93.902439024390247</v>
      </c>
      <c r="T32" s="8">
        <f>480-ProductionData[[#This Row],[Downtime Minutes]]</f>
        <v>442</v>
      </c>
      <c r="U32" s="11">
        <f t="shared" si="8"/>
        <v>0.77828054298642535</v>
      </c>
      <c r="V32" s="18">
        <f>ProductionData[[#This Row],[Profit]]/ProductionData[[#This Row],[Good Units]]</f>
        <v>26.097560975609756</v>
      </c>
      <c r="W32" s="11">
        <f>ProductionData[[#This Row],[Good Units]]/ProductionData[[#This Row],[Operating Minutes]]</f>
        <v>0.74208144796380093</v>
      </c>
    </row>
    <row r="33" spans="1:23">
      <c r="A33" s="7">
        <v>46207</v>
      </c>
      <c r="B33" s="8" t="s">
        <v>19</v>
      </c>
      <c r="C33" s="8" t="s">
        <v>27</v>
      </c>
      <c r="D33" s="8" t="s">
        <v>23</v>
      </c>
      <c r="E33" s="8" t="s">
        <v>26</v>
      </c>
      <c r="F33" s="9">
        <v>510</v>
      </c>
      <c r="G33" s="9">
        <v>463</v>
      </c>
      <c r="H33" s="9">
        <v>29</v>
      </c>
      <c r="I33" s="9">
        <f t="shared" si="0"/>
        <v>434</v>
      </c>
      <c r="J33" s="9">
        <v>55</v>
      </c>
      <c r="K33" s="10">
        <f t="shared" si="1"/>
        <v>0.11458333333333333</v>
      </c>
      <c r="L33" s="17">
        <v>90</v>
      </c>
      <c r="M33" s="17">
        <v>30800</v>
      </c>
      <c r="N33" s="17">
        <f t="shared" si="2"/>
        <v>39060</v>
      </c>
      <c r="O33" s="17">
        <f t="shared" si="3"/>
        <v>8260</v>
      </c>
      <c r="P33" s="10">
        <f t="shared" si="4"/>
        <v>0.90784313725490196</v>
      </c>
      <c r="Q33" s="10">
        <f t="shared" si="5"/>
        <v>6.2634989200863925E-2</v>
      </c>
      <c r="R33" s="10">
        <f t="shared" si="6"/>
        <v>0.21146953405017921</v>
      </c>
      <c r="S33" s="18">
        <f t="shared" si="7"/>
        <v>70.967741935483872</v>
      </c>
      <c r="T33" s="8">
        <f>480-ProductionData[[#This Row],[Downtime Minutes]]</f>
        <v>425</v>
      </c>
      <c r="U33" s="11">
        <f t="shared" si="8"/>
        <v>1.0894117647058823</v>
      </c>
      <c r="V33" s="18">
        <f>ProductionData[[#This Row],[Profit]]/ProductionData[[#This Row],[Good Units]]</f>
        <v>19.032258064516128</v>
      </c>
      <c r="W33" s="11">
        <f>ProductionData[[#This Row],[Good Units]]/ProductionData[[#This Row],[Operating Minutes]]</f>
        <v>1.0211764705882354</v>
      </c>
    </row>
    <row r="34" spans="1:23">
      <c r="A34" s="7">
        <v>46207</v>
      </c>
      <c r="B34" s="8" t="s">
        <v>19</v>
      </c>
      <c r="C34" s="8" t="s">
        <v>27</v>
      </c>
      <c r="D34" s="8" t="s">
        <v>25</v>
      </c>
      <c r="E34" s="8" t="s">
        <v>22</v>
      </c>
      <c r="F34" s="9">
        <v>440</v>
      </c>
      <c r="G34" s="9">
        <v>377</v>
      </c>
      <c r="H34" s="9">
        <v>29</v>
      </c>
      <c r="I34" s="9">
        <f t="shared" si="0"/>
        <v>348</v>
      </c>
      <c r="J34" s="9">
        <v>62</v>
      </c>
      <c r="K34" s="10">
        <f t="shared" si="1"/>
        <v>0.12916666666666668</v>
      </c>
      <c r="L34" s="17">
        <v>100</v>
      </c>
      <c r="M34" s="17">
        <v>30800</v>
      </c>
      <c r="N34" s="17">
        <f t="shared" si="2"/>
        <v>34800</v>
      </c>
      <c r="O34" s="17">
        <f t="shared" si="3"/>
        <v>4000</v>
      </c>
      <c r="P34" s="10">
        <f t="shared" si="4"/>
        <v>0.85681818181818181</v>
      </c>
      <c r="Q34" s="10">
        <f t="shared" si="5"/>
        <v>7.6923076923076927E-2</v>
      </c>
      <c r="R34" s="10">
        <f t="shared" si="6"/>
        <v>0.11494252873563218</v>
      </c>
      <c r="S34" s="18">
        <f t="shared" si="7"/>
        <v>88.505747126436788</v>
      </c>
      <c r="T34" s="8">
        <f>480-ProductionData[[#This Row],[Downtime Minutes]]</f>
        <v>418</v>
      </c>
      <c r="U34" s="11">
        <f t="shared" si="8"/>
        <v>0.90191387559808611</v>
      </c>
      <c r="V34" s="18">
        <f>ProductionData[[#This Row],[Profit]]/ProductionData[[#This Row],[Good Units]]</f>
        <v>11.494252873563218</v>
      </c>
      <c r="W34" s="11">
        <f>ProductionData[[#This Row],[Good Units]]/ProductionData[[#This Row],[Operating Minutes]]</f>
        <v>0.83253588516746413</v>
      </c>
    </row>
    <row r="35" spans="1:23">
      <c r="A35" s="7">
        <v>46207</v>
      </c>
      <c r="B35" s="8" t="s">
        <v>19</v>
      </c>
      <c r="C35" s="8" t="s">
        <v>28</v>
      </c>
      <c r="D35" s="8" t="s">
        <v>21</v>
      </c>
      <c r="E35" s="8" t="s">
        <v>26</v>
      </c>
      <c r="F35" s="9">
        <v>510</v>
      </c>
      <c r="G35" s="9">
        <v>492</v>
      </c>
      <c r="H35" s="9">
        <v>11</v>
      </c>
      <c r="I35" s="9">
        <f t="shared" si="0"/>
        <v>481</v>
      </c>
      <c r="J35" s="9">
        <v>22</v>
      </c>
      <c r="K35" s="10">
        <f t="shared" si="1"/>
        <v>4.583333333333333E-2</v>
      </c>
      <c r="L35" s="17">
        <v>90</v>
      </c>
      <c r="M35" s="17">
        <v>30800</v>
      </c>
      <c r="N35" s="17">
        <f t="shared" si="2"/>
        <v>43290</v>
      </c>
      <c r="O35" s="17">
        <f t="shared" si="3"/>
        <v>12490</v>
      </c>
      <c r="P35" s="10">
        <f t="shared" si="4"/>
        <v>0.96470588235294119</v>
      </c>
      <c r="Q35" s="10">
        <f t="shared" si="5"/>
        <v>2.2357723577235773E-2</v>
      </c>
      <c r="R35" s="10">
        <f t="shared" si="6"/>
        <v>0.28851928851928854</v>
      </c>
      <c r="S35" s="18">
        <f t="shared" si="7"/>
        <v>64.033264033264032</v>
      </c>
      <c r="T35" s="8">
        <f>480-ProductionData[[#This Row],[Downtime Minutes]]</f>
        <v>458</v>
      </c>
      <c r="U35" s="11">
        <f t="shared" si="8"/>
        <v>1.0742358078602621</v>
      </c>
      <c r="V35" s="18">
        <f>ProductionData[[#This Row],[Profit]]/ProductionData[[#This Row],[Good Units]]</f>
        <v>25.966735966735968</v>
      </c>
      <c r="W35" s="11">
        <f>ProductionData[[#This Row],[Good Units]]/ProductionData[[#This Row],[Operating Minutes]]</f>
        <v>1.0502183406113537</v>
      </c>
    </row>
    <row r="36" spans="1:23">
      <c r="A36" s="7">
        <v>46207</v>
      </c>
      <c r="B36" s="8" t="s">
        <v>19</v>
      </c>
      <c r="C36" s="8" t="s">
        <v>28</v>
      </c>
      <c r="D36" s="8" t="s">
        <v>23</v>
      </c>
      <c r="E36" s="8" t="s">
        <v>22</v>
      </c>
      <c r="F36" s="9">
        <v>460</v>
      </c>
      <c r="G36" s="9">
        <v>438</v>
      </c>
      <c r="H36" s="9">
        <v>20</v>
      </c>
      <c r="I36" s="9">
        <f t="shared" si="0"/>
        <v>418</v>
      </c>
      <c r="J36" s="9">
        <v>33</v>
      </c>
      <c r="K36" s="10">
        <f t="shared" si="1"/>
        <v>6.8750000000000006E-2</v>
      </c>
      <c r="L36" s="17">
        <v>100</v>
      </c>
      <c r="M36" s="17">
        <v>30800</v>
      </c>
      <c r="N36" s="17">
        <f t="shared" si="2"/>
        <v>41800</v>
      </c>
      <c r="O36" s="17">
        <f t="shared" si="3"/>
        <v>11000</v>
      </c>
      <c r="P36" s="10">
        <f t="shared" si="4"/>
        <v>0.95217391304347831</v>
      </c>
      <c r="Q36" s="10">
        <f t="shared" si="5"/>
        <v>4.5662100456621002E-2</v>
      </c>
      <c r="R36" s="10">
        <f t="shared" si="6"/>
        <v>0.26315789473684209</v>
      </c>
      <c r="S36" s="18">
        <f t="shared" si="7"/>
        <v>73.684210526315795</v>
      </c>
      <c r="T36" s="8">
        <f>480-ProductionData[[#This Row],[Downtime Minutes]]</f>
        <v>447</v>
      </c>
      <c r="U36" s="11">
        <f t="shared" si="8"/>
        <v>0.97986577181208057</v>
      </c>
      <c r="V36" s="18">
        <f>ProductionData[[#This Row],[Profit]]/ProductionData[[#This Row],[Good Units]]</f>
        <v>26.315789473684209</v>
      </c>
      <c r="W36" s="11">
        <f>ProductionData[[#This Row],[Good Units]]/ProductionData[[#This Row],[Operating Minutes]]</f>
        <v>0.93512304250559286</v>
      </c>
    </row>
    <row r="37" spans="1:23">
      <c r="A37" s="7">
        <v>46207</v>
      </c>
      <c r="B37" s="8" t="s">
        <v>19</v>
      </c>
      <c r="C37" s="8" t="s">
        <v>28</v>
      </c>
      <c r="D37" s="8" t="s">
        <v>25</v>
      </c>
      <c r="E37" s="8" t="s">
        <v>24</v>
      </c>
      <c r="F37" s="9">
        <v>410</v>
      </c>
      <c r="G37" s="9">
        <v>380</v>
      </c>
      <c r="H37" s="9">
        <v>12</v>
      </c>
      <c r="I37" s="9">
        <f t="shared" si="0"/>
        <v>368</v>
      </c>
      <c r="J37" s="9">
        <v>25</v>
      </c>
      <c r="K37" s="10">
        <f t="shared" si="1"/>
        <v>5.2083333333333336E-2</v>
      </c>
      <c r="L37" s="17">
        <v>120</v>
      </c>
      <c r="M37" s="17">
        <v>30800</v>
      </c>
      <c r="N37" s="17">
        <f t="shared" si="2"/>
        <v>44160</v>
      </c>
      <c r="O37" s="17">
        <f t="shared" si="3"/>
        <v>13360</v>
      </c>
      <c r="P37" s="10">
        <f t="shared" si="4"/>
        <v>0.92682926829268297</v>
      </c>
      <c r="Q37" s="10">
        <f t="shared" si="5"/>
        <v>3.1578947368421054E-2</v>
      </c>
      <c r="R37" s="10">
        <f t="shared" si="6"/>
        <v>0.30253623188405798</v>
      </c>
      <c r="S37" s="18">
        <f t="shared" si="7"/>
        <v>83.695652173913047</v>
      </c>
      <c r="T37" s="8">
        <f>480-ProductionData[[#This Row],[Downtime Minutes]]</f>
        <v>455</v>
      </c>
      <c r="U37" s="11">
        <f t="shared" si="8"/>
        <v>0.8351648351648352</v>
      </c>
      <c r="V37" s="18">
        <f>ProductionData[[#This Row],[Profit]]/ProductionData[[#This Row],[Good Units]]</f>
        <v>36.304347826086953</v>
      </c>
      <c r="W37" s="11">
        <f>ProductionData[[#This Row],[Good Units]]/ProductionData[[#This Row],[Operating Minutes]]</f>
        <v>0.8087912087912088</v>
      </c>
    </row>
    <row r="38" spans="1:23">
      <c r="A38" s="7">
        <v>46208</v>
      </c>
      <c r="B38" s="8" t="s">
        <v>19</v>
      </c>
      <c r="C38" s="8" t="s">
        <v>20</v>
      </c>
      <c r="D38" s="8" t="s">
        <v>21</v>
      </c>
      <c r="E38" s="8" t="s">
        <v>24</v>
      </c>
      <c r="F38" s="9">
        <v>380</v>
      </c>
      <c r="G38" s="9">
        <v>362</v>
      </c>
      <c r="H38" s="9">
        <v>11</v>
      </c>
      <c r="I38" s="9">
        <f t="shared" si="0"/>
        <v>351</v>
      </c>
      <c r="J38" s="9">
        <v>18</v>
      </c>
      <c r="K38" s="10">
        <f t="shared" si="1"/>
        <v>3.7499999999999999E-2</v>
      </c>
      <c r="L38" s="17">
        <v>120</v>
      </c>
      <c r="M38" s="17">
        <v>30800</v>
      </c>
      <c r="N38" s="17">
        <f t="shared" si="2"/>
        <v>42120</v>
      </c>
      <c r="O38" s="17">
        <f t="shared" si="3"/>
        <v>11320</v>
      </c>
      <c r="P38" s="10">
        <f t="shared" si="4"/>
        <v>0.95263157894736838</v>
      </c>
      <c r="Q38" s="10">
        <f t="shared" si="5"/>
        <v>3.0386740331491711E-2</v>
      </c>
      <c r="R38" s="10">
        <f t="shared" si="6"/>
        <v>0.26875593542260207</v>
      </c>
      <c r="S38" s="18">
        <f t="shared" si="7"/>
        <v>87.749287749287745</v>
      </c>
      <c r="T38" s="8">
        <f>480-ProductionData[[#This Row],[Downtime Minutes]]</f>
        <v>462</v>
      </c>
      <c r="U38" s="11">
        <f t="shared" si="8"/>
        <v>0.78354978354978355</v>
      </c>
      <c r="V38" s="18">
        <f>ProductionData[[#This Row],[Profit]]/ProductionData[[#This Row],[Good Units]]</f>
        <v>32.250712250712247</v>
      </c>
      <c r="W38" s="11">
        <f>ProductionData[[#This Row],[Good Units]]/ProductionData[[#This Row],[Operating Minutes]]</f>
        <v>0.75974025974025972</v>
      </c>
    </row>
    <row r="39" spans="1:23">
      <c r="A39" s="7">
        <v>46208</v>
      </c>
      <c r="B39" s="8" t="s">
        <v>19</v>
      </c>
      <c r="C39" s="8" t="s">
        <v>20</v>
      </c>
      <c r="D39" s="8" t="s">
        <v>23</v>
      </c>
      <c r="E39" s="8" t="s">
        <v>26</v>
      </c>
      <c r="F39" s="9">
        <v>510</v>
      </c>
      <c r="G39" s="9">
        <v>466</v>
      </c>
      <c r="H39" s="9">
        <v>14</v>
      </c>
      <c r="I39" s="9">
        <f t="shared" si="0"/>
        <v>452</v>
      </c>
      <c r="J39" s="9">
        <v>21</v>
      </c>
      <c r="K39" s="10">
        <f t="shared" si="1"/>
        <v>4.3749999999999997E-2</v>
      </c>
      <c r="L39" s="17">
        <v>90</v>
      </c>
      <c r="M39" s="17">
        <v>30800</v>
      </c>
      <c r="N39" s="17">
        <f t="shared" si="2"/>
        <v>40680</v>
      </c>
      <c r="O39" s="17">
        <f t="shared" si="3"/>
        <v>9880</v>
      </c>
      <c r="P39" s="10">
        <f t="shared" si="4"/>
        <v>0.9137254901960784</v>
      </c>
      <c r="Q39" s="10">
        <f t="shared" si="5"/>
        <v>3.0042918454935622E-2</v>
      </c>
      <c r="R39" s="10">
        <f t="shared" si="6"/>
        <v>0.24287118977384464</v>
      </c>
      <c r="S39" s="18">
        <f t="shared" si="7"/>
        <v>68.141592920353986</v>
      </c>
      <c r="T39" s="8">
        <f>480-ProductionData[[#This Row],[Downtime Minutes]]</f>
        <v>459</v>
      </c>
      <c r="U39" s="11">
        <f t="shared" si="8"/>
        <v>1.0152505446623095</v>
      </c>
      <c r="V39" s="18">
        <f>ProductionData[[#This Row],[Profit]]/ProductionData[[#This Row],[Good Units]]</f>
        <v>21.858407079646017</v>
      </c>
      <c r="W39" s="11">
        <f>ProductionData[[#This Row],[Good Units]]/ProductionData[[#This Row],[Operating Minutes]]</f>
        <v>0.98474945533769065</v>
      </c>
    </row>
    <row r="40" spans="1:23">
      <c r="A40" s="7">
        <v>46208</v>
      </c>
      <c r="B40" s="8" t="s">
        <v>19</v>
      </c>
      <c r="C40" s="8" t="s">
        <v>20</v>
      </c>
      <c r="D40" s="8" t="s">
        <v>25</v>
      </c>
      <c r="E40" s="8" t="s">
        <v>22</v>
      </c>
      <c r="F40" s="9">
        <v>430</v>
      </c>
      <c r="G40" s="9">
        <v>385</v>
      </c>
      <c r="H40" s="9">
        <v>23</v>
      </c>
      <c r="I40" s="9">
        <f t="shared" si="0"/>
        <v>362</v>
      </c>
      <c r="J40" s="9">
        <v>42</v>
      </c>
      <c r="K40" s="10">
        <f t="shared" si="1"/>
        <v>8.7499999999999994E-2</v>
      </c>
      <c r="L40" s="17">
        <v>100</v>
      </c>
      <c r="M40" s="17">
        <v>30800</v>
      </c>
      <c r="N40" s="17">
        <f t="shared" si="2"/>
        <v>36200</v>
      </c>
      <c r="O40" s="17">
        <f t="shared" si="3"/>
        <v>5400</v>
      </c>
      <c r="P40" s="10">
        <f t="shared" si="4"/>
        <v>0.89534883720930236</v>
      </c>
      <c r="Q40" s="10">
        <f t="shared" si="5"/>
        <v>5.9740259740259739E-2</v>
      </c>
      <c r="R40" s="10">
        <f t="shared" si="6"/>
        <v>0.14917127071823205</v>
      </c>
      <c r="S40" s="18">
        <f t="shared" si="7"/>
        <v>85.082872928176798</v>
      </c>
      <c r="T40" s="8">
        <f>480-ProductionData[[#This Row],[Downtime Minutes]]</f>
        <v>438</v>
      </c>
      <c r="U40" s="11">
        <f t="shared" si="8"/>
        <v>0.87899543378995437</v>
      </c>
      <c r="V40" s="18">
        <f>ProductionData[[#This Row],[Profit]]/ProductionData[[#This Row],[Good Units]]</f>
        <v>14.917127071823204</v>
      </c>
      <c r="W40" s="11">
        <f>ProductionData[[#This Row],[Good Units]]/ProductionData[[#This Row],[Operating Minutes]]</f>
        <v>0.82648401826484019</v>
      </c>
    </row>
    <row r="41" spans="1:23">
      <c r="A41" s="7">
        <v>46208</v>
      </c>
      <c r="B41" s="8" t="s">
        <v>19</v>
      </c>
      <c r="C41" s="8" t="s">
        <v>27</v>
      </c>
      <c r="D41" s="8" t="s">
        <v>21</v>
      </c>
      <c r="E41" s="8" t="s">
        <v>26</v>
      </c>
      <c r="F41" s="9">
        <v>490</v>
      </c>
      <c r="G41" s="9">
        <v>454</v>
      </c>
      <c r="H41" s="9">
        <v>23</v>
      </c>
      <c r="I41" s="9">
        <f t="shared" si="0"/>
        <v>431</v>
      </c>
      <c r="J41" s="9">
        <v>46</v>
      </c>
      <c r="K41" s="10">
        <f t="shared" si="1"/>
        <v>9.583333333333334E-2</v>
      </c>
      <c r="L41" s="17">
        <v>90</v>
      </c>
      <c r="M41" s="17">
        <v>30800</v>
      </c>
      <c r="N41" s="17">
        <f t="shared" si="2"/>
        <v>38790</v>
      </c>
      <c r="O41" s="17">
        <f t="shared" si="3"/>
        <v>7990</v>
      </c>
      <c r="P41" s="10">
        <f t="shared" si="4"/>
        <v>0.92653061224489797</v>
      </c>
      <c r="Q41" s="10">
        <f t="shared" si="5"/>
        <v>5.0660792951541848E-2</v>
      </c>
      <c r="R41" s="10">
        <f t="shared" si="6"/>
        <v>0.20598092291827791</v>
      </c>
      <c r="S41" s="18">
        <f t="shared" si="7"/>
        <v>71.461716937354993</v>
      </c>
      <c r="T41" s="8">
        <f>480-ProductionData[[#This Row],[Downtime Minutes]]</f>
        <v>434</v>
      </c>
      <c r="U41" s="11">
        <f t="shared" si="8"/>
        <v>1.0460829493087558</v>
      </c>
      <c r="V41" s="18">
        <f>ProductionData[[#This Row],[Profit]]/ProductionData[[#This Row],[Good Units]]</f>
        <v>18.538283062645011</v>
      </c>
      <c r="W41" s="11">
        <f>ProductionData[[#This Row],[Good Units]]/ProductionData[[#This Row],[Operating Minutes]]</f>
        <v>0.99308755760368661</v>
      </c>
    </row>
    <row r="42" spans="1:23">
      <c r="A42" s="7">
        <v>46208</v>
      </c>
      <c r="B42" s="8" t="s">
        <v>19</v>
      </c>
      <c r="C42" s="8" t="s">
        <v>27</v>
      </c>
      <c r="D42" s="8" t="s">
        <v>23</v>
      </c>
      <c r="E42" s="8" t="s">
        <v>22</v>
      </c>
      <c r="F42" s="9">
        <v>460</v>
      </c>
      <c r="G42" s="9">
        <v>418</v>
      </c>
      <c r="H42" s="9">
        <v>26</v>
      </c>
      <c r="I42" s="9">
        <f t="shared" si="0"/>
        <v>392</v>
      </c>
      <c r="J42" s="9">
        <v>51</v>
      </c>
      <c r="K42" s="10">
        <f t="shared" si="1"/>
        <v>0.10625</v>
      </c>
      <c r="L42" s="17">
        <v>100</v>
      </c>
      <c r="M42" s="17">
        <v>30800</v>
      </c>
      <c r="N42" s="17">
        <f t="shared" si="2"/>
        <v>39200</v>
      </c>
      <c r="O42" s="17">
        <f t="shared" si="3"/>
        <v>8400</v>
      </c>
      <c r="P42" s="10">
        <f t="shared" si="4"/>
        <v>0.90869565217391302</v>
      </c>
      <c r="Q42" s="10">
        <f t="shared" si="5"/>
        <v>6.2200956937799042E-2</v>
      </c>
      <c r="R42" s="10">
        <f t="shared" si="6"/>
        <v>0.21428571428571427</v>
      </c>
      <c r="S42" s="18">
        <f t="shared" si="7"/>
        <v>78.571428571428569</v>
      </c>
      <c r="T42" s="8">
        <f>480-ProductionData[[#This Row],[Downtime Minutes]]</f>
        <v>429</v>
      </c>
      <c r="U42" s="11">
        <f t="shared" si="8"/>
        <v>0.97435897435897434</v>
      </c>
      <c r="V42" s="18">
        <f>ProductionData[[#This Row],[Profit]]/ProductionData[[#This Row],[Good Units]]</f>
        <v>21.428571428571427</v>
      </c>
      <c r="W42" s="11">
        <f>ProductionData[[#This Row],[Good Units]]/ProductionData[[#This Row],[Operating Minutes]]</f>
        <v>0.91375291375291379</v>
      </c>
    </row>
    <row r="43" spans="1:23">
      <c r="A43" s="7">
        <v>46208</v>
      </c>
      <c r="B43" s="8" t="s">
        <v>19</v>
      </c>
      <c r="C43" s="8" t="s">
        <v>27</v>
      </c>
      <c r="D43" s="8" t="s">
        <v>25</v>
      </c>
      <c r="E43" s="8" t="s">
        <v>24</v>
      </c>
      <c r="F43" s="9">
        <v>400</v>
      </c>
      <c r="G43" s="9">
        <v>342</v>
      </c>
      <c r="H43" s="9">
        <v>20</v>
      </c>
      <c r="I43" s="9">
        <f t="shared" si="0"/>
        <v>322</v>
      </c>
      <c r="J43" s="9">
        <v>72</v>
      </c>
      <c r="K43" s="10">
        <f t="shared" si="1"/>
        <v>0.15</v>
      </c>
      <c r="L43" s="17">
        <v>120</v>
      </c>
      <c r="M43" s="17">
        <v>30800</v>
      </c>
      <c r="N43" s="17">
        <f t="shared" si="2"/>
        <v>38640</v>
      </c>
      <c r="O43" s="17">
        <f t="shared" si="3"/>
        <v>7840</v>
      </c>
      <c r="P43" s="10">
        <f t="shared" si="4"/>
        <v>0.85499999999999998</v>
      </c>
      <c r="Q43" s="10">
        <f t="shared" si="5"/>
        <v>5.8479532163742687E-2</v>
      </c>
      <c r="R43" s="10">
        <f t="shared" si="6"/>
        <v>0.20289855072463769</v>
      </c>
      <c r="S43" s="18">
        <f t="shared" si="7"/>
        <v>95.652173913043484</v>
      </c>
      <c r="T43" s="8">
        <f>480-ProductionData[[#This Row],[Downtime Minutes]]</f>
        <v>408</v>
      </c>
      <c r="U43" s="11">
        <f t="shared" si="8"/>
        <v>0.83823529411764708</v>
      </c>
      <c r="V43" s="18">
        <f>ProductionData[[#This Row],[Profit]]/ProductionData[[#This Row],[Good Units]]</f>
        <v>24.347826086956523</v>
      </c>
      <c r="W43" s="11">
        <f>ProductionData[[#This Row],[Good Units]]/ProductionData[[#This Row],[Operating Minutes]]</f>
        <v>0.78921568627450978</v>
      </c>
    </row>
    <row r="44" spans="1:23">
      <c r="A44" s="7">
        <v>46208</v>
      </c>
      <c r="B44" s="8" t="s">
        <v>19</v>
      </c>
      <c r="C44" s="8" t="s">
        <v>28</v>
      </c>
      <c r="D44" s="8" t="s">
        <v>21</v>
      </c>
      <c r="E44" s="8" t="s">
        <v>22</v>
      </c>
      <c r="F44" s="9">
        <v>460</v>
      </c>
      <c r="G44" s="9">
        <v>460</v>
      </c>
      <c r="H44" s="9">
        <v>15</v>
      </c>
      <c r="I44" s="9">
        <f t="shared" si="0"/>
        <v>445</v>
      </c>
      <c r="J44" s="9">
        <v>27</v>
      </c>
      <c r="K44" s="10">
        <f t="shared" si="1"/>
        <v>5.6250000000000001E-2</v>
      </c>
      <c r="L44" s="17">
        <v>100</v>
      </c>
      <c r="M44" s="17">
        <v>30800</v>
      </c>
      <c r="N44" s="17">
        <f t="shared" si="2"/>
        <v>44500</v>
      </c>
      <c r="O44" s="17">
        <f t="shared" si="3"/>
        <v>13700</v>
      </c>
      <c r="P44" s="10">
        <f t="shared" si="4"/>
        <v>1</v>
      </c>
      <c r="Q44" s="10">
        <f t="shared" si="5"/>
        <v>3.2608695652173912E-2</v>
      </c>
      <c r="R44" s="10">
        <f t="shared" si="6"/>
        <v>0.30786516853932583</v>
      </c>
      <c r="S44" s="18">
        <f t="shared" si="7"/>
        <v>69.213483146067418</v>
      </c>
      <c r="T44" s="8">
        <f>480-ProductionData[[#This Row],[Downtime Minutes]]</f>
        <v>453</v>
      </c>
      <c r="U44" s="11">
        <f t="shared" si="8"/>
        <v>1.0154525386313467</v>
      </c>
      <c r="V44" s="18">
        <f>ProductionData[[#This Row],[Profit]]/ProductionData[[#This Row],[Good Units]]</f>
        <v>30.786516853932586</v>
      </c>
      <c r="W44" s="11">
        <f>ProductionData[[#This Row],[Good Units]]/ProductionData[[#This Row],[Operating Minutes]]</f>
        <v>0.98233995584988965</v>
      </c>
    </row>
    <row r="45" spans="1:23">
      <c r="A45" s="7">
        <v>46208</v>
      </c>
      <c r="B45" s="8" t="s">
        <v>19</v>
      </c>
      <c r="C45" s="8" t="s">
        <v>28</v>
      </c>
      <c r="D45" s="8" t="s">
        <v>23</v>
      </c>
      <c r="E45" s="8" t="s">
        <v>24</v>
      </c>
      <c r="F45" s="9">
        <v>410</v>
      </c>
      <c r="G45" s="9">
        <v>384</v>
      </c>
      <c r="H45" s="9">
        <v>8</v>
      </c>
      <c r="I45" s="9">
        <f t="shared" si="0"/>
        <v>376</v>
      </c>
      <c r="J45" s="9">
        <v>34</v>
      </c>
      <c r="K45" s="10">
        <f t="shared" si="1"/>
        <v>7.0833333333333331E-2</v>
      </c>
      <c r="L45" s="17">
        <v>120</v>
      </c>
      <c r="M45" s="17">
        <v>30800</v>
      </c>
      <c r="N45" s="17">
        <f t="shared" si="2"/>
        <v>45120</v>
      </c>
      <c r="O45" s="17">
        <f t="shared" si="3"/>
        <v>14320</v>
      </c>
      <c r="P45" s="10">
        <f t="shared" si="4"/>
        <v>0.93658536585365859</v>
      </c>
      <c r="Q45" s="10">
        <f t="shared" si="5"/>
        <v>2.0833333333333332E-2</v>
      </c>
      <c r="R45" s="10">
        <f t="shared" si="6"/>
        <v>0.31737588652482268</v>
      </c>
      <c r="S45" s="18">
        <f t="shared" si="7"/>
        <v>81.914893617021278</v>
      </c>
      <c r="T45" s="8">
        <f>480-ProductionData[[#This Row],[Downtime Minutes]]</f>
        <v>446</v>
      </c>
      <c r="U45" s="11">
        <f t="shared" si="8"/>
        <v>0.86098654708520184</v>
      </c>
      <c r="V45" s="18">
        <f>ProductionData[[#This Row],[Profit]]/ProductionData[[#This Row],[Good Units]]</f>
        <v>38.085106382978722</v>
      </c>
      <c r="W45" s="11">
        <f>ProductionData[[#This Row],[Good Units]]/ProductionData[[#This Row],[Operating Minutes]]</f>
        <v>0.84304932735426008</v>
      </c>
    </row>
    <row r="46" spans="1:23">
      <c r="A46" s="7">
        <v>46208</v>
      </c>
      <c r="B46" s="8" t="s">
        <v>19</v>
      </c>
      <c r="C46" s="8" t="s">
        <v>28</v>
      </c>
      <c r="D46" s="8" t="s">
        <v>25</v>
      </c>
      <c r="E46" s="8" t="s">
        <v>26</v>
      </c>
      <c r="F46" s="9">
        <v>490</v>
      </c>
      <c r="G46" s="9">
        <v>446</v>
      </c>
      <c r="H46" s="9">
        <v>17</v>
      </c>
      <c r="I46" s="9">
        <f t="shared" si="0"/>
        <v>429</v>
      </c>
      <c r="J46" s="9">
        <v>20</v>
      </c>
      <c r="K46" s="10">
        <f t="shared" si="1"/>
        <v>4.1666666666666664E-2</v>
      </c>
      <c r="L46" s="17">
        <v>90</v>
      </c>
      <c r="M46" s="17">
        <v>30800</v>
      </c>
      <c r="N46" s="17">
        <f t="shared" si="2"/>
        <v>38610</v>
      </c>
      <c r="O46" s="17">
        <f t="shared" si="3"/>
        <v>7810</v>
      </c>
      <c r="P46" s="10">
        <f t="shared" si="4"/>
        <v>0.91020408163265309</v>
      </c>
      <c r="Q46" s="10">
        <f t="shared" si="5"/>
        <v>3.811659192825112E-2</v>
      </c>
      <c r="R46" s="10">
        <f t="shared" si="6"/>
        <v>0.20227920227920229</v>
      </c>
      <c r="S46" s="18">
        <f t="shared" si="7"/>
        <v>71.794871794871796</v>
      </c>
      <c r="T46" s="8">
        <f>480-ProductionData[[#This Row],[Downtime Minutes]]</f>
        <v>460</v>
      </c>
      <c r="U46" s="11">
        <f t="shared" si="8"/>
        <v>0.9695652173913043</v>
      </c>
      <c r="V46" s="18">
        <f>ProductionData[[#This Row],[Profit]]/ProductionData[[#This Row],[Good Units]]</f>
        <v>18.205128205128204</v>
      </c>
      <c r="W46" s="11">
        <f>ProductionData[[#This Row],[Good Units]]/ProductionData[[#This Row],[Operating Minutes]]</f>
        <v>0.93260869565217386</v>
      </c>
    </row>
    <row r="47" spans="1:23">
      <c r="A47" s="7">
        <v>46209</v>
      </c>
      <c r="B47" s="8" t="s">
        <v>19</v>
      </c>
      <c r="C47" s="8" t="s">
        <v>20</v>
      </c>
      <c r="D47" s="8" t="s">
        <v>21</v>
      </c>
      <c r="E47" s="8" t="s">
        <v>26</v>
      </c>
      <c r="F47" s="9">
        <v>510</v>
      </c>
      <c r="G47" s="9">
        <v>496</v>
      </c>
      <c r="H47" s="9">
        <v>13</v>
      </c>
      <c r="I47" s="9">
        <f t="shared" si="0"/>
        <v>483</v>
      </c>
      <c r="J47" s="9">
        <v>33</v>
      </c>
      <c r="K47" s="10">
        <f t="shared" si="1"/>
        <v>6.8750000000000006E-2</v>
      </c>
      <c r="L47" s="17">
        <v>90</v>
      </c>
      <c r="M47" s="17">
        <v>30800</v>
      </c>
      <c r="N47" s="17">
        <f t="shared" si="2"/>
        <v>43470</v>
      </c>
      <c r="O47" s="17">
        <f t="shared" si="3"/>
        <v>12670</v>
      </c>
      <c r="P47" s="10">
        <f t="shared" si="4"/>
        <v>0.97254901960784312</v>
      </c>
      <c r="Q47" s="10">
        <f t="shared" si="5"/>
        <v>2.620967741935484E-2</v>
      </c>
      <c r="R47" s="10">
        <f t="shared" si="6"/>
        <v>0.29146537842190018</v>
      </c>
      <c r="S47" s="18">
        <f t="shared" si="7"/>
        <v>63.768115942028984</v>
      </c>
      <c r="T47" s="8">
        <f>480-ProductionData[[#This Row],[Downtime Minutes]]</f>
        <v>447</v>
      </c>
      <c r="U47" s="11">
        <f t="shared" si="8"/>
        <v>1.109619686800895</v>
      </c>
      <c r="V47" s="18">
        <f>ProductionData[[#This Row],[Profit]]/ProductionData[[#This Row],[Good Units]]</f>
        <v>26.231884057971016</v>
      </c>
      <c r="W47" s="11">
        <f>ProductionData[[#This Row],[Good Units]]/ProductionData[[#This Row],[Operating Minutes]]</f>
        <v>1.080536912751678</v>
      </c>
    </row>
    <row r="48" spans="1:23">
      <c r="A48" s="7">
        <v>46209</v>
      </c>
      <c r="B48" s="8" t="s">
        <v>19</v>
      </c>
      <c r="C48" s="8" t="s">
        <v>20</v>
      </c>
      <c r="D48" s="8" t="s">
        <v>23</v>
      </c>
      <c r="E48" s="8" t="s">
        <v>22</v>
      </c>
      <c r="F48" s="9">
        <v>460</v>
      </c>
      <c r="G48" s="9">
        <v>446</v>
      </c>
      <c r="H48" s="9">
        <v>25</v>
      </c>
      <c r="I48" s="9">
        <f t="shared" si="0"/>
        <v>421</v>
      </c>
      <c r="J48" s="9">
        <v>37</v>
      </c>
      <c r="K48" s="10">
        <f t="shared" si="1"/>
        <v>7.7083333333333337E-2</v>
      </c>
      <c r="L48" s="17">
        <v>100</v>
      </c>
      <c r="M48" s="17">
        <v>30800</v>
      </c>
      <c r="N48" s="17">
        <f t="shared" si="2"/>
        <v>42100</v>
      </c>
      <c r="O48" s="17">
        <f t="shared" si="3"/>
        <v>11300</v>
      </c>
      <c r="P48" s="10">
        <f t="shared" si="4"/>
        <v>0.9695652173913043</v>
      </c>
      <c r="Q48" s="10">
        <f t="shared" si="5"/>
        <v>5.6053811659192827E-2</v>
      </c>
      <c r="R48" s="10">
        <f t="shared" si="6"/>
        <v>0.26840855106888362</v>
      </c>
      <c r="S48" s="18">
        <f t="shared" si="7"/>
        <v>73.159144893111645</v>
      </c>
      <c r="T48" s="8">
        <f>480-ProductionData[[#This Row],[Downtime Minutes]]</f>
        <v>443</v>
      </c>
      <c r="U48" s="11">
        <f t="shared" si="8"/>
        <v>1.0067720090293453</v>
      </c>
      <c r="V48" s="18">
        <f>ProductionData[[#This Row],[Profit]]/ProductionData[[#This Row],[Good Units]]</f>
        <v>26.840855106888363</v>
      </c>
      <c r="W48" s="11">
        <f>ProductionData[[#This Row],[Good Units]]/ProductionData[[#This Row],[Operating Minutes]]</f>
        <v>0.95033860045146723</v>
      </c>
    </row>
    <row r="49" spans="1:23">
      <c r="A49" s="7">
        <v>46209</v>
      </c>
      <c r="B49" s="8" t="s">
        <v>19</v>
      </c>
      <c r="C49" s="8" t="s">
        <v>20</v>
      </c>
      <c r="D49" s="8" t="s">
        <v>25</v>
      </c>
      <c r="E49" s="8" t="s">
        <v>24</v>
      </c>
      <c r="F49" s="9">
        <v>400</v>
      </c>
      <c r="G49" s="9">
        <v>364</v>
      </c>
      <c r="H49" s="9">
        <v>17</v>
      </c>
      <c r="I49" s="9">
        <f t="shared" si="0"/>
        <v>347</v>
      </c>
      <c r="J49" s="9">
        <v>32</v>
      </c>
      <c r="K49" s="10">
        <f t="shared" si="1"/>
        <v>6.6666666666666666E-2</v>
      </c>
      <c r="L49" s="17">
        <v>120</v>
      </c>
      <c r="M49" s="17">
        <v>30800</v>
      </c>
      <c r="N49" s="17">
        <f t="shared" si="2"/>
        <v>41640</v>
      </c>
      <c r="O49" s="17">
        <f t="shared" si="3"/>
        <v>10840</v>
      </c>
      <c r="P49" s="10">
        <f t="shared" si="4"/>
        <v>0.91</v>
      </c>
      <c r="Q49" s="10">
        <f t="shared" si="5"/>
        <v>4.6703296703296704E-2</v>
      </c>
      <c r="R49" s="10">
        <f t="shared" si="6"/>
        <v>0.26032660902977905</v>
      </c>
      <c r="S49" s="18">
        <f t="shared" si="7"/>
        <v>88.760806916426517</v>
      </c>
      <c r="T49" s="8">
        <f>480-ProductionData[[#This Row],[Downtime Minutes]]</f>
        <v>448</v>
      </c>
      <c r="U49" s="11">
        <f t="shared" si="8"/>
        <v>0.8125</v>
      </c>
      <c r="V49" s="18">
        <f>ProductionData[[#This Row],[Profit]]/ProductionData[[#This Row],[Good Units]]</f>
        <v>31.239193083573486</v>
      </c>
      <c r="W49" s="11">
        <f>ProductionData[[#This Row],[Good Units]]/ProductionData[[#This Row],[Operating Minutes]]</f>
        <v>0.7745535714285714</v>
      </c>
    </row>
    <row r="50" spans="1:23">
      <c r="A50" s="7">
        <v>46209</v>
      </c>
      <c r="B50" s="8" t="s">
        <v>19</v>
      </c>
      <c r="C50" s="8" t="s">
        <v>27</v>
      </c>
      <c r="D50" s="8" t="s">
        <v>21</v>
      </c>
      <c r="E50" s="8" t="s">
        <v>22</v>
      </c>
      <c r="F50" s="9">
        <v>450</v>
      </c>
      <c r="G50" s="9">
        <v>419</v>
      </c>
      <c r="H50" s="9">
        <v>24</v>
      </c>
      <c r="I50" s="9">
        <f t="shared" si="0"/>
        <v>395</v>
      </c>
      <c r="J50" s="9">
        <v>55</v>
      </c>
      <c r="K50" s="10">
        <f t="shared" si="1"/>
        <v>0.11458333333333333</v>
      </c>
      <c r="L50" s="17">
        <v>100</v>
      </c>
      <c r="M50" s="17">
        <v>30800</v>
      </c>
      <c r="N50" s="17">
        <f t="shared" si="2"/>
        <v>39500</v>
      </c>
      <c r="O50" s="17">
        <f t="shared" si="3"/>
        <v>8700</v>
      </c>
      <c r="P50" s="10">
        <f t="shared" si="4"/>
        <v>0.93111111111111111</v>
      </c>
      <c r="Q50" s="10">
        <f t="shared" si="5"/>
        <v>5.7279236276849645E-2</v>
      </c>
      <c r="R50" s="10">
        <f t="shared" si="6"/>
        <v>0.22025316455696203</v>
      </c>
      <c r="S50" s="18">
        <f t="shared" si="7"/>
        <v>77.974683544303801</v>
      </c>
      <c r="T50" s="8">
        <f>480-ProductionData[[#This Row],[Downtime Minutes]]</f>
        <v>425</v>
      </c>
      <c r="U50" s="11">
        <f t="shared" si="8"/>
        <v>0.98588235294117643</v>
      </c>
      <c r="V50" s="18">
        <f>ProductionData[[#This Row],[Profit]]/ProductionData[[#This Row],[Good Units]]</f>
        <v>22.025316455696203</v>
      </c>
      <c r="W50" s="11">
        <f>ProductionData[[#This Row],[Good Units]]/ProductionData[[#This Row],[Operating Minutes]]</f>
        <v>0.92941176470588238</v>
      </c>
    </row>
    <row r="51" spans="1:23">
      <c r="A51" s="7">
        <v>46209</v>
      </c>
      <c r="B51" s="8" t="s">
        <v>19</v>
      </c>
      <c r="C51" s="8" t="s">
        <v>27</v>
      </c>
      <c r="D51" s="8" t="s">
        <v>23</v>
      </c>
      <c r="E51" s="8" t="s">
        <v>24</v>
      </c>
      <c r="F51" s="9">
        <v>400</v>
      </c>
      <c r="G51" s="9">
        <v>367</v>
      </c>
      <c r="H51" s="9">
        <v>22</v>
      </c>
      <c r="I51" s="9">
        <f t="shared" si="0"/>
        <v>345</v>
      </c>
      <c r="J51" s="9">
        <v>60</v>
      </c>
      <c r="K51" s="10">
        <f t="shared" si="1"/>
        <v>0.125</v>
      </c>
      <c r="L51" s="17">
        <v>120</v>
      </c>
      <c r="M51" s="17">
        <v>30800</v>
      </c>
      <c r="N51" s="17">
        <f t="shared" si="2"/>
        <v>41400</v>
      </c>
      <c r="O51" s="17">
        <f t="shared" si="3"/>
        <v>10600</v>
      </c>
      <c r="P51" s="10">
        <f t="shared" si="4"/>
        <v>0.91749999999999998</v>
      </c>
      <c r="Q51" s="10">
        <f t="shared" si="5"/>
        <v>5.9945504087193457E-2</v>
      </c>
      <c r="R51" s="10">
        <f t="shared" si="6"/>
        <v>0.2560386473429952</v>
      </c>
      <c r="S51" s="18">
        <f t="shared" si="7"/>
        <v>89.275362318840578</v>
      </c>
      <c r="T51" s="8">
        <f>480-ProductionData[[#This Row],[Downtime Minutes]]</f>
        <v>420</v>
      </c>
      <c r="U51" s="11">
        <f t="shared" si="8"/>
        <v>0.87380952380952381</v>
      </c>
      <c r="V51" s="18">
        <f>ProductionData[[#This Row],[Profit]]/ProductionData[[#This Row],[Good Units]]</f>
        <v>30.724637681159422</v>
      </c>
      <c r="W51" s="11">
        <f>ProductionData[[#This Row],[Good Units]]/ProductionData[[#This Row],[Operating Minutes]]</f>
        <v>0.8214285714285714</v>
      </c>
    </row>
    <row r="52" spans="1:23">
      <c r="A52" s="7">
        <v>46209</v>
      </c>
      <c r="B52" s="8" t="s">
        <v>19</v>
      </c>
      <c r="C52" s="8" t="s">
        <v>27</v>
      </c>
      <c r="D52" s="8" t="s">
        <v>25</v>
      </c>
      <c r="E52" s="8" t="s">
        <v>26</v>
      </c>
      <c r="F52" s="9">
        <v>510</v>
      </c>
      <c r="G52" s="9">
        <v>429</v>
      </c>
      <c r="H52" s="9">
        <v>26</v>
      </c>
      <c r="I52" s="9">
        <f t="shared" si="0"/>
        <v>403</v>
      </c>
      <c r="J52" s="9">
        <v>45</v>
      </c>
      <c r="K52" s="10">
        <f t="shared" si="1"/>
        <v>9.375E-2</v>
      </c>
      <c r="L52" s="17">
        <v>90</v>
      </c>
      <c r="M52" s="17">
        <v>30800</v>
      </c>
      <c r="N52" s="17">
        <f t="shared" si="2"/>
        <v>36270</v>
      </c>
      <c r="O52" s="17">
        <f t="shared" si="3"/>
        <v>5470</v>
      </c>
      <c r="P52" s="10">
        <f t="shared" si="4"/>
        <v>0.8411764705882353</v>
      </c>
      <c r="Q52" s="10">
        <f t="shared" si="5"/>
        <v>6.0606060606060608E-2</v>
      </c>
      <c r="R52" s="10">
        <f t="shared" si="6"/>
        <v>0.15081334436173147</v>
      </c>
      <c r="S52" s="18">
        <f t="shared" si="7"/>
        <v>76.426799007444174</v>
      </c>
      <c r="T52" s="8">
        <f>480-ProductionData[[#This Row],[Downtime Minutes]]</f>
        <v>435</v>
      </c>
      <c r="U52" s="11">
        <f t="shared" si="8"/>
        <v>0.98620689655172411</v>
      </c>
      <c r="V52" s="18">
        <f>ProductionData[[#This Row],[Profit]]/ProductionData[[#This Row],[Good Units]]</f>
        <v>13.573200992555831</v>
      </c>
      <c r="W52" s="11">
        <f>ProductionData[[#This Row],[Good Units]]/ProductionData[[#This Row],[Operating Minutes]]</f>
        <v>0.9264367816091954</v>
      </c>
    </row>
    <row r="53" spans="1:23">
      <c r="A53" s="7">
        <v>46209</v>
      </c>
      <c r="B53" s="8" t="s">
        <v>19</v>
      </c>
      <c r="C53" s="8" t="s">
        <v>28</v>
      </c>
      <c r="D53" s="8" t="s">
        <v>21</v>
      </c>
      <c r="E53" s="8" t="s">
        <v>24</v>
      </c>
      <c r="F53" s="9">
        <v>410</v>
      </c>
      <c r="G53" s="9">
        <v>387</v>
      </c>
      <c r="H53" s="9">
        <v>7</v>
      </c>
      <c r="I53" s="9">
        <f t="shared" si="0"/>
        <v>380</v>
      </c>
      <c r="J53" s="9">
        <v>11</v>
      </c>
      <c r="K53" s="10">
        <f t="shared" si="1"/>
        <v>2.2916666666666665E-2</v>
      </c>
      <c r="L53" s="17">
        <v>120</v>
      </c>
      <c r="M53" s="17">
        <v>30800</v>
      </c>
      <c r="N53" s="17">
        <f t="shared" si="2"/>
        <v>45600</v>
      </c>
      <c r="O53" s="17">
        <f t="shared" si="3"/>
        <v>14800</v>
      </c>
      <c r="P53" s="10">
        <f t="shared" si="4"/>
        <v>0.94390243902439019</v>
      </c>
      <c r="Q53" s="10">
        <f t="shared" si="5"/>
        <v>1.8087855297157621E-2</v>
      </c>
      <c r="R53" s="10">
        <f t="shared" si="6"/>
        <v>0.32456140350877194</v>
      </c>
      <c r="S53" s="18">
        <f t="shared" si="7"/>
        <v>81.05263157894737</v>
      </c>
      <c r="T53" s="8">
        <f>480-ProductionData[[#This Row],[Downtime Minutes]]</f>
        <v>469</v>
      </c>
      <c r="U53" s="11">
        <f t="shared" si="8"/>
        <v>0.82515991471215355</v>
      </c>
      <c r="V53" s="18">
        <f>ProductionData[[#This Row],[Profit]]/ProductionData[[#This Row],[Good Units]]</f>
        <v>38.94736842105263</v>
      </c>
      <c r="W53" s="11">
        <f>ProductionData[[#This Row],[Good Units]]/ProductionData[[#This Row],[Operating Minutes]]</f>
        <v>0.81023454157782515</v>
      </c>
    </row>
    <row r="54" spans="1:23">
      <c r="A54" s="7">
        <v>46209</v>
      </c>
      <c r="B54" s="8" t="s">
        <v>19</v>
      </c>
      <c r="C54" s="8" t="s">
        <v>28</v>
      </c>
      <c r="D54" s="8" t="s">
        <v>23</v>
      </c>
      <c r="E54" s="8" t="s">
        <v>26</v>
      </c>
      <c r="F54" s="9">
        <v>500</v>
      </c>
      <c r="G54" s="9">
        <v>493</v>
      </c>
      <c r="H54" s="9">
        <v>16</v>
      </c>
      <c r="I54" s="9">
        <f t="shared" si="0"/>
        <v>477</v>
      </c>
      <c r="J54" s="9">
        <v>13</v>
      </c>
      <c r="K54" s="10">
        <f t="shared" si="1"/>
        <v>2.7083333333333334E-2</v>
      </c>
      <c r="L54" s="17">
        <v>90</v>
      </c>
      <c r="M54" s="17">
        <v>30800</v>
      </c>
      <c r="N54" s="17">
        <f t="shared" si="2"/>
        <v>42930</v>
      </c>
      <c r="O54" s="17">
        <f t="shared" si="3"/>
        <v>12130</v>
      </c>
      <c r="P54" s="10">
        <f t="shared" si="4"/>
        <v>0.98599999999999999</v>
      </c>
      <c r="Q54" s="10">
        <f t="shared" si="5"/>
        <v>3.2454361054766734E-2</v>
      </c>
      <c r="R54" s="10">
        <f t="shared" si="6"/>
        <v>0.28255299324481714</v>
      </c>
      <c r="S54" s="18">
        <f t="shared" si="7"/>
        <v>64.570230607966451</v>
      </c>
      <c r="T54" s="8">
        <f>480-ProductionData[[#This Row],[Downtime Minutes]]</f>
        <v>467</v>
      </c>
      <c r="U54" s="11">
        <f t="shared" si="8"/>
        <v>1.0556745182012848</v>
      </c>
      <c r="V54" s="18">
        <f>ProductionData[[#This Row],[Profit]]/ProductionData[[#This Row],[Good Units]]</f>
        <v>25.429769392033542</v>
      </c>
      <c r="W54" s="11">
        <f>ProductionData[[#This Row],[Good Units]]/ProductionData[[#This Row],[Operating Minutes]]</f>
        <v>1.0214132762312633</v>
      </c>
    </row>
    <row r="55" spans="1:23">
      <c r="A55" s="7">
        <v>46209</v>
      </c>
      <c r="B55" s="8" t="s">
        <v>19</v>
      </c>
      <c r="C55" s="8" t="s">
        <v>28</v>
      </c>
      <c r="D55" s="8" t="s">
        <v>25</v>
      </c>
      <c r="E55" s="8" t="s">
        <v>22</v>
      </c>
      <c r="F55" s="9">
        <v>430</v>
      </c>
      <c r="G55" s="9">
        <v>392</v>
      </c>
      <c r="H55" s="9">
        <v>21</v>
      </c>
      <c r="I55" s="9">
        <f t="shared" si="0"/>
        <v>371</v>
      </c>
      <c r="J55" s="9">
        <v>49</v>
      </c>
      <c r="K55" s="10">
        <f t="shared" si="1"/>
        <v>0.10208333333333333</v>
      </c>
      <c r="L55" s="17">
        <v>100</v>
      </c>
      <c r="M55" s="17">
        <v>30800</v>
      </c>
      <c r="N55" s="17">
        <f t="shared" si="2"/>
        <v>37100</v>
      </c>
      <c r="O55" s="17">
        <f t="shared" si="3"/>
        <v>6300</v>
      </c>
      <c r="P55" s="10">
        <f t="shared" si="4"/>
        <v>0.91162790697674423</v>
      </c>
      <c r="Q55" s="10">
        <f t="shared" si="5"/>
        <v>5.3571428571428568E-2</v>
      </c>
      <c r="R55" s="10">
        <f t="shared" si="6"/>
        <v>0.16981132075471697</v>
      </c>
      <c r="S55" s="18">
        <f t="shared" si="7"/>
        <v>83.018867924528308</v>
      </c>
      <c r="T55" s="8">
        <f>480-ProductionData[[#This Row],[Downtime Minutes]]</f>
        <v>431</v>
      </c>
      <c r="U55" s="11">
        <f t="shared" si="8"/>
        <v>0.90951276102088163</v>
      </c>
      <c r="V55" s="18">
        <f>ProductionData[[#This Row],[Profit]]/ProductionData[[#This Row],[Good Units]]</f>
        <v>16.981132075471699</v>
      </c>
      <c r="W55" s="11">
        <f>ProductionData[[#This Row],[Good Units]]/ProductionData[[#This Row],[Operating Minutes]]</f>
        <v>0.86078886310904867</v>
      </c>
    </row>
    <row r="56" spans="1:23">
      <c r="A56" s="7">
        <v>46210</v>
      </c>
      <c r="B56" s="8" t="s">
        <v>19</v>
      </c>
      <c r="C56" s="8" t="s">
        <v>20</v>
      </c>
      <c r="D56" s="8" t="s">
        <v>21</v>
      </c>
      <c r="E56" s="8" t="s">
        <v>22</v>
      </c>
      <c r="F56" s="9">
        <v>450</v>
      </c>
      <c r="G56" s="9">
        <v>440</v>
      </c>
      <c r="H56" s="9">
        <v>20</v>
      </c>
      <c r="I56" s="9">
        <f t="shared" si="0"/>
        <v>420</v>
      </c>
      <c r="J56" s="9">
        <v>41</v>
      </c>
      <c r="K56" s="10">
        <f t="shared" si="1"/>
        <v>8.5416666666666669E-2</v>
      </c>
      <c r="L56" s="17">
        <v>100</v>
      </c>
      <c r="M56" s="17">
        <v>30800</v>
      </c>
      <c r="N56" s="17">
        <f t="shared" si="2"/>
        <v>42000</v>
      </c>
      <c r="O56" s="17">
        <f t="shared" si="3"/>
        <v>11200</v>
      </c>
      <c r="P56" s="10">
        <f t="shared" si="4"/>
        <v>0.97777777777777775</v>
      </c>
      <c r="Q56" s="10">
        <f t="shared" si="5"/>
        <v>4.5454545454545456E-2</v>
      </c>
      <c r="R56" s="10">
        <f t="shared" si="6"/>
        <v>0.26666666666666666</v>
      </c>
      <c r="S56" s="18">
        <f t="shared" si="7"/>
        <v>73.333333333333329</v>
      </c>
      <c r="T56" s="8">
        <f>480-ProductionData[[#This Row],[Downtime Minutes]]</f>
        <v>439</v>
      </c>
      <c r="U56" s="11">
        <f t="shared" si="8"/>
        <v>1.0022779043280183</v>
      </c>
      <c r="V56" s="18">
        <f>ProductionData[[#This Row],[Profit]]/ProductionData[[#This Row],[Good Units]]</f>
        <v>26.666666666666668</v>
      </c>
      <c r="W56" s="11">
        <f>ProductionData[[#This Row],[Good Units]]/ProductionData[[#This Row],[Operating Minutes]]</f>
        <v>0.9567198177676538</v>
      </c>
    </row>
    <row r="57" spans="1:23">
      <c r="A57" s="7">
        <v>46210</v>
      </c>
      <c r="B57" s="8" t="s">
        <v>19</v>
      </c>
      <c r="C57" s="8" t="s">
        <v>20</v>
      </c>
      <c r="D57" s="8" t="s">
        <v>23</v>
      </c>
      <c r="E57" s="8" t="s">
        <v>24</v>
      </c>
      <c r="F57" s="9">
        <v>390</v>
      </c>
      <c r="G57" s="9">
        <v>358</v>
      </c>
      <c r="H57" s="9">
        <v>13</v>
      </c>
      <c r="I57" s="9">
        <f t="shared" si="0"/>
        <v>345</v>
      </c>
      <c r="J57" s="9">
        <v>43</v>
      </c>
      <c r="K57" s="10">
        <f t="shared" si="1"/>
        <v>8.9583333333333334E-2</v>
      </c>
      <c r="L57" s="17">
        <v>120</v>
      </c>
      <c r="M57" s="17">
        <v>30800</v>
      </c>
      <c r="N57" s="17">
        <f t="shared" si="2"/>
        <v>41400</v>
      </c>
      <c r="O57" s="17">
        <f t="shared" si="3"/>
        <v>10600</v>
      </c>
      <c r="P57" s="10">
        <f t="shared" si="4"/>
        <v>0.91794871794871791</v>
      </c>
      <c r="Q57" s="10">
        <f t="shared" si="5"/>
        <v>3.6312849162011177E-2</v>
      </c>
      <c r="R57" s="10">
        <f t="shared" si="6"/>
        <v>0.2560386473429952</v>
      </c>
      <c r="S57" s="18">
        <f t="shared" si="7"/>
        <v>89.275362318840578</v>
      </c>
      <c r="T57" s="8">
        <f>480-ProductionData[[#This Row],[Downtime Minutes]]</f>
        <v>437</v>
      </c>
      <c r="U57" s="11">
        <f t="shared" si="8"/>
        <v>0.81922196796338675</v>
      </c>
      <c r="V57" s="18">
        <f>ProductionData[[#This Row],[Profit]]/ProductionData[[#This Row],[Good Units]]</f>
        <v>30.724637681159422</v>
      </c>
      <c r="W57" s="11">
        <f>ProductionData[[#This Row],[Good Units]]/ProductionData[[#This Row],[Operating Minutes]]</f>
        <v>0.78947368421052633</v>
      </c>
    </row>
    <row r="58" spans="1:23">
      <c r="A58" s="7">
        <v>46210</v>
      </c>
      <c r="B58" s="8" t="s">
        <v>19</v>
      </c>
      <c r="C58" s="8" t="s">
        <v>20</v>
      </c>
      <c r="D58" s="8" t="s">
        <v>25</v>
      </c>
      <c r="E58" s="8" t="s">
        <v>26</v>
      </c>
      <c r="F58" s="9">
        <v>490</v>
      </c>
      <c r="G58" s="9">
        <v>440</v>
      </c>
      <c r="H58" s="9">
        <v>21</v>
      </c>
      <c r="I58" s="9">
        <f t="shared" si="0"/>
        <v>419</v>
      </c>
      <c r="J58" s="9">
        <v>36</v>
      </c>
      <c r="K58" s="10">
        <f t="shared" si="1"/>
        <v>7.4999999999999997E-2</v>
      </c>
      <c r="L58" s="17">
        <v>90</v>
      </c>
      <c r="M58" s="17">
        <v>30800</v>
      </c>
      <c r="N58" s="17">
        <f t="shared" si="2"/>
        <v>37710</v>
      </c>
      <c r="O58" s="17">
        <f t="shared" si="3"/>
        <v>6910</v>
      </c>
      <c r="P58" s="10">
        <f t="shared" si="4"/>
        <v>0.89795918367346939</v>
      </c>
      <c r="Q58" s="10">
        <f t="shared" si="5"/>
        <v>4.7727272727272729E-2</v>
      </c>
      <c r="R58" s="10">
        <f t="shared" si="6"/>
        <v>0.18324051975603289</v>
      </c>
      <c r="S58" s="18">
        <f t="shared" si="7"/>
        <v>73.508353221957037</v>
      </c>
      <c r="T58" s="8">
        <f>480-ProductionData[[#This Row],[Downtime Minutes]]</f>
        <v>444</v>
      </c>
      <c r="U58" s="11">
        <f t="shared" si="8"/>
        <v>0.99099099099099097</v>
      </c>
      <c r="V58" s="18">
        <f>ProductionData[[#This Row],[Profit]]/ProductionData[[#This Row],[Good Units]]</f>
        <v>16.491646778042959</v>
      </c>
      <c r="W58" s="11">
        <f>ProductionData[[#This Row],[Good Units]]/ProductionData[[#This Row],[Operating Minutes]]</f>
        <v>0.94369369369369371</v>
      </c>
    </row>
    <row r="59" spans="1:23">
      <c r="A59" s="7">
        <v>46210</v>
      </c>
      <c r="B59" s="8" t="s">
        <v>19</v>
      </c>
      <c r="C59" s="8" t="s">
        <v>27</v>
      </c>
      <c r="D59" s="8" t="s">
        <v>21</v>
      </c>
      <c r="E59" s="8" t="s">
        <v>24</v>
      </c>
      <c r="F59" s="9">
        <v>390</v>
      </c>
      <c r="G59" s="9">
        <v>343</v>
      </c>
      <c r="H59" s="9">
        <v>17</v>
      </c>
      <c r="I59" s="9">
        <f t="shared" si="0"/>
        <v>326</v>
      </c>
      <c r="J59" s="9">
        <v>50</v>
      </c>
      <c r="K59" s="10">
        <f t="shared" si="1"/>
        <v>0.10416666666666667</v>
      </c>
      <c r="L59" s="17">
        <v>120</v>
      </c>
      <c r="M59" s="17">
        <v>30800</v>
      </c>
      <c r="N59" s="17">
        <f t="shared" si="2"/>
        <v>39120</v>
      </c>
      <c r="O59" s="17">
        <f t="shared" si="3"/>
        <v>8320</v>
      </c>
      <c r="P59" s="10">
        <f t="shared" si="4"/>
        <v>0.87948717948717947</v>
      </c>
      <c r="Q59" s="10">
        <f t="shared" si="5"/>
        <v>4.9562682215743441E-2</v>
      </c>
      <c r="R59" s="10">
        <f t="shared" si="6"/>
        <v>0.21267893660531698</v>
      </c>
      <c r="S59" s="18">
        <f t="shared" si="7"/>
        <v>94.478527607361968</v>
      </c>
      <c r="T59" s="8">
        <f>480-ProductionData[[#This Row],[Downtime Minutes]]</f>
        <v>430</v>
      </c>
      <c r="U59" s="11">
        <f t="shared" si="8"/>
        <v>0.79767441860465116</v>
      </c>
      <c r="V59" s="18">
        <f>ProductionData[[#This Row],[Profit]]/ProductionData[[#This Row],[Good Units]]</f>
        <v>25.521472392638035</v>
      </c>
      <c r="W59" s="11">
        <f>ProductionData[[#This Row],[Good Units]]/ProductionData[[#This Row],[Operating Minutes]]</f>
        <v>0.75813953488372088</v>
      </c>
    </row>
    <row r="60" spans="1:23">
      <c r="A60" s="7">
        <v>46210</v>
      </c>
      <c r="B60" s="8" t="s">
        <v>19</v>
      </c>
      <c r="C60" s="8" t="s">
        <v>27</v>
      </c>
      <c r="D60" s="8" t="s">
        <v>23</v>
      </c>
      <c r="E60" s="8" t="s">
        <v>26</v>
      </c>
      <c r="F60" s="9">
        <v>520</v>
      </c>
      <c r="G60" s="9">
        <v>478</v>
      </c>
      <c r="H60" s="9">
        <v>23</v>
      </c>
      <c r="I60" s="9">
        <f t="shared" si="0"/>
        <v>455</v>
      </c>
      <c r="J60" s="9">
        <v>57</v>
      </c>
      <c r="K60" s="10">
        <f t="shared" si="1"/>
        <v>0.11874999999999999</v>
      </c>
      <c r="L60" s="17">
        <v>90</v>
      </c>
      <c r="M60" s="17">
        <v>30800</v>
      </c>
      <c r="N60" s="17">
        <f t="shared" si="2"/>
        <v>40950</v>
      </c>
      <c r="O60" s="17">
        <f t="shared" si="3"/>
        <v>10150</v>
      </c>
      <c r="P60" s="10">
        <f t="shared" si="4"/>
        <v>0.91923076923076918</v>
      </c>
      <c r="Q60" s="10">
        <f t="shared" si="5"/>
        <v>4.8117154811715482E-2</v>
      </c>
      <c r="R60" s="10">
        <f t="shared" si="6"/>
        <v>0.24786324786324787</v>
      </c>
      <c r="S60" s="18">
        <f t="shared" si="7"/>
        <v>67.692307692307693</v>
      </c>
      <c r="T60" s="8">
        <f>480-ProductionData[[#This Row],[Downtime Minutes]]</f>
        <v>423</v>
      </c>
      <c r="U60" s="11">
        <f t="shared" si="8"/>
        <v>1.1300236406619386</v>
      </c>
      <c r="V60" s="18">
        <f>ProductionData[[#This Row],[Profit]]/ProductionData[[#This Row],[Good Units]]</f>
        <v>22.307692307692307</v>
      </c>
      <c r="W60" s="11">
        <f>ProductionData[[#This Row],[Good Units]]/ProductionData[[#This Row],[Operating Minutes]]</f>
        <v>1.0756501182033098</v>
      </c>
    </row>
    <row r="61" spans="1:23">
      <c r="A61" s="7">
        <v>46210</v>
      </c>
      <c r="B61" s="8" t="s">
        <v>19</v>
      </c>
      <c r="C61" s="8" t="s">
        <v>27</v>
      </c>
      <c r="D61" s="8" t="s">
        <v>25</v>
      </c>
      <c r="E61" s="8" t="s">
        <v>22</v>
      </c>
      <c r="F61" s="9">
        <v>470</v>
      </c>
      <c r="G61" s="9">
        <v>393</v>
      </c>
      <c r="H61" s="9">
        <v>28</v>
      </c>
      <c r="I61" s="9">
        <f t="shared" si="0"/>
        <v>365</v>
      </c>
      <c r="J61" s="9">
        <v>62</v>
      </c>
      <c r="K61" s="10">
        <f t="shared" si="1"/>
        <v>0.12916666666666668</v>
      </c>
      <c r="L61" s="17">
        <v>100</v>
      </c>
      <c r="M61" s="17">
        <v>30800</v>
      </c>
      <c r="N61" s="17">
        <f t="shared" si="2"/>
        <v>36500</v>
      </c>
      <c r="O61" s="17">
        <f t="shared" si="3"/>
        <v>5700</v>
      </c>
      <c r="P61" s="10">
        <f t="shared" si="4"/>
        <v>0.83617021276595749</v>
      </c>
      <c r="Q61" s="10">
        <f t="shared" si="5"/>
        <v>7.124681933842239E-2</v>
      </c>
      <c r="R61" s="10">
        <f t="shared" si="6"/>
        <v>0.15616438356164383</v>
      </c>
      <c r="S61" s="18">
        <f t="shared" si="7"/>
        <v>84.38356164383562</v>
      </c>
      <c r="T61" s="8">
        <f>480-ProductionData[[#This Row],[Downtime Minutes]]</f>
        <v>418</v>
      </c>
      <c r="U61" s="11">
        <f t="shared" si="8"/>
        <v>0.94019138755980858</v>
      </c>
      <c r="V61" s="18">
        <f>ProductionData[[#This Row],[Profit]]/ProductionData[[#This Row],[Good Units]]</f>
        <v>15.616438356164384</v>
      </c>
      <c r="W61" s="11">
        <f>ProductionData[[#This Row],[Good Units]]/ProductionData[[#This Row],[Operating Minutes]]</f>
        <v>0.87320574162679421</v>
      </c>
    </row>
    <row r="62" spans="1:23">
      <c r="A62" s="7">
        <v>46210</v>
      </c>
      <c r="B62" s="8" t="s">
        <v>19</v>
      </c>
      <c r="C62" s="8" t="s">
        <v>28</v>
      </c>
      <c r="D62" s="8" t="s">
        <v>21</v>
      </c>
      <c r="E62" s="8" t="s">
        <v>26</v>
      </c>
      <c r="F62" s="9">
        <v>520</v>
      </c>
      <c r="G62" s="9">
        <v>517</v>
      </c>
      <c r="H62" s="9">
        <v>17</v>
      </c>
      <c r="I62" s="9">
        <f t="shared" si="0"/>
        <v>500</v>
      </c>
      <c r="J62" s="9">
        <v>16</v>
      </c>
      <c r="K62" s="10">
        <f t="shared" si="1"/>
        <v>3.3333333333333333E-2</v>
      </c>
      <c r="L62" s="17">
        <v>90</v>
      </c>
      <c r="M62" s="17">
        <v>30800</v>
      </c>
      <c r="N62" s="17">
        <f t="shared" si="2"/>
        <v>45000</v>
      </c>
      <c r="O62" s="17">
        <f t="shared" si="3"/>
        <v>14200</v>
      </c>
      <c r="P62" s="10">
        <f t="shared" si="4"/>
        <v>0.99423076923076925</v>
      </c>
      <c r="Q62" s="10">
        <f t="shared" si="5"/>
        <v>3.2882011605415859E-2</v>
      </c>
      <c r="R62" s="10">
        <f t="shared" si="6"/>
        <v>0.31555555555555553</v>
      </c>
      <c r="S62" s="18">
        <f t="shared" si="7"/>
        <v>61.6</v>
      </c>
      <c r="T62" s="8">
        <f>480-ProductionData[[#This Row],[Downtime Minutes]]</f>
        <v>464</v>
      </c>
      <c r="U62" s="11">
        <f t="shared" si="8"/>
        <v>1.1142241379310345</v>
      </c>
      <c r="V62" s="18">
        <f>ProductionData[[#This Row],[Profit]]/ProductionData[[#This Row],[Good Units]]</f>
        <v>28.4</v>
      </c>
      <c r="W62" s="11">
        <f>ProductionData[[#This Row],[Good Units]]/ProductionData[[#This Row],[Operating Minutes]]</f>
        <v>1.0775862068965518</v>
      </c>
    </row>
    <row r="63" spans="1:23">
      <c r="A63" s="7">
        <v>46210</v>
      </c>
      <c r="B63" s="8" t="s">
        <v>19</v>
      </c>
      <c r="C63" s="8" t="s">
        <v>28</v>
      </c>
      <c r="D63" s="8" t="s">
        <v>23</v>
      </c>
      <c r="E63" s="8" t="s">
        <v>22</v>
      </c>
      <c r="F63" s="9">
        <v>440</v>
      </c>
      <c r="G63" s="9">
        <v>432</v>
      </c>
      <c r="H63" s="9">
        <v>20</v>
      </c>
      <c r="I63" s="9">
        <f t="shared" si="0"/>
        <v>412</v>
      </c>
      <c r="J63" s="9">
        <v>41</v>
      </c>
      <c r="K63" s="10">
        <f t="shared" si="1"/>
        <v>8.5416666666666669E-2</v>
      </c>
      <c r="L63" s="17">
        <v>100</v>
      </c>
      <c r="M63" s="17">
        <v>30800</v>
      </c>
      <c r="N63" s="17">
        <f t="shared" si="2"/>
        <v>41200</v>
      </c>
      <c r="O63" s="17">
        <f t="shared" si="3"/>
        <v>10400</v>
      </c>
      <c r="P63" s="10">
        <f t="shared" si="4"/>
        <v>0.98181818181818181</v>
      </c>
      <c r="Q63" s="10">
        <f t="shared" si="5"/>
        <v>4.6296296296296294E-2</v>
      </c>
      <c r="R63" s="10">
        <f t="shared" si="6"/>
        <v>0.25242718446601942</v>
      </c>
      <c r="S63" s="18">
        <f t="shared" si="7"/>
        <v>74.757281553398059</v>
      </c>
      <c r="T63" s="8">
        <f>480-ProductionData[[#This Row],[Downtime Minutes]]</f>
        <v>439</v>
      </c>
      <c r="U63" s="11">
        <f t="shared" si="8"/>
        <v>0.98405466970387245</v>
      </c>
      <c r="V63" s="18">
        <f>ProductionData[[#This Row],[Profit]]/ProductionData[[#This Row],[Good Units]]</f>
        <v>25.242718446601941</v>
      </c>
      <c r="W63" s="11">
        <f>ProductionData[[#This Row],[Good Units]]/ProductionData[[#This Row],[Operating Minutes]]</f>
        <v>0.93849658314350792</v>
      </c>
    </row>
    <row r="64" spans="1:23">
      <c r="A64" s="7">
        <v>46210</v>
      </c>
      <c r="B64" s="8" t="s">
        <v>19</v>
      </c>
      <c r="C64" s="8" t="s">
        <v>28</v>
      </c>
      <c r="D64" s="8" t="s">
        <v>25</v>
      </c>
      <c r="E64" s="8" t="s">
        <v>24</v>
      </c>
      <c r="F64" s="9">
        <v>400</v>
      </c>
      <c r="G64" s="9">
        <v>377</v>
      </c>
      <c r="H64" s="9">
        <v>14</v>
      </c>
      <c r="I64" s="9">
        <f t="shared" si="0"/>
        <v>363</v>
      </c>
      <c r="J64" s="9">
        <v>44</v>
      </c>
      <c r="K64" s="10">
        <f t="shared" si="1"/>
        <v>9.166666666666666E-2</v>
      </c>
      <c r="L64" s="17">
        <v>120</v>
      </c>
      <c r="M64" s="17">
        <v>30800</v>
      </c>
      <c r="N64" s="17">
        <f t="shared" si="2"/>
        <v>43560</v>
      </c>
      <c r="O64" s="17">
        <f t="shared" si="3"/>
        <v>12760</v>
      </c>
      <c r="P64" s="10">
        <f t="shared" si="4"/>
        <v>0.9425</v>
      </c>
      <c r="Q64" s="10">
        <f t="shared" si="5"/>
        <v>3.7135278514588858E-2</v>
      </c>
      <c r="R64" s="10">
        <f t="shared" si="6"/>
        <v>0.29292929292929293</v>
      </c>
      <c r="S64" s="18">
        <f t="shared" si="7"/>
        <v>84.848484848484844</v>
      </c>
      <c r="T64" s="8">
        <f>480-ProductionData[[#This Row],[Downtime Minutes]]</f>
        <v>436</v>
      </c>
      <c r="U64" s="11">
        <f t="shared" si="8"/>
        <v>0.86467889908256879</v>
      </c>
      <c r="V64" s="18">
        <f>ProductionData[[#This Row],[Profit]]/ProductionData[[#This Row],[Good Units]]</f>
        <v>35.151515151515149</v>
      </c>
      <c r="W64" s="11">
        <f>ProductionData[[#This Row],[Good Units]]/ProductionData[[#This Row],[Operating Minutes]]</f>
        <v>0.83256880733944949</v>
      </c>
    </row>
    <row r="65" spans="1:23">
      <c r="A65" s="7">
        <v>46211</v>
      </c>
      <c r="B65" s="8" t="s">
        <v>19</v>
      </c>
      <c r="C65" s="8" t="s">
        <v>20</v>
      </c>
      <c r="D65" s="8" t="s">
        <v>21</v>
      </c>
      <c r="E65" s="8" t="s">
        <v>24</v>
      </c>
      <c r="F65" s="9">
        <v>410</v>
      </c>
      <c r="G65" s="9">
        <v>382</v>
      </c>
      <c r="H65" s="9">
        <v>8</v>
      </c>
      <c r="I65" s="9">
        <f t="shared" si="0"/>
        <v>374</v>
      </c>
      <c r="J65" s="9">
        <v>21</v>
      </c>
      <c r="K65" s="10">
        <f t="shared" si="1"/>
        <v>4.3749999999999997E-2</v>
      </c>
      <c r="L65" s="17">
        <v>120</v>
      </c>
      <c r="M65" s="17">
        <v>30800</v>
      </c>
      <c r="N65" s="17">
        <f t="shared" si="2"/>
        <v>44880</v>
      </c>
      <c r="O65" s="17">
        <f t="shared" si="3"/>
        <v>14080</v>
      </c>
      <c r="P65" s="10">
        <f t="shared" si="4"/>
        <v>0.93170731707317078</v>
      </c>
      <c r="Q65" s="10">
        <f t="shared" si="5"/>
        <v>2.0942408376963352E-2</v>
      </c>
      <c r="R65" s="10">
        <f t="shared" si="6"/>
        <v>0.31372549019607843</v>
      </c>
      <c r="S65" s="18">
        <f t="shared" si="7"/>
        <v>82.352941176470594</v>
      </c>
      <c r="T65" s="8">
        <f>480-ProductionData[[#This Row],[Downtime Minutes]]</f>
        <v>459</v>
      </c>
      <c r="U65" s="11">
        <f t="shared" si="8"/>
        <v>0.83224400871459692</v>
      </c>
      <c r="V65" s="18">
        <f>ProductionData[[#This Row],[Profit]]/ProductionData[[#This Row],[Good Units]]</f>
        <v>37.647058823529413</v>
      </c>
      <c r="W65" s="11">
        <f>ProductionData[[#This Row],[Good Units]]/ProductionData[[#This Row],[Operating Minutes]]</f>
        <v>0.81481481481481477</v>
      </c>
    </row>
    <row r="66" spans="1:23">
      <c r="A66" s="7">
        <v>46211</v>
      </c>
      <c r="B66" s="8" t="s">
        <v>19</v>
      </c>
      <c r="C66" s="8" t="s">
        <v>20</v>
      </c>
      <c r="D66" s="8" t="s">
        <v>23</v>
      </c>
      <c r="E66" s="8" t="s">
        <v>26</v>
      </c>
      <c r="F66" s="9">
        <v>490</v>
      </c>
      <c r="G66" s="9">
        <v>456</v>
      </c>
      <c r="H66" s="9">
        <v>15</v>
      </c>
      <c r="I66" s="9">
        <f t="shared" ref="I66:I129" si="9">G66-H66</f>
        <v>441</v>
      </c>
      <c r="J66" s="9">
        <v>30</v>
      </c>
      <c r="K66" s="10">
        <f t="shared" ref="K66:K129" si="10">J66/480</f>
        <v>6.25E-2</v>
      </c>
      <c r="L66" s="17">
        <v>90</v>
      </c>
      <c r="M66" s="17">
        <v>30800</v>
      </c>
      <c r="N66" s="17">
        <f t="shared" ref="N66:N129" si="11">I66*L66</f>
        <v>39690</v>
      </c>
      <c r="O66" s="17">
        <f t="shared" ref="O66:O129" si="12">N66-M66</f>
        <v>8890</v>
      </c>
      <c r="P66" s="10">
        <f t="shared" ref="P66:P129" si="13">G66/F66</f>
        <v>0.93061224489795913</v>
      </c>
      <c r="Q66" s="10">
        <f t="shared" ref="Q66:Q129" si="14">H66/G66</f>
        <v>3.2894736842105261E-2</v>
      </c>
      <c r="R66" s="10">
        <f t="shared" ref="R66:R129" si="15">O66/N66</f>
        <v>0.22398589065255731</v>
      </c>
      <c r="S66" s="18">
        <f t="shared" ref="S66:S129" si="16">M66/I66</f>
        <v>69.841269841269835</v>
      </c>
      <c r="T66" s="8">
        <f>480-ProductionData[[#This Row],[Downtime Minutes]]</f>
        <v>450</v>
      </c>
      <c r="U66" s="11">
        <f t="shared" ref="U66:U129" si="17">G66/T66</f>
        <v>1.0133333333333334</v>
      </c>
      <c r="V66" s="18">
        <f>ProductionData[[#This Row],[Profit]]/ProductionData[[#This Row],[Good Units]]</f>
        <v>20.158730158730158</v>
      </c>
      <c r="W66" s="11">
        <f>ProductionData[[#This Row],[Good Units]]/ProductionData[[#This Row],[Operating Minutes]]</f>
        <v>0.98</v>
      </c>
    </row>
    <row r="67" spans="1:23">
      <c r="A67" s="7">
        <v>46211</v>
      </c>
      <c r="B67" s="8" t="s">
        <v>19</v>
      </c>
      <c r="C67" s="8" t="s">
        <v>20</v>
      </c>
      <c r="D67" s="8" t="s">
        <v>25</v>
      </c>
      <c r="E67" s="8" t="s">
        <v>22</v>
      </c>
      <c r="F67" s="9">
        <v>460</v>
      </c>
      <c r="G67" s="9">
        <v>430</v>
      </c>
      <c r="H67" s="9">
        <v>25</v>
      </c>
      <c r="I67" s="9">
        <f t="shared" si="9"/>
        <v>405</v>
      </c>
      <c r="J67" s="9">
        <v>44</v>
      </c>
      <c r="K67" s="10">
        <f t="shared" si="10"/>
        <v>9.166666666666666E-2</v>
      </c>
      <c r="L67" s="17">
        <v>100</v>
      </c>
      <c r="M67" s="17">
        <v>30800</v>
      </c>
      <c r="N67" s="17">
        <f t="shared" si="11"/>
        <v>40500</v>
      </c>
      <c r="O67" s="17">
        <f t="shared" si="12"/>
        <v>9700</v>
      </c>
      <c r="P67" s="10">
        <f t="shared" si="13"/>
        <v>0.93478260869565222</v>
      </c>
      <c r="Q67" s="10">
        <f t="shared" si="14"/>
        <v>5.8139534883720929E-2</v>
      </c>
      <c r="R67" s="10">
        <f t="shared" si="15"/>
        <v>0.23950617283950618</v>
      </c>
      <c r="S67" s="18">
        <f t="shared" si="16"/>
        <v>76.049382716049379</v>
      </c>
      <c r="T67" s="8">
        <f>480-ProductionData[[#This Row],[Downtime Minutes]]</f>
        <v>436</v>
      </c>
      <c r="U67" s="11">
        <f t="shared" si="17"/>
        <v>0.98623853211009171</v>
      </c>
      <c r="V67" s="18">
        <f>ProductionData[[#This Row],[Profit]]/ProductionData[[#This Row],[Good Units]]</f>
        <v>23.950617283950617</v>
      </c>
      <c r="W67" s="11">
        <f>ProductionData[[#This Row],[Good Units]]/ProductionData[[#This Row],[Operating Minutes]]</f>
        <v>0.92889908256880738</v>
      </c>
    </row>
    <row r="68" spans="1:23">
      <c r="A68" s="7">
        <v>46211</v>
      </c>
      <c r="B68" s="8" t="s">
        <v>19</v>
      </c>
      <c r="C68" s="8" t="s">
        <v>27</v>
      </c>
      <c r="D68" s="8" t="s">
        <v>21</v>
      </c>
      <c r="E68" s="8" t="s">
        <v>26</v>
      </c>
      <c r="F68" s="9">
        <v>480</v>
      </c>
      <c r="G68" s="9">
        <v>431</v>
      </c>
      <c r="H68" s="9">
        <v>20</v>
      </c>
      <c r="I68" s="9">
        <f t="shared" si="9"/>
        <v>411</v>
      </c>
      <c r="J68" s="9">
        <v>31</v>
      </c>
      <c r="K68" s="10">
        <f t="shared" si="10"/>
        <v>6.458333333333334E-2</v>
      </c>
      <c r="L68" s="17">
        <v>90</v>
      </c>
      <c r="M68" s="17">
        <v>30800</v>
      </c>
      <c r="N68" s="17">
        <f t="shared" si="11"/>
        <v>36990</v>
      </c>
      <c r="O68" s="17">
        <f t="shared" si="12"/>
        <v>6190</v>
      </c>
      <c r="P68" s="10">
        <f t="shared" si="13"/>
        <v>0.8979166666666667</v>
      </c>
      <c r="Q68" s="10">
        <f t="shared" si="14"/>
        <v>4.6403712296983757E-2</v>
      </c>
      <c r="R68" s="10">
        <f t="shared" si="15"/>
        <v>0.16734252500675859</v>
      </c>
      <c r="S68" s="18">
        <f t="shared" si="16"/>
        <v>74.93917274939173</v>
      </c>
      <c r="T68" s="8">
        <f>480-ProductionData[[#This Row],[Downtime Minutes]]</f>
        <v>449</v>
      </c>
      <c r="U68" s="11">
        <f t="shared" si="17"/>
        <v>0.95991091314031185</v>
      </c>
      <c r="V68" s="18">
        <f>ProductionData[[#This Row],[Profit]]/ProductionData[[#This Row],[Good Units]]</f>
        <v>15.060827250608272</v>
      </c>
      <c r="W68" s="11">
        <f>ProductionData[[#This Row],[Good Units]]/ProductionData[[#This Row],[Operating Minutes]]</f>
        <v>0.91536748329621376</v>
      </c>
    </row>
    <row r="69" spans="1:23">
      <c r="A69" s="7">
        <v>46211</v>
      </c>
      <c r="B69" s="8" t="s">
        <v>19</v>
      </c>
      <c r="C69" s="8" t="s">
        <v>27</v>
      </c>
      <c r="D69" s="8" t="s">
        <v>23</v>
      </c>
      <c r="E69" s="8" t="s">
        <v>22</v>
      </c>
      <c r="F69" s="9">
        <v>460</v>
      </c>
      <c r="G69" s="9">
        <v>415</v>
      </c>
      <c r="H69" s="9">
        <v>26</v>
      </c>
      <c r="I69" s="9">
        <f t="shared" si="9"/>
        <v>389</v>
      </c>
      <c r="J69" s="9">
        <v>71</v>
      </c>
      <c r="K69" s="10">
        <f t="shared" si="10"/>
        <v>0.14791666666666667</v>
      </c>
      <c r="L69" s="17">
        <v>100</v>
      </c>
      <c r="M69" s="17">
        <v>30800</v>
      </c>
      <c r="N69" s="17">
        <f t="shared" si="11"/>
        <v>38900</v>
      </c>
      <c r="O69" s="17">
        <f t="shared" si="12"/>
        <v>8100</v>
      </c>
      <c r="P69" s="10">
        <f t="shared" si="13"/>
        <v>0.90217391304347827</v>
      </c>
      <c r="Q69" s="10">
        <f t="shared" si="14"/>
        <v>6.2650602409638559E-2</v>
      </c>
      <c r="R69" s="10">
        <f t="shared" si="15"/>
        <v>0.20822622107969152</v>
      </c>
      <c r="S69" s="18">
        <f t="shared" si="16"/>
        <v>79.177377892030847</v>
      </c>
      <c r="T69" s="8">
        <f>480-ProductionData[[#This Row],[Downtime Minutes]]</f>
        <v>409</v>
      </c>
      <c r="U69" s="11">
        <f t="shared" si="17"/>
        <v>1.0146699266503667</v>
      </c>
      <c r="V69" s="18">
        <f>ProductionData[[#This Row],[Profit]]/ProductionData[[#This Row],[Good Units]]</f>
        <v>20.822622107969153</v>
      </c>
      <c r="W69" s="11">
        <f>ProductionData[[#This Row],[Good Units]]/ProductionData[[#This Row],[Operating Minutes]]</f>
        <v>0.9511002444987775</v>
      </c>
    </row>
    <row r="70" spans="1:23">
      <c r="A70" s="7">
        <v>46211</v>
      </c>
      <c r="B70" s="8" t="s">
        <v>19</v>
      </c>
      <c r="C70" s="8" t="s">
        <v>27</v>
      </c>
      <c r="D70" s="8" t="s">
        <v>25</v>
      </c>
      <c r="E70" s="8" t="s">
        <v>24</v>
      </c>
      <c r="F70" s="9">
        <v>400</v>
      </c>
      <c r="G70" s="9">
        <v>344</v>
      </c>
      <c r="H70" s="9">
        <v>18</v>
      </c>
      <c r="I70" s="9">
        <f t="shared" si="9"/>
        <v>326</v>
      </c>
      <c r="J70" s="9">
        <v>51</v>
      </c>
      <c r="K70" s="10">
        <f t="shared" si="10"/>
        <v>0.10625</v>
      </c>
      <c r="L70" s="17">
        <v>120</v>
      </c>
      <c r="M70" s="17">
        <v>30800</v>
      </c>
      <c r="N70" s="17">
        <f t="shared" si="11"/>
        <v>39120</v>
      </c>
      <c r="O70" s="17">
        <f t="shared" si="12"/>
        <v>8320</v>
      </c>
      <c r="P70" s="10">
        <f t="shared" si="13"/>
        <v>0.86</v>
      </c>
      <c r="Q70" s="10">
        <f t="shared" si="14"/>
        <v>5.232558139534884E-2</v>
      </c>
      <c r="R70" s="10">
        <f t="shared" si="15"/>
        <v>0.21267893660531698</v>
      </c>
      <c r="S70" s="18">
        <f t="shared" si="16"/>
        <v>94.478527607361968</v>
      </c>
      <c r="T70" s="8">
        <f>480-ProductionData[[#This Row],[Downtime Minutes]]</f>
        <v>429</v>
      </c>
      <c r="U70" s="11">
        <f t="shared" si="17"/>
        <v>0.80186480186480191</v>
      </c>
      <c r="V70" s="18">
        <f>ProductionData[[#This Row],[Profit]]/ProductionData[[#This Row],[Good Units]]</f>
        <v>25.521472392638035</v>
      </c>
      <c r="W70" s="11">
        <f>ProductionData[[#This Row],[Good Units]]/ProductionData[[#This Row],[Operating Minutes]]</f>
        <v>0.75990675990675993</v>
      </c>
    </row>
    <row r="71" spans="1:23">
      <c r="A71" s="7">
        <v>46211</v>
      </c>
      <c r="B71" s="8" t="s">
        <v>19</v>
      </c>
      <c r="C71" s="8" t="s">
        <v>28</v>
      </c>
      <c r="D71" s="8" t="s">
        <v>21</v>
      </c>
      <c r="E71" s="8" t="s">
        <v>22</v>
      </c>
      <c r="F71" s="9">
        <v>450</v>
      </c>
      <c r="G71" s="9">
        <v>447</v>
      </c>
      <c r="H71" s="9">
        <v>18</v>
      </c>
      <c r="I71" s="9">
        <f t="shared" si="9"/>
        <v>429</v>
      </c>
      <c r="J71" s="9">
        <v>19</v>
      </c>
      <c r="K71" s="10">
        <f t="shared" si="10"/>
        <v>3.9583333333333331E-2</v>
      </c>
      <c r="L71" s="17">
        <v>100</v>
      </c>
      <c r="M71" s="17">
        <v>30800</v>
      </c>
      <c r="N71" s="17">
        <f t="shared" si="11"/>
        <v>42900</v>
      </c>
      <c r="O71" s="17">
        <f t="shared" si="12"/>
        <v>12100</v>
      </c>
      <c r="P71" s="10">
        <f t="shared" si="13"/>
        <v>0.99333333333333329</v>
      </c>
      <c r="Q71" s="10">
        <f t="shared" si="14"/>
        <v>4.0268456375838924E-2</v>
      </c>
      <c r="R71" s="10">
        <f t="shared" si="15"/>
        <v>0.28205128205128205</v>
      </c>
      <c r="S71" s="18">
        <f t="shared" si="16"/>
        <v>71.794871794871796</v>
      </c>
      <c r="T71" s="8">
        <f>480-ProductionData[[#This Row],[Downtime Minutes]]</f>
        <v>461</v>
      </c>
      <c r="U71" s="11">
        <f t="shared" si="17"/>
        <v>0.96963123644251625</v>
      </c>
      <c r="V71" s="18">
        <f>ProductionData[[#This Row],[Profit]]/ProductionData[[#This Row],[Good Units]]</f>
        <v>28.205128205128204</v>
      </c>
      <c r="W71" s="11">
        <f>ProductionData[[#This Row],[Good Units]]/ProductionData[[#This Row],[Operating Minutes]]</f>
        <v>0.93058568329718006</v>
      </c>
    </row>
    <row r="72" spans="1:23">
      <c r="A72" s="7">
        <v>46211</v>
      </c>
      <c r="B72" s="8" t="s">
        <v>19</v>
      </c>
      <c r="C72" s="8" t="s">
        <v>28</v>
      </c>
      <c r="D72" s="8" t="s">
        <v>23</v>
      </c>
      <c r="E72" s="8" t="s">
        <v>24</v>
      </c>
      <c r="F72" s="9">
        <v>390</v>
      </c>
      <c r="G72" s="9">
        <v>371</v>
      </c>
      <c r="H72" s="9">
        <v>12</v>
      </c>
      <c r="I72" s="9">
        <f t="shared" si="9"/>
        <v>359</v>
      </c>
      <c r="J72" s="9">
        <v>18</v>
      </c>
      <c r="K72" s="10">
        <f t="shared" si="10"/>
        <v>3.7499999999999999E-2</v>
      </c>
      <c r="L72" s="17">
        <v>120</v>
      </c>
      <c r="M72" s="17">
        <v>30800</v>
      </c>
      <c r="N72" s="17">
        <f t="shared" si="11"/>
        <v>43080</v>
      </c>
      <c r="O72" s="17">
        <f t="shared" si="12"/>
        <v>12280</v>
      </c>
      <c r="P72" s="10">
        <f t="shared" si="13"/>
        <v>0.95128205128205123</v>
      </c>
      <c r="Q72" s="10">
        <f t="shared" si="14"/>
        <v>3.2345013477088951E-2</v>
      </c>
      <c r="R72" s="10">
        <f t="shared" si="15"/>
        <v>0.2850510677808728</v>
      </c>
      <c r="S72" s="18">
        <f t="shared" si="16"/>
        <v>85.793871866295262</v>
      </c>
      <c r="T72" s="8">
        <f>480-ProductionData[[#This Row],[Downtime Minutes]]</f>
        <v>462</v>
      </c>
      <c r="U72" s="11">
        <f t="shared" si="17"/>
        <v>0.80303030303030298</v>
      </c>
      <c r="V72" s="18">
        <f>ProductionData[[#This Row],[Profit]]/ProductionData[[#This Row],[Good Units]]</f>
        <v>34.206128133704738</v>
      </c>
      <c r="W72" s="11">
        <f>ProductionData[[#This Row],[Good Units]]/ProductionData[[#This Row],[Operating Minutes]]</f>
        <v>0.77705627705627711</v>
      </c>
    </row>
    <row r="73" spans="1:23">
      <c r="A73" s="7">
        <v>46211</v>
      </c>
      <c r="B73" s="8" t="s">
        <v>19</v>
      </c>
      <c r="C73" s="8" t="s">
        <v>28</v>
      </c>
      <c r="D73" s="8" t="s">
        <v>25</v>
      </c>
      <c r="E73" s="8" t="s">
        <v>26</v>
      </c>
      <c r="F73" s="9">
        <v>490</v>
      </c>
      <c r="G73" s="9">
        <v>450</v>
      </c>
      <c r="H73" s="9">
        <v>15</v>
      </c>
      <c r="I73" s="9">
        <f t="shared" si="9"/>
        <v>435</v>
      </c>
      <c r="J73" s="9">
        <v>42</v>
      </c>
      <c r="K73" s="10">
        <f t="shared" si="10"/>
        <v>8.7499999999999994E-2</v>
      </c>
      <c r="L73" s="17">
        <v>90</v>
      </c>
      <c r="M73" s="17">
        <v>30800</v>
      </c>
      <c r="N73" s="17">
        <f t="shared" si="11"/>
        <v>39150</v>
      </c>
      <c r="O73" s="17">
        <f t="shared" si="12"/>
        <v>8350</v>
      </c>
      <c r="P73" s="10">
        <f t="shared" si="13"/>
        <v>0.91836734693877553</v>
      </c>
      <c r="Q73" s="10">
        <f t="shared" si="14"/>
        <v>3.3333333333333333E-2</v>
      </c>
      <c r="R73" s="10">
        <f t="shared" si="15"/>
        <v>0.21328224776500637</v>
      </c>
      <c r="S73" s="18">
        <f t="shared" si="16"/>
        <v>70.804597701149419</v>
      </c>
      <c r="T73" s="8">
        <f>480-ProductionData[[#This Row],[Downtime Minutes]]</f>
        <v>438</v>
      </c>
      <c r="U73" s="11">
        <f t="shared" si="17"/>
        <v>1.0273972602739727</v>
      </c>
      <c r="V73" s="18">
        <f>ProductionData[[#This Row],[Profit]]/ProductionData[[#This Row],[Good Units]]</f>
        <v>19.195402298850574</v>
      </c>
      <c r="W73" s="11">
        <f>ProductionData[[#This Row],[Good Units]]/ProductionData[[#This Row],[Operating Minutes]]</f>
        <v>0.99315068493150682</v>
      </c>
    </row>
    <row r="74" spans="1:23">
      <c r="A74" s="7">
        <v>46212</v>
      </c>
      <c r="B74" s="8" t="s">
        <v>19</v>
      </c>
      <c r="C74" s="8" t="s">
        <v>20</v>
      </c>
      <c r="D74" s="8" t="s">
        <v>21</v>
      </c>
      <c r="E74" s="8" t="s">
        <v>26</v>
      </c>
      <c r="F74" s="9">
        <v>520</v>
      </c>
      <c r="G74" s="9">
        <v>493</v>
      </c>
      <c r="H74" s="9">
        <v>17</v>
      </c>
      <c r="I74" s="9">
        <f t="shared" si="9"/>
        <v>476</v>
      </c>
      <c r="J74" s="9">
        <v>17</v>
      </c>
      <c r="K74" s="10">
        <f t="shared" si="10"/>
        <v>3.5416666666666666E-2</v>
      </c>
      <c r="L74" s="17">
        <v>90</v>
      </c>
      <c r="M74" s="17">
        <v>30800</v>
      </c>
      <c r="N74" s="17">
        <f t="shared" si="11"/>
        <v>42840</v>
      </c>
      <c r="O74" s="17">
        <f t="shared" si="12"/>
        <v>12040</v>
      </c>
      <c r="P74" s="10">
        <f t="shared" si="13"/>
        <v>0.94807692307692304</v>
      </c>
      <c r="Q74" s="10">
        <f t="shared" si="14"/>
        <v>3.4482758620689655E-2</v>
      </c>
      <c r="R74" s="10">
        <f t="shared" si="15"/>
        <v>0.28104575163398693</v>
      </c>
      <c r="S74" s="18">
        <f t="shared" si="16"/>
        <v>64.705882352941174</v>
      </c>
      <c r="T74" s="8">
        <f>480-ProductionData[[#This Row],[Downtime Minutes]]</f>
        <v>463</v>
      </c>
      <c r="U74" s="11">
        <f t="shared" si="17"/>
        <v>1.0647948164146868</v>
      </c>
      <c r="V74" s="18">
        <f>ProductionData[[#This Row],[Profit]]/ProductionData[[#This Row],[Good Units]]</f>
        <v>25.294117647058822</v>
      </c>
      <c r="W74" s="11">
        <f>ProductionData[[#This Row],[Good Units]]/ProductionData[[#This Row],[Operating Minutes]]</f>
        <v>1.0280777537796977</v>
      </c>
    </row>
    <row r="75" spans="1:23">
      <c r="A75" s="7">
        <v>46212</v>
      </c>
      <c r="B75" s="8" t="s">
        <v>19</v>
      </c>
      <c r="C75" s="8" t="s">
        <v>20</v>
      </c>
      <c r="D75" s="8" t="s">
        <v>23</v>
      </c>
      <c r="E75" s="8" t="s">
        <v>22</v>
      </c>
      <c r="F75" s="9">
        <v>460</v>
      </c>
      <c r="G75" s="9">
        <v>448</v>
      </c>
      <c r="H75" s="9">
        <v>24</v>
      </c>
      <c r="I75" s="9">
        <f t="shared" si="9"/>
        <v>424</v>
      </c>
      <c r="J75" s="9">
        <v>43</v>
      </c>
      <c r="K75" s="10">
        <f t="shared" si="10"/>
        <v>8.9583333333333334E-2</v>
      </c>
      <c r="L75" s="17">
        <v>100</v>
      </c>
      <c r="M75" s="17">
        <v>30800</v>
      </c>
      <c r="N75" s="17">
        <f t="shared" si="11"/>
        <v>42400</v>
      </c>
      <c r="O75" s="17">
        <f t="shared" si="12"/>
        <v>11600</v>
      </c>
      <c r="P75" s="10">
        <f t="shared" si="13"/>
        <v>0.97391304347826091</v>
      </c>
      <c r="Q75" s="10">
        <f t="shared" si="14"/>
        <v>5.3571428571428568E-2</v>
      </c>
      <c r="R75" s="10">
        <f t="shared" si="15"/>
        <v>0.27358490566037735</v>
      </c>
      <c r="S75" s="18">
        <f t="shared" si="16"/>
        <v>72.64150943396227</v>
      </c>
      <c r="T75" s="8">
        <f>480-ProductionData[[#This Row],[Downtime Minutes]]</f>
        <v>437</v>
      </c>
      <c r="U75" s="11">
        <f t="shared" si="17"/>
        <v>1.0251716247139588</v>
      </c>
      <c r="V75" s="18">
        <f>ProductionData[[#This Row],[Profit]]/ProductionData[[#This Row],[Good Units]]</f>
        <v>27.358490566037737</v>
      </c>
      <c r="W75" s="11">
        <f>ProductionData[[#This Row],[Good Units]]/ProductionData[[#This Row],[Operating Minutes]]</f>
        <v>0.97025171624713957</v>
      </c>
    </row>
    <row r="76" spans="1:23">
      <c r="A76" s="7">
        <v>46212</v>
      </c>
      <c r="B76" s="8" t="s">
        <v>19</v>
      </c>
      <c r="C76" s="8" t="s">
        <v>20</v>
      </c>
      <c r="D76" s="8" t="s">
        <v>25</v>
      </c>
      <c r="E76" s="8" t="s">
        <v>24</v>
      </c>
      <c r="F76" s="9">
        <v>390</v>
      </c>
      <c r="G76" s="9">
        <v>367</v>
      </c>
      <c r="H76" s="9">
        <v>17</v>
      </c>
      <c r="I76" s="9">
        <f t="shared" si="9"/>
        <v>350</v>
      </c>
      <c r="J76" s="9">
        <v>44</v>
      </c>
      <c r="K76" s="10">
        <f t="shared" si="10"/>
        <v>9.166666666666666E-2</v>
      </c>
      <c r="L76" s="17">
        <v>120</v>
      </c>
      <c r="M76" s="17">
        <v>30800</v>
      </c>
      <c r="N76" s="17">
        <f t="shared" si="11"/>
        <v>42000</v>
      </c>
      <c r="O76" s="17">
        <f t="shared" si="12"/>
        <v>11200</v>
      </c>
      <c r="P76" s="10">
        <f t="shared" si="13"/>
        <v>0.94102564102564101</v>
      </c>
      <c r="Q76" s="10">
        <f t="shared" si="14"/>
        <v>4.632152588555858E-2</v>
      </c>
      <c r="R76" s="10">
        <f t="shared" si="15"/>
        <v>0.26666666666666666</v>
      </c>
      <c r="S76" s="18">
        <f t="shared" si="16"/>
        <v>88</v>
      </c>
      <c r="T76" s="8">
        <f>480-ProductionData[[#This Row],[Downtime Minutes]]</f>
        <v>436</v>
      </c>
      <c r="U76" s="11">
        <f t="shared" si="17"/>
        <v>0.84174311926605505</v>
      </c>
      <c r="V76" s="18">
        <f>ProductionData[[#This Row],[Profit]]/ProductionData[[#This Row],[Good Units]]</f>
        <v>32</v>
      </c>
      <c r="W76" s="11">
        <f>ProductionData[[#This Row],[Good Units]]/ProductionData[[#This Row],[Operating Minutes]]</f>
        <v>0.80275229357798161</v>
      </c>
    </row>
    <row r="77" spans="1:23">
      <c r="A77" s="7">
        <v>46212</v>
      </c>
      <c r="B77" s="8" t="s">
        <v>19</v>
      </c>
      <c r="C77" s="8" t="s">
        <v>27</v>
      </c>
      <c r="D77" s="8" t="s">
        <v>21</v>
      </c>
      <c r="E77" s="8" t="s">
        <v>22</v>
      </c>
      <c r="F77" s="9">
        <v>460</v>
      </c>
      <c r="G77" s="9">
        <v>425</v>
      </c>
      <c r="H77" s="9">
        <v>25</v>
      </c>
      <c r="I77" s="9">
        <f t="shared" si="9"/>
        <v>400</v>
      </c>
      <c r="J77" s="9">
        <v>63</v>
      </c>
      <c r="K77" s="10">
        <f t="shared" si="10"/>
        <v>0.13125000000000001</v>
      </c>
      <c r="L77" s="17">
        <v>100</v>
      </c>
      <c r="M77" s="17">
        <v>30800</v>
      </c>
      <c r="N77" s="17">
        <f t="shared" si="11"/>
        <v>40000</v>
      </c>
      <c r="O77" s="17">
        <f t="shared" si="12"/>
        <v>9200</v>
      </c>
      <c r="P77" s="10">
        <f t="shared" si="13"/>
        <v>0.92391304347826086</v>
      </c>
      <c r="Q77" s="10">
        <f t="shared" si="14"/>
        <v>5.8823529411764705E-2</v>
      </c>
      <c r="R77" s="10">
        <f t="shared" si="15"/>
        <v>0.23</v>
      </c>
      <c r="S77" s="18">
        <f t="shared" si="16"/>
        <v>77</v>
      </c>
      <c r="T77" s="8">
        <f>480-ProductionData[[#This Row],[Downtime Minutes]]</f>
        <v>417</v>
      </c>
      <c r="U77" s="11">
        <f t="shared" si="17"/>
        <v>1.0191846522781776</v>
      </c>
      <c r="V77" s="18">
        <f>ProductionData[[#This Row],[Profit]]/ProductionData[[#This Row],[Good Units]]</f>
        <v>23</v>
      </c>
      <c r="W77" s="11">
        <f>ProductionData[[#This Row],[Good Units]]/ProductionData[[#This Row],[Operating Minutes]]</f>
        <v>0.95923261390887293</v>
      </c>
    </row>
    <row r="78" spans="1:23">
      <c r="A78" s="7">
        <v>46212</v>
      </c>
      <c r="B78" s="8" t="s">
        <v>19</v>
      </c>
      <c r="C78" s="8" t="s">
        <v>27</v>
      </c>
      <c r="D78" s="8" t="s">
        <v>23</v>
      </c>
      <c r="E78" s="8" t="s">
        <v>24</v>
      </c>
      <c r="F78" s="9">
        <v>400</v>
      </c>
      <c r="G78" s="9">
        <v>347</v>
      </c>
      <c r="H78" s="9">
        <v>18</v>
      </c>
      <c r="I78" s="9">
        <f t="shared" si="9"/>
        <v>329</v>
      </c>
      <c r="J78" s="9">
        <v>49</v>
      </c>
      <c r="K78" s="10">
        <f t="shared" si="10"/>
        <v>0.10208333333333333</v>
      </c>
      <c r="L78" s="17">
        <v>120</v>
      </c>
      <c r="M78" s="17">
        <v>30800</v>
      </c>
      <c r="N78" s="17">
        <f t="shared" si="11"/>
        <v>39480</v>
      </c>
      <c r="O78" s="17">
        <f t="shared" si="12"/>
        <v>8680</v>
      </c>
      <c r="P78" s="10">
        <f t="shared" si="13"/>
        <v>0.86750000000000005</v>
      </c>
      <c r="Q78" s="10">
        <f t="shared" si="14"/>
        <v>5.1873198847262249E-2</v>
      </c>
      <c r="R78" s="10">
        <f t="shared" si="15"/>
        <v>0.21985815602836881</v>
      </c>
      <c r="S78" s="18">
        <f t="shared" si="16"/>
        <v>93.61702127659575</v>
      </c>
      <c r="T78" s="8">
        <f>480-ProductionData[[#This Row],[Downtime Minutes]]</f>
        <v>431</v>
      </c>
      <c r="U78" s="11">
        <f t="shared" si="17"/>
        <v>0.80510440835266817</v>
      </c>
      <c r="V78" s="18">
        <f>ProductionData[[#This Row],[Profit]]/ProductionData[[#This Row],[Good Units]]</f>
        <v>26.382978723404257</v>
      </c>
      <c r="W78" s="11">
        <f>ProductionData[[#This Row],[Good Units]]/ProductionData[[#This Row],[Operating Minutes]]</f>
        <v>0.76334106728538287</v>
      </c>
    </row>
    <row r="79" spans="1:23">
      <c r="A79" s="7">
        <v>46212</v>
      </c>
      <c r="B79" s="8" t="s">
        <v>19</v>
      </c>
      <c r="C79" s="8" t="s">
        <v>27</v>
      </c>
      <c r="D79" s="8" t="s">
        <v>25</v>
      </c>
      <c r="E79" s="8" t="s">
        <v>26</v>
      </c>
      <c r="F79" s="9">
        <v>490</v>
      </c>
      <c r="G79" s="9">
        <v>433</v>
      </c>
      <c r="H79" s="9">
        <v>30</v>
      </c>
      <c r="I79" s="9">
        <f t="shared" si="9"/>
        <v>403</v>
      </c>
      <c r="J79" s="9">
        <v>51</v>
      </c>
      <c r="K79" s="10">
        <f t="shared" si="10"/>
        <v>0.10625</v>
      </c>
      <c r="L79" s="17">
        <v>90</v>
      </c>
      <c r="M79" s="17">
        <v>30800</v>
      </c>
      <c r="N79" s="17">
        <f t="shared" si="11"/>
        <v>36270</v>
      </c>
      <c r="O79" s="17">
        <f t="shared" si="12"/>
        <v>5470</v>
      </c>
      <c r="P79" s="10">
        <f t="shared" si="13"/>
        <v>0.88367346938775515</v>
      </c>
      <c r="Q79" s="10">
        <f t="shared" si="14"/>
        <v>6.9284064665127015E-2</v>
      </c>
      <c r="R79" s="10">
        <f t="shared" si="15"/>
        <v>0.15081334436173147</v>
      </c>
      <c r="S79" s="18">
        <f t="shared" si="16"/>
        <v>76.426799007444174</v>
      </c>
      <c r="T79" s="8">
        <f>480-ProductionData[[#This Row],[Downtime Minutes]]</f>
        <v>429</v>
      </c>
      <c r="U79" s="11">
        <f t="shared" si="17"/>
        <v>1.0093240093240092</v>
      </c>
      <c r="V79" s="18">
        <f>ProductionData[[#This Row],[Profit]]/ProductionData[[#This Row],[Good Units]]</f>
        <v>13.573200992555831</v>
      </c>
      <c r="W79" s="11">
        <f>ProductionData[[#This Row],[Good Units]]/ProductionData[[#This Row],[Operating Minutes]]</f>
        <v>0.93939393939393945</v>
      </c>
    </row>
    <row r="80" spans="1:23">
      <c r="A80" s="7">
        <v>46212</v>
      </c>
      <c r="B80" s="8" t="s">
        <v>19</v>
      </c>
      <c r="C80" s="8" t="s">
        <v>28</v>
      </c>
      <c r="D80" s="8" t="s">
        <v>21</v>
      </c>
      <c r="E80" s="8" t="s">
        <v>24</v>
      </c>
      <c r="F80" s="9">
        <v>410</v>
      </c>
      <c r="G80" s="9">
        <v>397</v>
      </c>
      <c r="H80" s="9">
        <v>7</v>
      </c>
      <c r="I80" s="9">
        <f t="shared" si="9"/>
        <v>390</v>
      </c>
      <c r="J80" s="9">
        <v>12</v>
      </c>
      <c r="K80" s="10">
        <f t="shared" si="10"/>
        <v>2.5000000000000001E-2</v>
      </c>
      <c r="L80" s="17">
        <v>120</v>
      </c>
      <c r="M80" s="17">
        <v>30800</v>
      </c>
      <c r="N80" s="17">
        <f t="shared" si="11"/>
        <v>46800</v>
      </c>
      <c r="O80" s="17">
        <f t="shared" si="12"/>
        <v>16000</v>
      </c>
      <c r="P80" s="10">
        <f t="shared" si="13"/>
        <v>0.96829268292682924</v>
      </c>
      <c r="Q80" s="10">
        <f t="shared" si="14"/>
        <v>1.7632241813602016E-2</v>
      </c>
      <c r="R80" s="10">
        <f t="shared" si="15"/>
        <v>0.34188034188034189</v>
      </c>
      <c r="S80" s="18">
        <f t="shared" si="16"/>
        <v>78.974358974358978</v>
      </c>
      <c r="T80" s="8">
        <f>480-ProductionData[[#This Row],[Downtime Minutes]]</f>
        <v>468</v>
      </c>
      <c r="U80" s="11">
        <f t="shared" si="17"/>
        <v>0.84829059829059827</v>
      </c>
      <c r="V80" s="18">
        <f>ProductionData[[#This Row],[Profit]]/ProductionData[[#This Row],[Good Units]]</f>
        <v>41.025641025641029</v>
      </c>
      <c r="W80" s="11">
        <f>ProductionData[[#This Row],[Good Units]]/ProductionData[[#This Row],[Operating Minutes]]</f>
        <v>0.83333333333333337</v>
      </c>
    </row>
    <row r="81" spans="1:23">
      <c r="A81" s="7">
        <v>46212</v>
      </c>
      <c r="B81" s="8" t="s">
        <v>19</v>
      </c>
      <c r="C81" s="8" t="s">
        <v>28</v>
      </c>
      <c r="D81" s="8" t="s">
        <v>23</v>
      </c>
      <c r="E81" s="8" t="s">
        <v>26</v>
      </c>
      <c r="F81" s="9">
        <v>490</v>
      </c>
      <c r="G81" s="9">
        <v>473</v>
      </c>
      <c r="H81" s="9">
        <v>16</v>
      </c>
      <c r="I81" s="9">
        <f t="shared" si="9"/>
        <v>457</v>
      </c>
      <c r="J81" s="9">
        <v>29</v>
      </c>
      <c r="K81" s="10">
        <f t="shared" si="10"/>
        <v>6.0416666666666667E-2</v>
      </c>
      <c r="L81" s="17">
        <v>90</v>
      </c>
      <c r="M81" s="17">
        <v>30800</v>
      </c>
      <c r="N81" s="17">
        <f t="shared" si="11"/>
        <v>41130</v>
      </c>
      <c r="O81" s="17">
        <f t="shared" si="12"/>
        <v>10330</v>
      </c>
      <c r="P81" s="10">
        <f t="shared" si="13"/>
        <v>0.96530612244897962</v>
      </c>
      <c r="Q81" s="10">
        <f t="shared" si="14"/>
        <v>3.382663847780127E-2</v>
      </c>
      <c r="R81" s="10">
        <f t="shared" si="15"/>
        <v>0.2511548747872599</v>
      </c>
      <c r="S81" s="18">
        <f t="shared" si="16"/>
        <v>67.396061269146614</v>
      </c>
      <c r="T81" s="8">
        <f>480-ProductionData[[#This Row],[Downtime Minutes]]</f>
        <v>451</v>
      </c>
      <c r="U81" s="11">
        <f t="shared" si="17"/>
        <v>1.0487804878048781</v>
      </c>
      <c r="V81" s="18">
        <f>ProductionData[[#This Row],[Profit]]/ProductionData[[#This Row],[Good Units]]</f>
        <v>22.603938730853393</v>
      </c>
      <c r="W81" s="11">
        <f>ProductionData[[#This Row],[Good Units]]/ProductionData[[#This Row],[Operating Minutes]]</f>
        <v>1.0133037694013303</v>
      </c>
    </row>
    <row r="82" spans="1:23">
      <c r="A82" s="7">
        <v>46212</v>
      </c>
      <c r="B82" s="8" t="s">
        <v>19</v>
      </c>
      <c r="C82" s="8" t="s">
        <v>28</v>
      </c>
      <c r="D82" s="8" t="s">
        <v>25</v>
      </c>
      <c r="E82" s="8" t="s">
        <v>22</v>
      </c>
      <c r="F82" s="9">
        <v>470</v>
      </c>
      <c r="G82" s="9">
        <v>428</v>
      </c>
      <c r="H82" s="9">
        <v>25</v>
      </c>
      <c r="I82" s="9">
        <f t="shared" si="9"/>
        <v>403</v>
      </c>
      <c r="J82" s="9">
        <v>33</v>
      </c>
      <c r="K82" s="10">
        <f t="shared" si="10"/>
        <v>6.8750000000000006E-2</v>
      </c>
      <c r="L82" s="17">
        <v>100</v>
      </c>
      <c r="M82" s="17">
        <v>30800</v>
      </c>
      <c r="N82" s="17">
        <f t="shared" si="11"/>
        <v>40300</v>
      </c>
      <c r="O82" s="17">
        <f t="shared" si="12"/>
        <v>9500</v>
      </c>
      <c r="P82" s="10">
        <f t="shared" si="13"/>
        <v>0.91063829787234041</v>
      </c>
      <c r="Q82" s="10">
        <f t="shared" si="14"/>
        <v>5.8411214953271028E-2</v>
      </c>
      <c r="R82" s="10">
        <f t="shared" si="15"/>
        <v>0.23573200992555832</v>
      </c>
      <c r="S82" s="18">
        <f t="shared" si="16"/>
        <v>76.426799007444174</v>
      </c>
      <c r="T82" s="8">
        <f>480-ProductionData[[#This Row],[Downtime Minutes]]</f>
        <v>447</v>
      </c>
      <c r="U82" s="11">
        <f t="shared" si="17"/>
        <v>0.95749440715883671</v>
      </c>
      <c r="V82" s="18">
        <f>ProductionData[[#This Row],[Profit]]/ProductionData[[#This Row],[Good Units]]</f>
        <v>23.573200992555833</v>
      </c>
      <c r="W82" s="11">
        <f>ProductionData[[#This Row],[Good Units]]/ProductionData[[#This Row],[Operating Minutes]]</f>
        <v>0.90156599552572703</v>
      </c>
    </row>
    <row r="83" spans="1:23">
      <c r="A83" s="7">
        <v>46213</v>
      </c>
      <c r="B83" s="8" t="s">
        <v>19</v>
      </c>
      <c r="C83" s="8" t="s">
        <v>20</v>
      </c>
      <c r="D83" s="8" t="s">
        <v>21</v>
      </c>
      <c r="E83" s="8" t="s">
        <v>22</v>
      </c>
      <c r="F83" s="9">
        <v>470</v>
      </c>
      <c r="G83" s="9">
        <v>442</v>
      </c>
      <c r="H83" s="9">
        <v>17</v>
      </c>
      <c r="I83" s="9">
        <f t="shared" si="9"/>
        <v>425</v>
      </c>
      <c r="J83" s="9">
        <v>36</v>
      </c>
      <c r="K83" s="10">
        <f t="shared" si="10"/>
        <v>7.4999999999999997E-2</v>
      </c>
      <c r="L83" s="17">
        <v>100</v>
      </c>
      <c r="M83" s="17">
        <v>30800</v>
      </c>
      <c r="N83" s="17">
        <f t="shared" si="11"/>
        <v>42500</v>
      </c>
      <c r="O83" s="17">
        <f t="shared" si="12"/>
        <v>11700</v>
      </c>
      <c r="P83" s="10">
        <f t="shared" si="13"/>
        <v>0.94042553191489364</v>
      </c>
      <c r="Q83" s="10">
        <f t="shared" si="14"/>
        <v>3.8461538461538464E-2</v>
      </c>
      <c r="R83" s="10">
        <f t="shared" si="15"/>
        <v>0.2752941176470588</v>
      </c>
      <c r="S83" s="18">
        <f t="shared" si="16"/>
        <v>72.470588235294116</v>
      </c>
      <c r="T83" s="8">
        <f>480-ProductionData[[#This Row],[Downtime Minutes]]</f>
        <v>444</v>
      </c>
      <c r="U83" s="11">
        <f t="shared" si="17"/>
        <v>0.99549549549549554</v>
      </c>
      <c r="V83" s="18">
        <f>ProductionData[[#This Row],[Profit]]/ProductionData[[#This Row],[Good Units]]</f>
        <v>27.529411764705884</v>
      </c>
      <c r="W83" s="11">
        <f>ProductionData[[#This Row],[Good Units]]/ProductionData[[#This Row],[Operating Minutes]]</f>
        <v>0.9572072072072072</v>
      </c>
    </row>
    <row r="84" spans="1:23">
      <c r="A84" s="7">
        <v>46213</v>
      </c>
      <c r="B84" s="8" t="s">
        <v>19</v>
      </c>
      <c r="C84" s="8" t="s">
        <v>20</v>
      </c>
      <c r="D84" s="8" t="s">
        <v>23</v>
      </c>
      <c r="E84" s="8" t="s">
        <v>24</v>
      </c>
      <c r="F84" s="9">
        <v>410</v>
      </c>
      <c r="G84" s="9">
        <v>383</v>
      </c>
      <c r="H84" s="9">
        <v>13</v>
      </c>
      <c r="I84" s="9">
        <f t="shared" si="9"/>
        <v>370</v>
      </c>
      <c r="J84" s="9">
        <v>41</v>
      </c>
      <c r="K84" s="10">
        <f t="shared" si="10"/>
        <v>8.5416666666666669E-2</v>
      </c>
      <c r="L84" s="17">
        <v>120</v>
      </c>
      <c r="M84" s="17">
        <v>30800</v>
      </c>
      <c r="N84" s="17">
        <f t="shared" si="11"/>
        <v>44400</v>
      </c>
      <c r="O84" s="17">
        <f t="shared" si="12"/>
        <v>13600</v>
      </c>
      <c r="P84" s="10">
        <f t="shared" si="13"/>
        <v>0.93414634146341469</v>
      </c>
      <c r="Q84" s="10">
        <f t="shared" si="14"/>
        <v>3.3942558746736295E-2</v>
      </c>
      <c r="R84" s="10">
        <f t="shared" si="15"/>
        <v>0.30630630630630629</v>
      </c>
      <c r="S84" s="18">
        <f t="shared" si="16"/>
        <v>83.243243243243242</v>
      </c>
      <c r="T84" s="8">
        <f>480-ProductionData[[#This Row],[Downtime Minutes]]</f>
        <v>439</v>
      </c>
      <c r="U84" s="11">
        <f t="shared" si="17"/>
        <v>0.87243735763097952</v>
      </c>
      <c r="V84" s="18">
        <f>ProductionData[[#This Row],[Profit]]/ProductionData[[#This Row],[Good Units]]</f>
        <v>36.756756756756758</v>
      </c>
      <c r="W84" s="11">
        <f>ProductionData[[#This Row],[Good Units]]/ProductionData[[#This Row],[Operating Minutes]]</f>
        <v>0.84282460136674264</v>
      </c>
    </row>
    <row r="85" spans="1:23">
      <c r="A85" s="7">
        <v>46213</v>
      </c>
      <c r="B85" s="8" t="s">
        <v>19</v>
      </c>
      <c r="C85" s="8" t="s">
        <v>20</v>
      </c>
      <c r="D85" s="8" t="s">
        <v>25</v>
      </c>
      <c r="E85" s="8" t="s">
        <v>26</v>
      </c>
      <c r="F85" s="9">
        <v>500</v>
      </c>
      <c r="G85" s="9">
        <v>460</v>
      </c>
      <c r="H85" s="9">
        <v>19</v>
      </c>
      <c r="I85" s="9">
        <f t="shared" si="9"/>
        <v>441</v>
      </c>
      <c r="J85" s="9">
        <v>48</v>
      </c>
      <c r="K85" s="10">
        <f t="shared" si="10"/>
        <v>0.1</v>
      </c>
      <c r="L85" s="17">
        <v>90</v>
      </c>
      <c r="M85" s="17">
        <v>30800</v>
      </c>
      <c r="N85" s="17">
        <f t="shared" si="11"/>
        <v>39690</v>
      </c>
      <c r="O85" s="17">
        <f t="shared" si="12"/>
        <v>8890</v>
      </c>
      <c r="P85" s="10">
        <f t="shared" si="13"/>
        <v>0.92</v>
      </c>
      <c r="Q85" s="10">
        <f t="shared" si="14"/>
        <v>4.1304347826086954E-2</v>
      </c>
      <c r="R85" s="10">
        <f t="shared" si="15"/>
        <v>0.22398589065255731</v>
      </c>
      <c r="S85" s="18">
        <f t="shared" si="16"/>
        <v>69.841269841269835</v>
      </c>
      <c r="T85" s="8">
        <f>480-ProductionData[[#This Row],[Downtime Minutes]]</f>
        <v>432</v>
      </c>
      <c r="U85" s="11">
        <f t="shared" si="17"/>
        <v>1.0648148148148149</v>
      </c>
      <c r="V85" s="18">
        <f>ProductionData[[#This Row],[Profit]]/ProductionData[[#This Row],[Good Units]]</f>
        <v>20.158730158730158</v>
      </c>
      <c r="W85" s="11">
        <f>ProductionData[[#This Row],[Good Units]]/ProductionData[[#This Row],[Operating Minutes]]</f>
        <v>1.0208333333333333</v>
      </c>
    </row>
    <row r="86" spans="1:23">
      <c r="A86" s="7">
        <v>46213</v>
      </c>
      <c r="B86" s="8" t="s">
        <v>19</v>
      </c>
      <c r="C86" s="8" t="s">
        <v>27</v>
      </c>
      <c r="D86" s="8" t="s">
        <v>21</v>
      </c>
      <c r="E86" s="8" t="s">
        <v>24</v>
      </c>
      <c r="F86" s="9">
        <v>380</v>
      </c>
      <c r="G86" s="9">
        <v>354</v>
      </c>
      <c r="H86" s="9">
        <v>17</v>
      </c>
      <c r="I86" s="9">
        <f t="shared" si="9"/>
        <v>337</v>
      </c>
      <c r="J86" s="9">
        <v>59</v>
      </c>
      <c r="K86" s="10">
        <f t="shared" si="10"/>
        <v>0.12291666666666666</v>
      </c>
      <c r="L86" s="17">
        <v>120</v>
      </c>
      <c r="M86" s="17">
        <v>30800</v>
      </c>
      <c r="N86" s="17">
        <f t="shared" si="11"/>
        <v>40440</v>
      </c>
      <c r="O86" s="17">
        <f t="shared" si="12"/>
        <v>9640</v>
      </c>
      <c r="P86" s="10">
        <f t="shared" si="13"/>
        <v>0.93157894736842106</v>
      </c>
      <c r="Q86" s="10">
        <f t="shared" si="14"/>
        <v>4.8022598870056499E-2</v>
      </c>
      <c r="R86" s="10">
        <f t="shared" si="15"/>
        <v>0.23837784371909002</v>
      </c>
      <c r="S86" s="18">
        <f t="shared" si="16"/>
        <v>91.394658753709194</v>
      </c>
      <c r="T86" s="8">
        <f>480-ProductionData[[#This Row],[Downtime Minutes]]</f>
        <v>421</v>
      </c>
      <c r="U86" s="11">
        <f t="shared" si="17"/>
        <v>0.84085510688836107</v>
      </c>
      <c r="V86" s="18">
        <f>ProductionData[[#This Row],[Profit]]/ProductionData[[#This Row],[Good Units]]</f>
        <v>28.605341246290802</v>
      </c>
      <c r="W86" s="11">
        <f>ProductionData[[#This Row],[Good Units]]/ProductionData[[#This Row],[Operating Minutes]]</f>
        <v>0.8004750593824228</v>
      </c>
    </row>
    <row r="87" spans="1:23">
      <c r="A87" s="7">
        <v>46213</v>
      </c>
      <c r="B87" s="8" t="s">
        <v>19</v>
      </c>
      <c r="C87" s="8" t="s">
        <v>27</v>
      </c>
      <c r="D87" s="8" t="s">
        <v>23</v>
      </c>
      <c r="E87" s="8" t="s">
        <v>26</v>
      </c>
      <c r="F87" s="9">
        <v>490</v>
      </c>
      <c r="G87" s="9">
        <v>437</v>
      </c>
      <c r="H87" s="9">
        <v>27</v>
      </c>
      <c r="I87" s="9">
        <f t="shared" si="9"/>
        <v>410</v>
      </c>
      <c r="J87" s="9">
        <v>48</v>
      </c>
      <c r="K87" s="10">
        <f t="shared" si="10"/>
        <v>0.1</v>
      </c>
      <c r="L87" s="17">
        <v>90</v>
      </c>
      <c r="M87" s="17">
        <v>30800</v>
      </c>
      <c r="N87" s="17">
        <f t="shared" si="11"/>
        <v>36900</v>
      </c>
      <c r="O87" s="17">
        <f t="shared" si="12"/>
        <v>6100</v>
      </c>
      <c r="P87" s="10">
        <f t="shared" si="13"/>
        <v>0.89183673469387759</v>
      </c>
      <c r="Q87" s="10">
        <f t="shared" si="14"/>
        <v>6.1784897025171627E-2</v>
      </c>
      <c r="R87" s="10">
        <f t="shared" si="15"/>
        <v>0.16531165311653118</v>
      </c>
      <c r="S87" s="18">
        <f t="shared" si="16"/>
        <v>75.121951219512198</v>
      </c>
      <c r="T87" s="8">
        <f>480-ProductionData[[#This Row],[Downtime Minutes]]</f>
        <v>432</v>
      </c>
      <c r="U87" s="11">
        <f t="shared" si="17"/>
        <v>1.0115740740740742</v>
      </c>
      <c r="V87" s="18">
        <f>ProductionData[[#This Row],[Profit]]/ProductionData[[#This Row],[Good Units]]</f>
        <v>14.878048780487806</v>
      </c>
      <c r="W87" s="11">
        <f>ProductionData[[#This Row],[Good Units]]/ProductionData[[#This Row],[Operating Minutes]]</f>
        <v>0.94907407407407407</v>
      </c>
    </row>
    <row r="88" spans="1:23">
      <c r="A88" s="7">
        <v>46213</v>
      </c>
      <c r="B88" s="8" t="s">
        <v>19</v>
      </c>
      <c r="C88" s="8" t="s">
        <v>27</v>
      </c>
      <c r="D88" s="8" t="s">
        <v>25</v>
      </c>
      <c r="E88" s="8" t="s">
        <v>22</v>
      </c>
      <c r="F88" s="9">
        <v>440</v>
      </c>
      <c r="G88" s="9">
        <v>390</v>
      </c>
      <c r="H88" s="9">
        <v>31</v>
      </c>
      <c r="I88" s="9">
        <f t="shared" si="9"/>
        <v>359</v>
      </c>
      <c r="J88" s="9">
        <v>63</v>
      </c>
      <c r="K88" s="10">
        <f t="shared" si="10"/>
        <v>0.13125000000000001</v>
      </c>
      <c r="L88" s="17">
        <v>100</v>
      </c>
      <c r="M88" s="17">
        <v>30800</v>
      </c>
      <c r="N88" s="17">
        <f t="shared" si="11"/>
        <v>35900</v>
      </c>
      <c r="O88" s="17">
        <f t="shared" si="12"/>
        <v>5100</v>
      </c>
      <c r="P88" s="10">
        <f t="shared" si="13"/>
        <v>0.88636363636363635</v>
      </c>
      <c r="Q88" s="10">
        <f t="shared" si="14"/>
        <v>7.9487179487179482E-2</v>
      </c>
      <c r="R88" s="10">
        <f t="shared" si="15"/>
        <v>0.14206128133704735</v>
      </c>
      <c r="S88" s="18">
        <f t="shared" si="16"/>
        <v>85.793871866295262</v>
      </c>
      <c r="T88" s="8">
        <f>480-ProductionData[[#This Row],[Downtime Minutes]]</f>
        <v>417</v>
      </c>
      <c r="U88" s="11">
        <f t="shared" si="17"/>
        <v>0.93525179856115104</v>
      </c>
      <c r="V88" s="18">
        <f>ProductionData[[#This Row],[Profit]]/ProductionData[[#This Row],[Good Units]]</f>
        <v>14.206128133704736</v>
      </c>
      <c r="W88" s="11">
        <f>ProductionData[[#This Row],[Good Units]]/ProductionData[[#This Row],[Operating Minutes]]</f>
        <v>0.86091127098321341</v>
      </c>
    </row>
    <row r="89" spans="1:23">
      <c r="A89" s="7">
        <v>46213</v>
      </c>
      <c r="B89" s="8" t="s">
        <v>19</v>
      </c>
      <c r="C89" s="8" t="s">
        <v>28</v>
      </c>
      <c r="D89" s="8" t="s">
        <v>21</v>
      </c>
      <c r="E89" s="8" t="s">
        <v>26</v>
      </c>
      <c r="F89" s="9">
        <v>490</v>
      </c>
      <c r="G89" s="9">
        <v>475</v>
      </c>
      <c r="H89" s="9">
        <v>12</v>
      </c>
      <c r="I89" s="9">
        <f t="shared" si="9"/>
        <v>463</v>
      </c>
      <c r="J89" s="9">
        <v>14</v>
      </c>
      <c r="K89" s="10">
        <f t="shared" si="10"/>
        <v>2.9166666666666667E-2</v>
      </c>
      <c r="L89" s="17">
        <v>90</v>
      </c>
      <c r="M89" s="17">
        <v>30800</v>
      </c>
      <c r="N89" s="17">
        <f t="shared" si="11"/>
        <v>41670</v>
      </c>
      <c r="O89" s="17">
        <f t="shared" si="12"/>
        <v>10870</v>
      </c>
      <c r="P89" s="10">
        <f t="shared" si="13"/>
        <v>0.96938775510204078</v>
      </c>
      <c r="Q89" s="10">
        <f t="shared" si="14"/>
        <v>2.5263157894736842E-2</v>
      </c>
      <c r="R89" s="10">
        <f t="shared" si="15"/>
        <v>0.26085913126949845</v>
      </c>
      <c r="S89" s="18">
        <f t="shared" si="16"/>
        <v>66.522678185745136</v>
      </c>
      <c r="T89" s="8">
        <f>480-ProductionData[[#This Row],[Downtime Minutes]]</f>
        <v>466</v>
      </c>
      <c r="U89" s="11">
        <f t="shared" si="17"/>
        <v>1.0193133047210301</v>
      </c>
      <c r="V89" s="18">
        <f>ProductionData[[#This Row],[Profit]]/ProductionData[[#This Row],[Good Units]]</f>
        <v>23.477321814254861</v>
      </c>
      <c r="W89" s="11">
        <f>ProductionData[[#This Row],[Good Units]]/ProductionData[[#This Row],[Operating Minutes]]</f>
        <v>0.99356223175965663</v>
      </c>
    </row>
    <row r="90" spans="1:23">
      <c r="A90" s="7">
        <v>46213</v>
      </c>
      <c r="B90" s="8" t="s">
        <v>19</v>
      </c>
      <c r="C90" s="8" t="s">
        <v>28</v>
      </c>
      <c r="D90" s="8" t="s">
        <v>23</v>
      </c>
      <c r="E90" s="8" t="s">
        <v>22</v>
      </c>
      <c r="F90" s="9">
        <v>440</v>
      </c>
      <c r="G90" s="9">
        <v>423</v>
      </c>
      <c r="H90" s="9">
        <v>21</v>
      </c>
      <c r="I90" s="9">
        <f t="shared" si="9"/>
        <v>402</v>
      </c>
      <c r="J90" s="9">
        <v>43</v>
      </c>
      <c r="K90" s="10">
        <f t="shared" si="10"/>
        <v>8.9583333333333334E-2</v>
      </c>
      <c r="L90" s="17">
        <v>100</v>
      </c>
      <c r="M90" s="17">
        <v>30800</v>
      </c>
      <c r="N90" s="17">
        <f t="shared" si="11"/>
        <v>40200</v>
      </c>
      <c r="O90" s="17">
        <f t="shared" si="12"/>
        <v>9400</v>
      </c>
      <c r="P90" s="10">
        <f t="shared" si="13"/>
        <v>0.96136363636363631</v>
      </c>
      <c r="Q90" s="10">
        <f t="shared" si="14"/>
        <v>4.9645390070921988E-2</v>
      </c>
      <c r="R90" s="10">
        <f t="shared" si="15"/>
        <v>0.23383084577114427</v>
      </c>
      <c r="S90" s="18">
        <f t="shared" si="16"/>
        <v>76.616915422885569</v>
      </c>
      <c r="T90" s="8">
        <f>480-ProductionData[[#This Row],[Downtime Minutes]]</f>
        <v>437</v>
      </c>
      <c r="U90" s="11">
        <f t="shared" si="17"/>
        <v>0.96796338672768878</v>
      </c>
      <c r="V90" s="18">
        <f>ProductionData[[#This Row],[Profit]]/ProductionData[[#This Row],[Good Units]]</f>
        <v>23.383084577114428</v>
      </c>
      <c r="W90" s="11">
        <f>ProductionData[[#This Row],[Good Units]]/ProductionData[[#This Row],[Operating Minutes]]</f>
        <v>0.919908466819222</v>
      </c>
    </row>
    <row r="91" spans="1:23">
      <c r="A91" s="7">
        <v>46213</v>
      </c>
      <c r="B91" s="8" t="s">
        <v>19</v>
      </c>
      <c r="C91" s="8" t="s">
        <v>28</v>
      </c>
      <c r="D91" s="8" t="s">
        <v>25</v>
      </c>
      <c r="E91" s="8" t="s">
        <v>24</v>
      </c>
      <c r="F91" s="9">
        <v>400</v>
      </c>
      <c r="G91" s="9">
        <v>369</v>
      </c>
      <c r="H91" s="9">
        <v>13</v>
      </c>
      <c r="I91" s="9">
        <f t="shared" si="9"/>
        <v>356</v>
      </c>
      <c r="J91" s="9">
        <v>23</v>
      </c>
      <c r="K91" s="10">
        <f t="shared" si="10"/>
        <v>4.791666666666667E-2</v>
      </c>
      <c r="L91" s="17">
        <v>120</v>
      </c>
      <c r="M91" s="17">
        <v>30800</v>
      </c>
      <c r="N91" s="17">
        <f t="shared" si="11"/>
        <v>42720</v>
      </c>
      <c r="O91" s="17">
        <f t="shared" si="12"/>
        <v>11920</v>
      </c>
      <c r="P91" s="10">
        <f t="shared" si="13"/>
        <v>0.92249999999999999</v>
      </c>
      <c r="Q91" s="10">
        <f t="shared" si="14"/>
        <v>3.5230352303523033E-2</v>
      </c>
      <c r="R91" s="10">
        <f t="shared" si="15"/>
        <v>0.27902621722846443</v>
      </c>
      <c r="S91" s="18">
        <f t="shared" si="16"/>
        <v>86.516853932584269</v>
      </c>
      <c r="T91" s="8">
        <f>480-ProductionData[[#This Row],[Downtime Minutes]]</f>
        <v>457</v>
      </c>
      <c r="U91" s="11">
        <f t="shared" si="17"/>
        <v>0.80743982494529543</v>
      </c>
      <c r="V91" s="18">
        <f>ProductionData[[#This Row],[Profit]]/ProductionData[[#This Row],[Good Units]]</f>
        <v>33.483146067415731</v>
      </c>
      <c r="W91" s="11">
        <f>ProductionData[[#This Row],[Good Units]]/ProductionData[[#This Row],[Operating Minutes]]</f>
        <v>0.77899343544857769</v>
      </c>
    </row>
    <row r="92" spans="1:23">
      <c r="A92" s="7">
        <v>46214</v>
      </c>
      <c r="B92" s="8" t="s">
        <v>19</v>
      </c>
      <c r="C92" s="8" t="s">
        <v>20</v>
      </c>
      <c r="D92" s="8" t="s">
        <v>21</v>
      </c>
      <c r="E92" s="8" t="s">
        <v>24</v>
      </c>
      <c r="F92" s="9">
        <v>390</v>
      </c>
      <c r="G92" s="9">
        <v>371</v>
      </c>
      <c r="H92" s="9">
        <v>11</v>
      </c>
      <c r="I92" s="9">
        <f t="shared" si="9"/>
        <v>360</v>
      </c>
      <c r="J92" s="9">
        <v>38</v>
      </c>
      <c r="K92" s="10">
        <f t="shared" si="10"/>
        <v>7.9166666666666663E-2</v>
      </c>
      <c r="L92" s="17">
        <v>120</v>
      </c>
      <c r="M92" s="17">
        <v>30800</v>
      </c>
      <c r="N92" s="17">
        <f t="shared" si="11"/>
        <v>43200</v>
      </c>
      <c r="O92" s="17">
        <f t="shared" si="12"/>
        <v>12400</v>
      </c>
      <c r="P92" s="10">
        <f t="shared" si="13"/>
        <v>0.95128205128205123</v>
      </c>
      <c r="Q92" s="10">
        <f t="shared" si="14"/>
        <v>2.9649595687331536E-2</v>
      </c>
      <c r="R92" s="10">
        <f t="shared" si="15"/>
        <v>0.28703703703703703</v>
      </c>
      <c r="S92" s="18">
        <f t="shared" si="16"/>
        <v>85.555555555555557</v>
      </c>
      <c r="T92" s="8">
        <f>480-ProductionData[[#This Row],[Downtime Minutes]]</f>
        <v>442</v>
      </c>
      <c r="U92" s="11">
        <f t="shared" si="17"/>
        <v>0.83936651583710409</v>
      </c>
      <c r="V92" s="18">
        <f>ProductionData[[#This Row],[Profit]]/ProductionData[[#This Row],[Good Units]]</f>
        <v>34.444444444444443</v>
      </c>
      <c r="W92" s="11">
        <f>ProductionData[[#This Row],[Good Units]]/ProductionData[[#This Row],[Operating Minutes]]</f>
        <v>0.81447963800904977</v>
      </c>
    </row>
    <row r="93" spans="1:23">
      <c r="A93" s="7">
        <v>46214</v>
      </c>
      <c r="B93" s="8" t="s">
        <v>19</v>
      </c>
      <c r="C93" s="8" t="s">
        <v>20</v>
      </c>
      <c r="D93" s="8" t="s">
        <v>23</v>
      </c>
      <c r="E93" s="8" t="s">
        <v>26</v>
      </c>
      <c r="F93" s="9">
        <v>500</v>
      </c>
      <c r="G93" s="9">
        <v>471</v>
      </c>
      <c r="H93" s="9">
        <v>15</v>
      </c>
      <c r="I93" s="9">
        <f t="shared" si="9"/>
        <v>456</v>
      </c>
      <c r="J93" s="9">
        <v>35</v>
      </c>
      <c r="K93" s="10">
        <f t="shared" si="10"/>
        <v>7.2916666666666671E-2</v>
      </c>
      <c r="L93" s="17">
        <v>90</v>
      </c>
      <c r="M93" s="17">
        <v>30800</v>
      </c>
      <c r="N93" s="17">
        <f t="shared" si="11"/>
        <v>41040</v>
      </c>
      <c r="O93" s="17">
        <f t="shared" si="12"/>
        <v>10240</v>
      </c>
      <c r="P93" s="10">
        <f t="shared" si="13"/>
        <v>0.94199999999999995</v>
      </c>
      <c r="Q93" s="10">
        <f t="shared" si="14"/>
        <v>3.1847133757961783E-2</v>
      </c>
      <c r="R93" s="10">
        <f t="shared" si="15"/>
        <v>0.24951267056530213</v>
      </c>
      <c r="S93" s="18">
        <f t="shared" si="16"/>
        <v>67.543859649122808</v>
      </c>
      <c r="T93" s="8">
        <f>480-ProductionData[[#This Row],[Downtime Minutes]]</f>
        <v>445</v>
      </c>
      <c r="U93" s="11">
        <f t="shared" si="17"/>
        <v>1.0584269662921348</v>
      </c>
      <c r="V93" s="18">
        <f>ProductionData[[#This Row],[Profit]]/ProductionData[[#This Row],[Good Units]]</f>
        <v>22.456140350877192</v>
      </c>
      <c r="W93" s="11">
        <f>ProductionData[[#This Row],[Good Units]]/ProductionData[[#This Row],[Operating Minutes]]</f>
        <v>1.0247191011235954</v>
      </c>
    </row>
    <row r="94" spans="1:23">
      <c r="A94" s="7">
        <v>46214</v>
      </c>
      <c r="B94" s="8" t="s">
        <v>19</v>
      </c>
      <c r="C94" s="8" t="s">
        <v>20</v>
      </c>
      <c r="D94" s="8" t="s">
        <v>25</v>
      </c>
      <c r="E94" s="8" t="s">
        <v>22</v>
      </c>
      <c r="F94" s="9">
        <v>460</v>
      </c>
      <c r="G94" s="9">
        <v>415</v>
      </c>
      <c r="H94" s="9">
        <v>25</v>
      </c>
      <c r="I94" s="9">
        <f t="shared" si="9"/>
        <v>390</v>
      </c>
      <c r="J94" s="9">
        <v>55</v>
      </c>
      <c r="K94" s="10">
        <f t="shared" si="10"/>
        <v>0.11458333333333333</v>
      </c>
      <c r="L94" s="17">
        <v>100</v>
      </c>
      <c r="M94" s="17">
        <v>30800</v>
      </c>
      <c r="N94" s="17">
        <f t="shared" si="11"/>
        <v>39000</v>
      </c>
      <c r="O94" s="17">
        <f t="shared" si="12"/>
        <v>8200</v>
      </c>
      <c r="P94" s="10">
        <f t="shared" si="13"/>
        <v>0.90217391304347827</v>
      </c>
      <c r="Q94" s="10">
        <f t="shared" si="14"/>
        <v>6.0240963855421686E-2</v>
      </c>
      <c r="R94" s="10">
        <f t="shared" si="15"/>
        <v>0.21025641025641026</v>
      </c>
      <c r="S94" s="18">
        <f t="shared" si="16"/>
        <v>78.974358974358978</v>
      </c>
      <c r="T94" s="8">
        <f>480-ProductionData[[#This Row],[Downtime Minutes]]</f>
        <v>425</v>
      </c>
      <c r="U94" s="11">
        <f t="shared" si="17"/>
        <v>0.97647058823529409</v>
      </c>
      <c r="V94" s="18">
        <f>ProductionData[[#This Row],[Profit]]/ProductionData[[#This Row],[Good Units]]</f>
        <v>21.025641025641026</v>
      </c>
      <c r="W94" s="11">
        <f>ProductionData[[#This Row],[Good Units]]/ProductionData[[#This Row],[Operating Minutes]]</f>
        <v>0.91764705882352937</v>
      </c>
    </row>
    <row r="95" spans="1:23">
      <c r="A95" s="7">
        <v>46214</v>
      </c>
      <c r="B95" s="8" t="s">
        <v>19</v>
      </c>
      <c r="C95" s="8" t="s">
        <v>27</v>
      </c>
      <c r="D95" s="8" t="s">
        <v>21</v>
      </c>
      <c r="E95" s="8" t="s">
        <v>26</v>
      </c>
      <c r="F95" s="9">
        <v>480</v>
      </c>
      <c r="G95" s="9">
        <v>448</v>
      </c>
      <c r="H95" s="9">
        <v>20</v>
      </c>
      <c r="I95" s="9">
        <f t="shared" si="9"/>
        <v>428</v>
      </c>
      <c r="J95" s="9">
        <v>40</v>
      </c>
      <c r="K95" s="10">
        <f t="shared" si="10"/>
        <v>8.3333333333333329E-2</v>
      </c>
      <c r="L95" s="17">
        <v>90</v>
      </c>
      <c r="M95" s="17">
        <v>30800</v>
      </c>
      <c r="N95" s="17">
        <f t="shared" si="11"/>
        <v>38520</v>
      </c>
      <c r="O95" s="17">
        <f t="shared" si="12"/>
        <v>7720</v>
      </c>
      <c r="P95" s="10">
        <f t="shared" si="13"/>
        <v>0.93333333333333335</v>
      </c>
      <c r="Q95" s="10">
        <f t="shared" si="14"/>
        <v>4.4642857142857144E-2</v>
      </c>
      <c r="R95" s="10">
        <f t="shared" si="15"/>
        <v>0.20041536863966772</v>
      </c>
      <c r="S95" s="18">
        <f t="shared" si="16"/>
        <v>71.962616822429908</v>
      </c>
      <c r="T95" s="8">
        <f>480-ProductionData[[#This Row],[Downtime Minutes]]</f>
        <v>440</v>
      </c>
      <c r="U95" s="11">
        <f t="shared" si="17"/>
        <v>1.0181818181818181</v>
      </c>
      <c r="V95" s="18">
        <f>ProductionData[[#This Row],[Profit]]/ProductionData[[#This Row],[Good Units]]</f>
        <v>18.037383177570092</v>
      </c>
      <c r="W95" s="11">
        <f>ProductionData[[#This Row],[Good Units]]/ProductionData[[#This Row],[Operating Minutes]]</f>
        <v>0.97272727272727277</v>
      </c>
    </row>
    <row r="96" spans="1:23">
      <c r="A96" s="7">
        <v>46214</v>
      </c>
      <c r="B96" s="8" t="s">
        <v>19</v>
      </c>
      <c r="C96" s="8" t="s">
        <v>27</v>
      </c>
      <c r="D96" s="8" t="s">
        <v>23</v>
      </c>
      <c r="E96" s="8" t="s">
        <v>22</v>
      </c>
      <c r="F96" s="9">
        <v>460</v>
      </c>
      <c r="G96" s="9">
        <v>402</v>
      </c>
      <c r="H96" s="9">
        <v>24</v>
      </c>
      <c r="I96" s="9">
        <f t="shared" si="9"/>
        <v>378</v>
      </c>
      <c r="J96" s="9">
        <v>63</v>
      </c>
      <c r="K96" s="10">
        <f t="shared" si="10"/>
        <v>0.13125000000000001</v>
      </c>
      <c r="L96" s="17">
        <v>100</v>
      </c>
      <c r="M96" s="17">
        <v>30800</v>
      </c>
      <c r="N96" s="17">
        <f t="shared" si="11"/>
        <v>37800</v>
      </c>
      <c r="O96" s="17">
        <f t="shared" si="12"/>
        <v>7000</v>
      </c>
      <c r="P96" s="10">
        <f t="shared" si="13"/>
        <v>0.87391304347826082</v>
      </c>
      <c r="Q96" s="10">
        <f t="shared" si="14"/>
        <v>5.9701492537313432E-2</v>
      </c>
      <c r="R96" s="10">
        <f t="shared" si="15"/>
        <v>0.18518518518518517</v>
      </c>
      <c r="S96" s="18">
        <f t="shared" si="16"/>
        <v>81.481481481481481</v>
      </c>
      <c r="T96" s="8">
        <f>480-ProductionData[[#This Row],[Downtime Minutes]]</f>
        <v>417</v>
      </c>
      <c r="U96" s="11">
        <f t="shared" si="17"/>
        <v>0.96402877697841727</v>
      </c>
      <c r="V96" s="18">
        <f>ProductionData[[#This Row],[Profit]]/ProductionData[[#This Row],[Good Units]]</f>
        <v>18.518518518518519</v>
      </c>
      <c r="W96" s="11">
        <f>ProductionData[[#This Row],[Good Units]]/ProductionData[[#This Row],[Operating Minutes]]</f>
        <v>0.90647482014388492</v>
      </c>
    </row>
    <row r="97" spans="1:23">
      <c r="A97" s="7">
        <v>46214</v>
      </c>
      <c r="B97" s="8" t="s">
        <v>19</v>
      </c>
      <c r="C97" s="8" t="s">
        <v>27</v>
      </c>
      <c r="D97" s="8" t="s">
        <v>25</v>
      </c>
      <c r="E97" s="8" t="s">
        <v>24</v>
      </c>
      <c r="F97" s="9">
        <v>410</v>
      </c>
      <c r="G97" s="9">
        <v>345</v>
      </c>
      <c r="H97" s="9">
        <v>20</v>
      </c>
      <c r="I97" s="9">
        <f t="shared" si="9"/>
        <v>325</v>
      </c>
      <c r="J97" s="9">
        <v>69</v>
      </c>
      <c r="K97" s="10">
        <f t="shared" si="10"/>
        <v>0.14374999999999999</v>
      </c>
      <c r="L97" s="17">
        <v>120</v>
      </c>
      <c r="M97" s="17">
        <v>30800</v>
      </c>
      <c r="N97" s="17">
        <f t="shared" si="11"/>
        <v>39000</v>
      </c>
      <c r="O97" s="17">
        <f t="shared" si="12"/>
        <v>8200</v>
      </c>
      <c r="P97" s="10">
        <f t="shared" si="13"/>
        <v>0.84146341463414631</v>
      </c>
      <c r="Q97" s="10">
        <f t="shared" si="14"/>
        <v>5.7971014492753624E-2</v>
      </c>
      <c r="R97" s="10">
        <f t="shared" si="15"/>
        <v>0.21025641025641026</v>
      </c>
      <c r="S97" s="18">
        <f t="shared" si="16"/>
        <v>94.769230769230774</v>
      </c>
      <c r="T97" s="8">
        <f>480-ProductionData[[#This Row],[Downtime Minutes]]</f>
        <v>411</v>
      </c>
      <c r="U97" s="11">
        <f t="shared" si="17"/>
        <v>0.83941605839416056</v>
      </c>
      <c r="V97" s="18">
        <f>ProductionData[[#This Row],[Profit]]/ProductionData[[#This Row],[Good Units]]</f>
        <v>25.23076923076923</v>
      </c>
      <c r="W97" s="11">
        <f>ProductionData[[#This Row],[Good Units]]/ProductionData[[#This Row],[Operating Minutes]]</f>
        <v>0.79075425790754261</v>
      </c>
    </row>
    <row r="98" spans="1:23">
      <c r="A98" s="7">
        <v>46214</v>
      </c>
      <c r="B98" s="8" t="s">
        <v>19</v>
      </c>
      <c r="C98" s="8" t="s">
        <v>28</v>
      </c>
      <c r="D98" s="8" t="s">
        <v>21</v>
      </c>
      <c r="E98" s="8" t="s">
        <v>22</v>
      </c>
      <c r="F98" s="9">
        <v>440</v>
      </c>
      <c r="G98" s="9">
        <v>435</v>
      </c>
      <c r="H98" s="9">
        <v>16</v>
      </c>
      <c r="I98" s="9">
        <f t="shared" si="9"/>
        <v>419</v>
      </c>
      <c r="J98" s="9">
        <v>22</v>
      </c>
      <c r="K98" s="10">
        <f t="shared" si="10"/>
        <v>4.583333333333333E-2</v>
      </c>
      <c r="L98" s="17">
        <v>100</v>
      </c>
      <c r="M98" s="17">
        <v>30800</v>
      </c>
      <c r="N98" s="17">
        <f t="shared" si="11"/>
        <v>41900</v>
      </c>
      <c r="O98" s="17">
        <f t="shared" si="12"/>
        <v>11100</v>
      </c>
      <c r="P98" s="10">
        <f t="shared" si="13"/>
        <v>0.98863636363636365</v>
      </c>
      <c r="Q98" s="10">
        <f t="shared" si="14"/>
        <v>3.6781609195402298E-2</v>
      </c>
      <c r="R98" s="10">
        <f t="shared" si="15"/>
        <v>0.2649164677804296</v>
      </c>
      <c r="S98" s="18">
        <f t="shared" si="16"/>
        <v>73.508353221957037</v>
      </c>
      <c r="T98" s="8">
        <f>480-ProductionData[[#This Row],[Downtime Minutes]]</f>
        <v>458</v>
      </c>
      <c r="U98" s="11">
        <f t="shared" si="17"/>
        <v>0.94978165938864634</v>
      </c>
      <c r="V98" s="18">
        <f>ProductionData[[#This Row],[Profit]]/ProductionData[[#This Row],[Good Units]]</f>
        <v>26.491646778042959</v>
      </c>
      <c r="W98" s="11">
        <f>ProductionData[[#This Row],[Good Units]]/ProductionData[[#This Row],[Operating Minutes]]</f>
        <v>0.91484716157205237</v>
      </c>
    </row>
    <row r="99" spans="1:23">
      <c r="A99" s="7">
        <v>46214</v>
      </c>
      <c r="B99" s="8" t="s">
        <v>19</v>
      </c>
      <c r="C99" s="8" t="s">
        <v>28</v>
      </c>
      <c r="D99" s="8" t="s">
        <v>23</v>
      </c>
      <c r="E99" s="8" t="s">
        <v>24</v>
      </c>
      <c r="F99" s="9">
        <v>400</v>
      </c>
      <c r="G99" s="9">
        <v>375</v>
      </c>
      <c r="H99" s="9">
        <v>12</v>
      </c>
      <c r="I99" s="9">
        <f t="shared" si="9"/>
        <v>363</v>
      </c>
      <c r="J99" s="9">
        <v>41</v>
      </c>
      <c r="K99" s="10">
        <f t="shared" si="10"/>
        <v>8.5416666666666669E-2</v>
      </c>
      <c r="L99" s="17">
        <v>120</v>
      </c>
      <c r="M99" s="17">
        <v>30800</v>
      </c>
      <c r="N99" s="17">
        <f t="shared" si="11"/>
        <v>43560</v>
      </c>
      <c r="O99" s="17">
        <f t="shared" si="12"/>
        <v>12760</v>
      </c>
      <c r="P99" s="10">
        <f t="shared" si="13"/>
        <v>0.9375</v>
      </c>
      <c r="Q99" s="10">
        <f t="shared" si="14"/>
        <v>3.2000000000000001E-2</v>
      </c>
      <c r="R99" s="10">
        <f t="shared" si="15"/>
        <v>0.29292929292929293</v>
      </c>
      <c r="S99" s="18">
        <f t="shared" si="16"/>
        <v>84.848484848484844</v>
      </c>
      <c r="T99" s="8">
        <f>480-ProductionData[[#This Row],[Downtime Minutes]]</f>
        <v>439</v>
      </c>
      <c r="U99" s="11">
        <f t="shared" si="17"/>
        <v>0.85421412300683375</v>
      </c>
      <c r="V99" s="18">
        <f>ProductionData[[#This Row],[Profit]]/ProductionData[[#This Row],[Good Units]]</f>
        <v>35.151515151515149</v>
      </c>
      <c r="W99" s="11">
        <f>ProductionData[[#This Row],[Good Units]]/ProductionData[[#This Row],[Operating Minutes]]</f>
        <v>0.82687927107061499</v>
      </c>
    </row>
    <row r="100" spans="1:23">
      <c r="A100" s="7">
        <v>46214</v>
      </c>
      <c r="B100" s="8" t="s">
        <v>19</v>
      </c>
      <c r="C100" s="8" t="s">
        <v>28</v>
      </c>
      <c r="D100" s="8" t="s">
        <v>25</v>
      </c>
      <c r="E100" s="8" t="s">
        <v>26</v>
      </c>
      <c r="F100" s="9">
        <v>510</v>
      </c>
      <c r="G100" s="9">
        <v>469</v>
      </c>
      <c r="H100" s="9">
        <v>21</v>
      </c>
      <c r="I100" s="9">
        <f t="shared" si="9"/>
        <v>448</v>
      </c>
      <c r="J100" s="9">
        <v>40</v>
      </c>
      <c r="K100" s="10">
        <f t="shared" si="10"/>
        <v>8.3333333333333329E-2</v>
      </c>
      <c r="L100" s="17">
        <v>90</v>
      </c>
      <c r="M100" s="17">
        <v>30800</v>
      </c>
      <c r="N100" s="17">
        <f t="shared" si="11"/>
        <v>40320</v>
      </c>
      <c r="O100" s="17">
        <f t="shared" si="12"/>
        <v>9520</v>
      </c>
      <c r="P100" s="10">
        <f t="shared" si="13"/>
        <v>0.91960784313725485</v>
      </c>
      <c r="Q100" s="10">
        <f t="shared" si="14"/>
        <v>4.4776119402985072E-2</v>
      </c>
      <c r="R100" s="10">
        <f t="shared" si="15"/>
        <v>0.2361111111111111</v>
      </c>
      <c r="S100" s="18">
        <f t="shared" si="16"/>
        <v>68.75</v>
      </c>
      <c r="T100" s="8">
        <f>480-ProductionData[[#This Row],[Downtime Minutes]]</f>
        <v>440</v>
      </c>
      <c r="U100" s="11">
        <f t="shared" si="17"/>
        <v>1.0659090909090909</v>
      </c>
      <c r="V100" s="18">
        <f>ProductionData[[#This Row],[Profit]]/ProductionData[[#This Row],[Good Units]]</f>
        <v>21.25</v>
      </c>
      <c r="W100" s="11">
        <f>ProductionData[[#This Row],[Good Units]]/ProductionData[[#This Row],[Operating Minutes]]</f>
        <v>1.0181818181818181</v>
      </c>
    </row>
    <row r="101" spans="1:23">
      <c r="A101" s="7">
        <v>46215</v>
      </c>
      <c r="B101" s="8" t="s">
        <v>19</v>
      </c>
      <c r="C101" s="8" t="s">
        <v>20</v>
      </c>
      <c r="D101" s="8" t="s">
        <v>21</v>
      </c>
      <c r="E101" s="8" t="s">
        <v>26</v>
      </c>
      <c r="F101" s="9">
        <v>500</v>
      </c>
      <c r="G101" s="9">
        <v>480</v>
      </c>
      <c r="H101" s="9">
        <v>19</v>
      </c>
      <c r="I101" s="9">
        <f t="shared" si="9"/>
        <v>461</v>
      </c>
      <c r="J101" s="9">
        <v>16</v>
      </c>
      <c r="K101" s="10">
        <f t="shared" si="10"/>
        <v>3.3333333333333333E-2</v>
      </c>
      <c r="L101" s="17">
        <v>90</v>
      </c>
      <c r="M101" s="17">
        <v>30800</v>
      </c>
      <c r="N101" s="17">
        <f t="shared" si="11"/>
        <v>41490</v>
      </c>
      <c r="O101" s="17">
        <f t="shared" si="12"/>
        <v>10690</v>
      </c>
      <c r="P101" s="10">
        <f t="shared" si="13"/>
        <v>0.96</v>
      </c>
      <c r="Q101" s="10">
        <f t="shared" si="14"/>
        <v>3.9583333333333331E-2</v>
      </c>
      <c r="R101" s="10">
        <f t="shared" si="15"/>
        <v>0.25765244637261991</v>
      </c>
      <c r="S101" s="18">
        <f t="shared" si="16"/>
        <v>66.811279826464215</v>
      </c>
      <c r="T101" s="8">
        <f>480-ProductionData[[#This Row],[Downtime Minutes]]</f>
        <v>464</v>
      </c>
      <c r="U101" s="11">
        <f t="shared" si="17"/>
        <v>1.0344827586206897</v>
      </c>
      <c r="V101" s="18">
        <f>ProductionData[[#This Row],[Profit]]/ProductionData[[#This Row],[Good Units]]</f>
        <v>23.188720173535792</v>
      </c>
      <c r="W101" s="11">
        <f>ProductionData[[#This Row],[Good Units]]/ProductionData[[#This Row],[Operating Minutes]]</f>
        <v>0.99353448275862066</v>
      </c>
    </row>
    <row r="102" spans="1:23">
      <c r="A102" s="7">
        <v>46215</v>
      </c>
      <c r="B102" s="8" t="s">
        <v>19</v>
      </c>
      <c r="C102" s="8" t="s">
        <v>20</v>
      </c>
      <c r="D102" s="8" t="s">
        <v>23</v>
      </c>
      <c r="E102" s="8" t="s">
        <v>22</v>
      </c>
      <c r="F102" s="9">
        <v>440</v>
      </c>
      <c r="G102" s="9">
        <v>416</v>
      </c>
      <c r="H102" s="9">
        <v>21</v>
      </c>
      <c r="I102" s="9">
        <f t="shared" si="9"/>
        <v>395</v>
      </c>
      <c r="J102" s="9">
        <v>47</v>
      </c>
      <c r="K102" s="10">
        <f t="shared" si="10"/>
        <v>9.7916666666666666E-2</v>
      </c>
      <c r="L102" s="17">
        <v>100</v>
      </c>
      <c r="M102" s="17">
        <v>30800</v>
      </c>
      <c r="N102" s="17">
        <f t="shared" si="11"/>
        <v>39500</v>
      </c>
      <c r="O102" s="17">
        <f t="shared" si="12"/>
        <v>8700</v>
      </c>
      <c r="P102" s="10">
        <f t="shared" si="13"/>
        <v>0.94545454545454544</v>
      </c>
      <c r="Q102" s="10">
        <f t="shared" si="14"/>
        <v>5.0480769230769232E-2</v>
      </c>
      <c r="R102" s="10">
        <f t="shared" si="15"/>
        <v>0.22025316455696203</v>
      </c>
      <c r="S102" s="18">
        <f t="shared" si="16"/>
        <v>77.974683544303801</v>
      </c>
      <c r="T102" s="8">
        <f>480-ProductionData[[#This Row],[Downtime Minutes]]</f>
        <v>433</v>
      </c>
      <c r="U102" s="11">
        <f t="shared" si="17"/>
        <v>0.96073903002309469</v>
      </c>
      <c r="V102" s="18">
        <f>ProductionData[[#This Row],[Profit]]/ProductionData[[#This Row],[Good Units]]</f>
        <v>22.025316455696203</v>
      </c>
      <c r="W102" s="11">
        <f>ProductionData[[#This Row],[Good Units]]/ProductionData[[#This Row],[Operating Minutes]]</f>
        <v>0.91224018475750579</v>
      </c>
    </row>
    <row r="103" spans="1:23">
      <c r="A103" s="7">
        <v>46215</v>
      </c>
      <c r="B103" s="8" t="s">
        <v>19</v>
      </c>
      <c r="C103" s="8" t="s">
        <v>20</v>
      </c>
      <c r="D103" s="8" t="s">
        <v>25</v>
      </c>
      <c r="E103" s="8" t="s">
        <v>24</v>
      </c>
      <c r="F103" s="9">
        <v>390</v>
      </c>
      <c r="G103" s="9">
        <v>364</v>
      </c>
      <c r="H103" s="9">
        <v>15</v>
      </c>
      <c r="I103" s="9">
        <f t="shared" si="9"/>
        <v>349</v>
      </c>
      <c r="J103" s="9">
        <v>54</v>
      </c>
      <c r="K103" s="10">
        <f t="shared" si="10"/>
        <v>0.1125</v>
      </c>
      <c r="L103" s="17">
        <v>120</v>
      </c>
      <c r="M103" s="17">
        <v>30800</v>
      </c>
      <c r="N103" s="17">
        <f t="shared" si="11"/>
        <v>41880</v>
      </c>
      <c r="O103" s="17">
        <f t="shared" si="12"/>
        <v>11080</v>
      </c>
      <c r="P103" s="10">
        <f t="shared" si="13"/>
        <v>0.93333333333333335</v>
      </c>
      <c r="Q103" s="10">
        <f t="shared" si="14"/>
        <v>4.1208791208791208E-2</v>
      </c>
      <c r="R103" s="10">
        <f t="shared" si="15"/>
        <v>0.26456542502387775</v>
      </c>
      <c r="S103" s="18">
        <f t="shared" si="16"/>
        <v>88.252148997134668</v>
      </c>
      <c r="T103" s="8">
        <f>480-ProductionData[[#This Row],[Downtime Minutes]]</f>
        <v>426</v>
      </c>
      <c r="U103" s="11">
        <f t="shared" si="17"/>
        <v>0.85446009389671362</v>
      </c>
      <c r="V103" s="18">
        <f>ProductionData[[#This Row],[Profit]]/ProductionData[[#This Row],[Good Units]]</f>
        <v>31.747851002865328</v>
      </c>
      <c r="W103" s="11">
        <f>ProductionData[[#This Row],[Good Units]]/ProductionData[[#This Row],[Operating Minutes]]</f>
        <v>0.81924882629107976</v>
      </c>
    </row>
    <row r="104" spans="1:23">
      <c r="A104" s="7">
        <v>46215</v>
      </c>
      <c r="B104" s="8" t="s">
        <v>19</v>
      </c>
      <c r="C104" s="8" t="s">
        <v>27</v>
      </c>
      <c r="D104" s="8" t="s">
        <v>21</v>
      </c>
      <c r="E104" s="8" t="s">
        <v>22</v>
      </c>
      <c r="F104" s="9">
        <v>450</v>
      </c>
      <c r="G104" s="9">
        <v>419</v>
      </c>
      <c r="H104" s="9">
        <v>26</v>
      </c>
      <c r="I104" s="9">
        <f t="shared" si="9"/>
        <v>393</v>
      </c>
      <c r="J104" s="9">
        <v>46</v>
      </c>
      <c r="K104" s="10">
        <f t="shared" si="10"/>
        <v>9.583333333333334E-2</v>
      </c>
      <c r="L104" s="17">
        <v>100</v>
      </c>
      <c r="M104" s="17">
        <v>30800</v>
      </c>
      <c r="N104" s="17">
        <f t="shared" si="11"/>
        <v>39300</v>
      </c>
      <c r="O104" s="17">
        <f t="shared" si="12"/>
        <v>8500</v>
      </c>
      <c r="P104" s="10">
        <f t="shared" si="13"/>
        <v>0.93111111111111111</v>
      </c>
      <c r="Q104" s="10">
        <f t="shared" si="14"/>
        <v>6.205250596658711E-2</v>
      </c>
      <c r="R104" s="10">
        <f t="shared" si="15"/>
        <v>0.21628498727735368</v>
      </c>
      <c r="S104" s="18">
        <f t="shared" si="16"/>
        <v>78.371501272264638</v>
      </c>
      <c r="T104" s="8">
        <f>480-ProductionData[[#This Row],[Downtime Minutes]]</f>
        <v>434</v>
      </c>
      <c r="U104" s="11">
        <f t="shared" si="17"/>
        <v>0.96543778801843316</v>
      </c>
      <c r="V104" s="18">
        <f>ProductionData[[#This Row],[Profit]]/ProductionData[[#This Row],[Good Units]]</f>
        <v>21.628498727735369</v>
      </c>
      <c r="W104" s="11">
        <f>ProductionData[[#This Row],[Good Units]]/ProductionData[[#This Row],[Operating Minutes]]</f>
        <v>0.90552995391705071</v>
      </c>
    </row>
    <row r="105" spans="1:23">
      <c r="A105" s="7">
        <v>46215</v>
      </c>
      <c r="B105" s="8" t="s">
        <v>19</v>
      </c>
      <c r="C105" s="8" t="s">
        <v>27</v>
      </c>
      <c r="D105" s="8" t="s">
        <v>23</v>
      </c>
      <c r="E105" s="8" t="s">
        <v>24</v>
      </c>
      <c r="F105" s="9">
        <v>400</v>
      </c>
      <c r="G105" s="9">
        <v>365</v>
      </c>
      <c r="H105" s="9">
        <v>21</v>
      </c>
      <c r="I105" s="9">
        <f t="shared" si="9"/>
        <v>344</v>
      </c>
      <c r="J105" s="9">
        <v>51</v>
      </c>
      <c r="K105" s="10">
        <f t="shared" si="10"/>
        <v>0.10625</v>
      </c>
      <c r="L105" s="17">
        <v>120</v>
      </c>
      <c r="M105" s="17">
        <v>30800</v>
      </c>
      <c r="N105" s="17">
        <f t="shared" si="11"/>
        <v>41280</v>
      </c>
      <c r="O105" s="17">
        <f t="shared" si="12"/>
        <v>10480</v>
      </c>
      <c r="P105" s="10">
        <f t="shared" si="13"/>
        <v>0.91249999999999998</v>
      </c>
      <c r="Q105" s="10">
        <f t="shared" si="14"/>
        <v>5.7534246575342465E-2</v>
      </c>
      <c r="R105" s="10">
        <f t="shared" si="15"/>
        <v>0.25387596899224807</v>
      </c>
      <c r="S105" s="18">
        <f t="shared" si="16"/>
        <v>89.534883720930239</v>
      </c>
      <c r="T105" s="8">
        <f>480-ProductionData[[#This Row],[Downtime Minutes]]</f>
        <v>429</v>
      </c>
      <c r="U105" s="11">
        <f t="shared" si="17"/>
        <v>0.85081585081585076</v>
      </c>
      <c r="V105" s="18">
        <f>ProductionData[[#This Row],[Profit]]/ProductionData[[#This Row],[Good Units]]</f>
        <v>30.465116279069768</v>
      </c>
      <c r="W105" s="11">
        <f>ProductionData[[#This Row],[Good Units]]/ProductionData[[#This Row],[Operating Minutes]]</f>
        <v>0.80186480186480191</v>
      </c>
    </row>
    <row r="106" spans="1:23">
      <c r="A106" s="7">
        <v>46215</v>
      </c>
      <c r="B106" s="8" t="s">
        <v>19</v>
      </c>
      <c r="C106" s="8" t="s">
        <v>27</v>
      </c>
      <c r="D106" s="8" t="s">
        <v>25</v>
      </c>
      <c r="E106" s="8" t="s">
        <v>26</v>
      </c>
      <c r="F106" s="9">
        <v>500</v>
      </c>
      <c r="G106" s="9">
        <v>426</v>
      </c>
      <c r="H106" s="9">
        <v>26</v>
      </c>
      <c r="I106" s="9">
        <f t="shared" si="9"/>
        <v>400</v>
      </c>
      <c r="J106" s="9">
        <v>66</v>
      </c>
      <c r="K106" s="10">
        <f t="shared" si="10"/>
        <v>0.13750000000000001</v>
      </c>
      <c r="L106" s="17">
        <v>90</v>
      </c>
      <c r="M106" s="17">
        <v>30800</v>
      </c>
      <c r="N106" s="17">
        <f t="shared" si="11"/>
        <v>36000</v>
      </c>
      <c r="O106" s="17">
        <f t="shared" si="12"/>
        <v>5200</v>
      </c>
      <c r="P106" s="10">
        <f t="shared" si="13"/>
        <v>0.85199999999999998</v>
      </c>
      <c r="Q106" s="10">
        <f t="shared" si="14"/>
        <v>6.1032863849765258E-2</v>
      </c>
      <c r="R106" s="10">
        <f t="shared" si="15"/>
        <v>0.14444444444444443</v>
      </c>
      <c r="S106" s="18">
        <f t="shared" si="16"/>
        <v>77</v>
      </c>
      <c r="T106" s="8">
        <f>480-ProductionData[[#This Row],[Downtime Minutes]]</f>
        <v>414</v>
      </c>
      <c r="U106" s="11">
        <f t="shared" si="17"/>
        <v>1.0289855072463767</v>
      </c>
      <c r="V106" s="18">
        <f>ProductionData[[#This Row],[Profit]]/ProductionData[[#This Row],[Good Units]]</f>
        <v>13</v>
      </c>
      <c r="W106" s="11">
        <f>ProductionData[[#This Row],[Good Units]]/ProductionData[[#This Row],[Operating Minutes]]</f>
        <v>0.96618357487922701</v>
      </c>
    </row>
    <row r="107" spans="1:23">
      <c r="A107" s="7">
        <v>46215</v>
      </c>
      <c r="B107" s="8" t="s">
        <v>19</v>
      </c>
      <c r="C107" s="8" t="s">
        <v>28</v>
      </c>
      <c r="D107" s="8" t="s">
        <v>21</v>
      </c>
      <c r="E107" s="8" t="s">
        <v>24</v>
      </c>
      <c r="F107" s="9">
        <v>390</v>
      </c>
      <c r="G107" s="9">
        <v>377</v>
      </c>
      <c r="H107" s="9">
        <v>11</v>
      </c>
      <c r="I107" s="9">
        <f t="shared" si="9"/>
        <v>366</v>
      </c>
      <c r="J107" s="9">
        <v>12</v>
      </c>
      <c r="K107" s="10">
        <f t="shared" si="10"/>
        <v>2.5000000000000001E-2</v>
      </c>
      <c r="L107" s="17">
        <v>120</v>
      </c>
      <c r="M107" s="17">
        <v>30800</v>
      </c>
      <c r="N107" s="17">
        <f t="shared" si="11"/>
        <v>43920</v>
      </c>
      <c r="O107" s="17">
        <f t="shared" si="12"/>
        <v>13120</v>
      </c>
      <c r="P107" s="10">
        <f t="shared" si="13"/>
        <v>0.96666666666666667</v>
      </c>
      <c r="Q107" s="10">
        <f t="shared" si="14"/>
        <v>2.9177718832891247E-2</v>
      </c>
      <c r="R107" s="10">
        <f t="shared" si="15"/>
        <v>0.2987249544626594</v>
      </c>
      <c r="S107" s="18">
        <f t="shared" si="16"/>
        <v>84.15300546448087</v>
      </c>
      <c r="T107" s="8">
        <f>480-ProductionData[[#This Row],[Downtime Minutes]]</f>
        <v>468</v>
      </c>
      <c r="U107" s="11">
        <f t="shared" si="17"/>
        <v>0.80555555555555558</v>
      </c>
      <c r="V107" s="18">
        <f>ProductionData[[#This Row],[Profit]]/ProductionData[[#This Row],[Good Units]]</f>
        <v>35.846994535519123</v>
      </c>
      <c r="W107" s="11">
        <f>ProductionData[[#This Row],[Good Units]]/ProductionData[[#This Row],[Operating Minutes]]</f>
        <v>0.78205128205128205</v>
      </c>
    </row>
    <row r="108" spans="1:23">
      <c r="A108" s="7">
        <v>46215</v>
      </c>
      <c r="B108" s="8" t="s">
        <v>19</v>
      </c>
      <c r="C108" s="8" t="s">
        <v>28</v>
      </c>
      <c r="D108" s="8" t="s">
        <v>23</v>
      </c>
      <c r="E108" s="8" t="s">
        <v>26</v>
      </c>
      <c r="F108" s="9">
        <v>490</v>
      </c>
      <c r="G108" s="9">
        <v>470</v>
      </c>
      <c r="H108" s="9">
        <v>12</v>
      </c>
      <c r="I108" s="9">
        <f t="shared" si="9"/>
        <v>458</v>
      </c>
      <c r="J108" s="9">
        <v>18</v>
      </c>
      <c r="K108" s="10">
        <f t="shared" si="10"/>
        <v>3.7499999999999999E-2</v>
      </c>
      <c r="L108" s="17">
        <v>90</v>
      </c>
      <c r="M108" s="17">
        <v>30800</v>
      </c>
      <c r="N108" s="17">
        <f t="shared" si="11"/>
        <v>41220</v>
      </c>
      <c r="O108" s="17">
        <f t="shared" si="12"/>
        <v>10420</v>
      </c>
      <c r="P108" s="10">
        <f t="shared" si="13"/>
        <v>0.95918367346938771</v>
      </c>
      <c r="Q108" s="10">
        <f t="shared" si="14"/>
        <v>2.553191489361702E-2</v>
      </c>
      <c r="R108" s="10">
        <f t="shared" si="15"/>
        <v>0.25278990781174188</v>
      </c>
      <c r="S108" s="18">
        <f t="shared" si="16"/>
        <v>67.248908296943227</v>
      </c>
      <c r="T108" s="8">
        <f>480-ProductionData[[#This Row],[Downtime Minutes]]</f>
        <v>462</v>
      </c>
      <c r="U108" s="11">
        <f t="shared" si="17"/>
        <v>1.0173160173160174</v>
      </c>
      <c r="V108" s="18">
        <f>ProductionData[[#This Row],[Profit]]/ProductionData[[#This Row],[Good Units]]</f>
        <v>22.751091703056769</v>
      </c>
      <c r="W108" s="11">
        <f>ProductionData[[#This Row],[Good Units]]/ProductionData[[#This Row],[Operating Minutes]]</f>
        <v>0.9913419913419913</v>
      </c>
    </row>
    <row r="109" spans="1:23">
      <c r="A109" s="7">
        <v>46215</v>
      </c>
      <c r="B109" s="8" t="s">
        <v>19</v>
      </c>
      <c r="C109" s="8" t="s">
        <v>28</v>
      </c>
      <c r="D109" s="8" t="s">
        <v>25</v>
      </c>
      <c r="E109" s="8" t="s">
        <v>22</v>
      </c>
      <c r="F109" s="9">
        <v>450</v>
      </c>
      <c r="G109" s="9">
        <v>417</v>
      </c>
      <c r="H109" s="9">
        <v>21</v>
      </c>
      <c r="I109" s="9">
        <f t="shared" si="9"/>
        <v>396</v>
      </c>
      <c r="J109" s="9">
        <v>29</v>
      </c>
      <c r="K109" s="10">
        <f t="shared" si="10"/>
        <v>6.0416666666666667E-2</v>
      </c>
      <c r="L109" s="17">
        <v>100</v>
      </c>
      <c r="M109" s="17">
        <v>30800</v>
      </c>
      <c r="N109" s="17">
        <f t="shared" si="11"/>
        <v>39600</v>
      </c>
      <c r="O109" s="17">
        <f t="shared" si="12"/>
        <v>8800</v>
      </c>
      <c r="P109" s="10">
        <f t="shared" si="13"/>
        <v>0.92666666666666664</v>
      </c>
      <c r="Q109" s="10">
        <f t="shared" si="14"/>
        <v>5.0359712230215826E-2</v>
      </c>
      <c r="R109" s="10">
        <f t="shared" si="15"/>
        <v>0.22222222222222221</v>
      </c>
      <c r="S109" s="18">
        <f t="shared" si="16"/>
        <v>77.777777777777771</v>
      </c>
      <c r="T109" s="8">
        <f>480-ProductionData[[#This Row],[Downtime Minutes]]</f>
        <v>451</v>
      </c>
      <c r="U109" s="11">
        <f t="shared" si="17"/>
        <v>0.92461197339246115</v>
      </c>
      <c r="V109" s="18">
        <f>ProductionData[[#This Row],[Profit]]/ProductionData[[#This Row],[Good Units]]</f>
        <v>22.222222222222221</v>
      </c>
      <c r="W109" s="11">
        <f>ProductionData[[#This Row],[Good Units]]/ProductionData[[#This Row],[Operating Minutes]]</f>
        <v>0.87804878048780488</v>
      </c>
    </row>
    <row r="110" spans="1:23">
      <c r="A110" s="7">
        <v>46216</v>
      </c>
      <c r="B110" s="8" t="s">
        <v>19</v>
      </c>
      <c r="C110" s="8" t="s">
        <v>20</v>
      </c>
      <c r="D110" s="8" t="s">
        <v>21</v>
      </c>
      <c r="E110" s="8" t="s">
        <v>22</v>
      </c>
      <c r="F110" s="9">
        <v>460</v>
      </c>
      <c r="G110" s="9">
        <v>437</v>
      </c>
      <c r="H110" s="9">
        <v>21</v>
      </c>
      <c r="I110" s="9">
        <f t="shared" si="9"/>
        <v>416</v>
      </c>
      <c r="J110" s="9">
        <v>45</v>
      </c>
      <c r="K110" s="10">
        <f t="shared" si="10"/>
        <v>9.375E-2</v>
      </c>
      <c r="L110" s="17">
        <v>100</v>
      </c>
      <c r="M110" s="17">
        <v>30800</v>
      </c>
      <c r="N110" s="17">
        <f t="shared" si="11"/>
        <v>41600</v>
      </c>
      <c r="O110" s="17">
        <f t="shared" si="12"/>
        <v>10800</v>
      </c>
      <c r="P110" s="10">
        <f t="shared" si="13"/>
        <v>0.95</v>
      </c>
      <c r="Q110" s="10">
        <f t="shared" si="14"/>
        <v>4.8054919908466817E-2</v>
      </c>
      <c r="R110" s="10">
        <f t="shared" si="15"/>
        <v>0.25961538461538464</v>
      </c>
      <c r="S110" s="18">
        <f t="shared" si="16"/>
        <v>74.038461538461533</v>
      </c>
      <c r="T110" s="8">
        <f>480-ProductionData[[#This Row],[Downtime Minutes]]</f>
        <v>435</v>
      </c>
      <c r="U110" s="11">
        <f t="shared" si="17"/>
        <v>1.0045977011494254</v>
      </c>
      <c r="V110" s="18">
        <f>ProductionData[[#This Row],[Profit]]/ProductionData[[#This Row],[Good Units]]</f>
        <v>25.96153846153846</v>
      </c>
      <c r="W110" s="11">
        <f>ProductionData[[#This Row],[Good Units]]/ProductionData[[#This Row],[Operating Minutes]]</f>
        <v>0.95632183908045976</v>
      </c>
    </row>
    <row r="111" spans="1:23">
      <c r="A111" s="7">
        <v>46216</v>
      </c>
      <c r="B111" s="8" t="s">
        <v>19</v>
      </c>
      <c r="C111" s="8" t="s">
        <v>20</v>
      </c>
      <c r="D111" s="8" t="s">
        <v>23</v>
      </c>
      <c r="E111" s="8" t="s">
        <v>24</v>
      </c>
      <c r="F111" s="9">
        <v>410</v>
      </c>
      <c r="G111" s="9">
        <v>395</v>
      </c>
      <c r="H111" s="9">
        <v>12</v>
      </c>
      <c r="I111" s="9">
        <f t="shared" si="9"/>
        <v>383</v>
      </c>
      <c r="J111" s="9">
        <v>25</v>
      </c>
      <c r="K111" s="10">
        <f t="shared" si="10"/>
        <v>5.2083333333333336E-2</v>
      </c>
      <c r="L111" s="17">
        <v>120</v>
      </c>
      <c r="M111" s="17">
        <v>30800</v>
      </c>
      <c r="N111" s="17">
        <f t="shared" si="11"/>
        <v>45960</v>
      </c>
      <c r="O111" s="17">
        <f t="shared" si="12"/>
        <v>15160</v>
      </c>
      <c r="P111" s="10">
        <f t="shared" si="13"/>
        <v>0.96341463414634143</v>
      </c>
      <c r="Q111" s="10">
        <f t="shared" si="14"/>
        <v>3.0379746835443037E-2</v>
      </c>
      <c r="R111" s="10">
        <f t="shared" si="15"/>
        <v>0.329852045256745</v>
      </c>
      <c r="S111" s="18">
        <f t="shared" si="16"/>
        <v>80.417754569190606</v>
      </c>
      <c r="T111" s="8">
        <f>480-ProductionData[[#This Row],[Downtime Minutes]]</f>
        <v>455</v>
      </c>
      <c r="U111" s="11">
        <f t="shared" si="17"/>
        <v>0.86813186813186816</v>
      </c>
      <c r="V111" s="18">
        <f>ProductionData[[#This Row],[Profit]]/ProductionData[[#This Row],[Good Units]]</f>
        <v>39.582245430809401</v>
      </c>
      <c r="W111" s="11">
        <f>ProductionData[[#This Row],[Good Units]]/ProductionData[[#This Row],[Operating Minutes]]</f>
        <v>0.84175824175824177</v>
      </c>
    </row>
    <row r="112" spans="1:23">
      <c r="A112" s="7">
        <v>46216</v>
      </c>
      <c r="B112" s="8" t="s">
        <v>19</v>
      </c>
      <c r="C112" s="8" t="s">
        <v>20</v>
      </c>
      <c r="D112" s="8" t="s">
        <v>25</v>
      </c>
      <c r="E112" s="8" t="s">
        <v>26</v>
      </c>
      <c r="F112" s="9">
        <v>490</v>
      </c>
      <c r="G112" s="9">
        <v>446</v>
      </c>
      <c r="H112" s="9">
        <v>23</v>
      </c>
      <c r="I112" s="9">
        <f t="shared" si="9"/>
        <v>423</v>
      </c>
      <c r="J112" s="9">
        <v>39</v>
      </c>
      <c r="K112" s="10">
        <f t="shared" si="10"/>
        <v>8.1250000000000003E-2</v>
      </c>
      <c r="L112" s="17">
        <v>90</v>
      </c>
      <c r="M112" s="17">
        <v>30800</v>
      </c>
      <c r="N112" s="17">
        <f t="shared" si="11"/>
        <v>38070</v>
      </c>
      <c r="O112" s="17">
        <f t="shared" si="12"/>
        <v>7270</v>
      </c>
      <c r="P112" s="10">
        <f t="shared" si="13"/>
        <v>0.91020408163265309</v>
      </c>
      <c r="Q112" s="10">
        <f t="shared" si="14"/>
        <v>5.1569506726457402E-2</v>
      </c>
      <c r="R112" s="10">
        <f t="shared" si="15"/>
        <v>0.19096401365904911</v>
      </c>
      <c r="S112" s="18">
        <f t="shared" si="16"/>
        <v>72.813238770685572</v>
      </c>
      <c r="T112" s="8">
        <f>480-ProductionData[[#This Row],[Downtime Minutes]]</f>
        <v>441</v>
      </c>
      <c r="U112" s="11">
        <f t="shared" si="17"/>
        <v>1.0113378684807257</v>
      </c>
      <c r="V112" s="18">
        <f>ProductionData[[#This Row],[Profit]]/ProductionData[[#This Row],[Good Units]]</f>
        <v>17.186761229314421</v>
      </c>
      <c r="W112" s="11">
        <f>ProductionData[[#This Row],[Good Units]]/ProductionData[[#This Row],[Operating Minutes]]</f>
        <v>0.95918367346938771</v>
      </c>
    </row>
    <row r="113" spans="1:23">
      <c r="A113" s="7">
        <v>46216</v>
      </c>
      <c r="B113" s="8" t="s">
        <v>19</v>
      </c>
      <c r="C113" s="8" t="s">
        <v>27</v>
      </c>
      <c r="D113" s="8" t="s">
        <v>21</v>
      </c>
      <c r="E113" s="8" t="s">
        <v>24</v>
      </c>
      <c r="F113" s="9">
        <v>410</v>
      </c>
      <c r="G113" s="9">
        <v>373</v>
      </c>
      <c r="H113" s="9">
        <v>18</v>
      </c>
      <c r="I113" s="9">
        <f t="shared" si="9"/>
        <v>355</v>
      </c>
      <c r="J113" s="9">
        <v>43</v>
      </c>
      <c r="K113" s="10">
        <f t="shared" si="10"/>
        <v>8.9583333333333334E-2</v>
      </c>
      <c r="L113" s="17">
        <v>120</v>
      </c>
      <c r="M113" s="17">
        <v>30800</v>
      </c>
      <c r="N113" s="17">
        <f t="shared" si="11"/>
        <v>42600</v>
      </c>
      <c r="O113" s="17">
        <f t="shared" si="12"/>
        <v>11800</v>
      </c>
      <c r="P113" s="10">
        <f t="shared" si="13"/>
        <v>0.90975609756097564</v>
      </c>
      <c r="Q113" s="10">
        <f t="shared" si="14"/>
        <v>4.8257372654155493E-2</v>
      </c>
      <c r="R113" s="10">
        <f t="shared" si="15"/>
        <v>0.27699530516431925</v>
      </c>
      <c r="S113" s="18">
        <f t="shared" si="16"/>
        <v>86.760563380281695</v>
      </c>
      <c r="T113" s="8">
        <f>480-ProductionData[[#This Row],[Downtime Minutes]]</f>
        <v>437</v>
      </c>
      <c r="U113" s="11">
        <f t="shared" si="17"/>
        <v>0.85354691075514877</v>
      </c>
      <c r="V113" s="18">
        <f>ProductionData[[#This Row],[Profit]]/ProductionData[[#This Row],[Good Units]]</f>
        <v>33.239436619718312</v>
      </c>
      <c r="W113" s="11">
        <f>ProductionData[[#This Row],[Good Units]]/ProductionData[[#This Row],[Operating Minutes]]</f>
        <v>0.81235697940503437</v>
      </c>
    </row>
    <row r="114" spans="1:23">
      <c r="A114" s="7">
        <v>46216</v>
      </c>
      <c r="B114" s="8" t="s">
        <v>19</v>
      </c>
      <c r="C114" s="8" t="s">
        <v>27</v>
      </c>
      <c r="D114" s="8" t="s">
        <v>23</v>
      </c>
      <c r="E114" s="8" t="s">
        <v>26</v>
      </c>
      <c r="F114" s="9">
        <v>490</v>
      </c>
      <c r="G114" s="9">
        <v>438</v>
      </c>
      <c r="H114" s="9">
        <v>21</v>
      </c>
      <c r="I114" s="9">
        <f t="shared" si="9"/>
        <v>417</v>
      </c>
      <c r="J114" s="9">
        <v>48</v>
      </c>
      <c r="K114" s="10">
        <f t="shared" si="10"/>
        <v>0.1</v>
      </c>
      <c r="L114" s="17">
        <v>90</v>
      </c>
      <c r="M114" s="17">
        <v>30800</v>
      </c>
      <c r="N114" s="17">
        <f t="shared" si="11"/>
        <v>37530</v>
      </c>
      <c r="O114" s="17">
        <f t="shared" si="12"/>
        <v>6730</v>
      </c>
      <c r="P114" s="10">
        <f t="shared" si="13"/>
        <v>0.89387755102040811</v>
      </c>
      <c r="Q114" s="10">
        <f t="shared" si="14"/>
        <v>4.7945205479452052E-2</v>
      </c>
      <c r="R114" s="10">
        <f t="shared" si="15"/>
        <v>0.17932320810018651</v>
      </c>
      <c r="S114" s="18">
        <f t="shared" si="16"/>
        <v>73.860911270983209</v>
      </c>
      <c r="T114" s="8">
        <f>480-ProductionData[[#This Row],[Downtime Minutes]]</f>
        <v>432</v>
      </c>
      <c r="U114" s="11">
        <f t="shared" si="17"/>
        <v>1.0138888888888888</v>
      </c>
      <c r="V114" s="18">
        <f>ProductionData[[#This Row],[Profit]]/ProductionData[[#This Row],[Good Units]]</f>
        <v>16.139088729016787</v>
      </c>
      <c r="W114" s="11">
        <f>ProductionData[[#This Row],[Good Units]]/ProductionData[[#This Row],[Operating Minutes]]</f>
        <v>0.96527777777777779</v>
      </c>
    </row>
    <row r="115" spans="1:23">
      <c r="A115" s="7">
        <v>46216</v>
      </c>
      <c r="B115" s="8" t="s">
        <v>19</v>
      </c>
      <c r="C115" s="8" t="s">
        <v>27</v>
      </c>
      <c r="D115" s="8" t="s">
        <v>25</v>
      </c>
      <c r="E115" s="8" t="s">
        <v>22</v>
      </c>
      <c r="F115" s="9">
        <v>460</v>
      </c>
      <c r="G115" s="9">
        <v>396</v>
      </c>
      <c r="H115" s="9">
        <v>28</v>
      </c>
      <c r="I115" s="9">
        <f t="shared" si="9"/>
        <v>368</v>
      </c>
      <c r="J115" s="9">
        <v>68</v>
      </c>
      <c r="K115" s="10">
        <f t="shared" si="10"/>
        <v>0.14166666666666666</v>
      </c>
      <c r="L115" s="17">
        <v>100</v>
      </c>
      <c r="M115" s="17">
        <v>30800</v>
      </c>
      <c r="N115" s="17">
        <f t="shared" si="11"/>
        <v>36800</v>
      </c>
      <c r="O115" s="17">
        <f t="shared" si="12"/>
        <v>6000</v>
      </c>
      <c r="P115" s="10">
        <f t="shared" si="13"/>
        <v>0.86086956521739133</v>
      </c>
      <c r="Q115" s="10">
        <f t="shared" si="14"/>
        <v>7.0707070707070704E-2</v>
      </c>
      <c r="R115" s="10">
        <f t="shared" si="15"/>
        <v>0.16304347826086957</v>
      </c>
      <c r="S115" s="18">
        <f t="shared" si="16"/>
        <v>83.695652173913047</v>
      </c>
      <c r="T115" s="8">
        <f>480-ProductionData[[#This Row],[Downtime Minutes]]</f>
        <v>412</v>
      </c>
      <c r="U115" s="11">
        <f t="shared" si="17"/>
        <v>0.96116504854368934</v>
      </c>
      <c r="V115" s="18">
        <f>ProductionData[[#This Row],[Profit]]/ProductionData[[#This Row],[Good Units]]</f>
        <v>16.304347826086957</v>
      </c>
      <c r="W115" s="11">
        <f>ProductionData[[#This Row],[Good Units]]/ProductionData[[#This Row],[Operating Minutes]]</f>
        <v>0.89320388349514568</v>
      </c>
    </row>
    <row r="116" spans="1:23">
      <c r="A116" s="7">
        <v>46216</v>
      </c>
      <c r="B116" s="8" t="s">
        <v>19</v>
      </c>
      <c r="C116" s="8" t="s">
        <v>28</v>
      </c>
      <c r="D116" s="8" t="s">
        <v>21</v>
      </c>
      <c r="E116" s="8" t="s">
        <v>26</v>
      </c>
      <c r="F116" s="9">
        <v>520</v>
      </c>
      <c r="G116" s="9">
        <v>509</v>
      </c>
      <c r="H116" s="9">
        <v>17</v>
      </c>
      <c r="I116" s="9">
        <f t="shared" si="9"/>
        <v>492</v>
      </c>
      <c r="J116" s="9">
        <v>23</v>
      </c>
      <c r="K116" s="10">
        <f t="shared" si="10"/>
        <v>4.791666666666667E-2</v>
      </c>
      <c r="L116" s="17">
        <v>90</v>
      </c>
      <c r="M116" s="17">
        <v>30800</v>
      </c>
      <c r="N116" s="17">
        <f t="shared" si="11"/>
        <v>44280</v>
      </c>
      <c r="O116" s="17">
        <f t="shared" si="12"/>
        <v>13480</v>
      </c>
      <c r="P116" s="10">
        <f t="shared" si="13"/>
        <v>0.97884615384615381</v>
      </c>
      <c r="Q116" s="10">
        <f t="shared" si="14"/>
        <v>3.3398821218074658E-2</v>
      </c>
      <c r="R116" s="10">
        <f t="shared" si="15"/>
        <v>0.30442637759710928</v>
      </c>
      <c r="S116" s="18">
        <f t="shared" si="16"/>
        <v>62.601626016260163</v>
      </c>
      <c r="T116" s="8">
        <f>480-ProductionData[[#This Row],[Downtime Minutes]]</f>
        <v>457</v>
      </c>
      <c r="U116" s="11">
        <f t="shared" si="17"/>
        <v>1.113785557986871</v>
      </c>
      <c r="V116" s="18">
        <f>ProductionData[[#This Row],[Profit]]/ProductionData[[#This Row],[Good Units]]</f>
        <v>27.398373983739837</v>
      </c>
      <c r="W116" s="11">
        <f>ProductionData[[#This Row],[Good Units]]/ProductionData[[#This Row],[Operating Minutes]]</f>
        <v>1.0765864332603938</v>
      </c>
    </row>
    <row r="117" spans="1:23">
      <c r="A117" s="7">
        <v>46216</v>
      </c>
      <c r="B117" s="8" t="s">
        <v>19</v>
      </c>
      <c r="C117" s="8" t="s">
        <v>28</v>
      </c>
      <c r="D117" s="8" t="s">
        <v>23</v>
      </c>
      <c r="E117" s="8" t="s">
        <v>22</v>
      </c>
      <c r="F117" s="9">
        <v>460</v>
      </c>
      <c r="G117" s="9">
        <v>434</v>
      </c>
      <c r="H117" s="9">
        <v>18</v>
      </c>
      <c r="I117" s="9">
        <f t="shared" si="9"/>
        <v>416</v>
      </c>
      <c r="J117" s="9">
        <v>36</v>
      </c>
      <c r="K117" s="10">
        <f t="shared" si="10"/>
        <v>7.4999999999999997E-2</v>
      </c>
      <c r="L117" s="17">
        <v>100</v>
      </c>
      <c r="M117" s="17">
        <v>30800</v>
      </c>
      <c r="N117" s="17">
        <f t="shared" si="11"/>
        <v>41600</v>
      </c>
      <c r="O117" s="17">
        <f t="shared" si="12"/>
        <v>10800</v>
      </c>
      <c r="P117" s="10">
        <f t="shared" si="13"/>
        <v>0.94347826086956521</v>
      </c>
      <c r="Q117" s="10">
        <f t="shared" si="14"/>
        <v>4.1474654377880185E-2</v>
      </c>
      <c r="R117" s="10">
        <f t="shared" si="15"/>
        <v>0.25961538461538464</v>
      </c>
      <c r="S117" s="18">
        <f t="shared" si="16"/>
        <v>74.038461538461533</v>
      </c>
      <c r="T117" s="8">
        <f>480-ProductionData[[#This Row],[Downtime Minutes]]</f>
        <v>444</v>
      </c>
      <c r="U117" s="11">
        <f t="shared" si="17"/>
        <v>0.97747747747747749</v>
      </c>
      <c r="V117" s="18">
        <f>ProductionData[[#This Row],[Profit]]/ProductionData[[#This Row],[Good Units]]</f>
        <v>25.96153846153846</v>
      </c>
      <c r="W117" s="11">
        <f>ProductionData[[#This Row],[Good Units]]/ProductionData[[#This Row],[Operating Minutes]]</f>
        <v>0.93693693693693691</v>
      </c>
    </row>
    <row r="118" spans="1:23">
      <c r="A118" s="7">
        <v>46216</v>
      </c>
      <c r="B118" s="8" t="s">
        <v>19</v>
      </c>
      <c r="C118" s="8" t="s">
        <v>28</v>
      </c>
      <c r="D118" s="8" t="s">
        <v>25</v>
      </c>
      <c r="E118" s="8" t="s">
        <v>24</v>
      </c>
      <c r="F118" s="9">
        <v>390</v>
      </c>
      <c r="G118" s="9">
        <v>363</v>
      </c>
      <c r="H118" s="9">
        <v>11</v>
      </c>
      <c r="I118" s="9">
        <f t="shared" si="9"/>
        <v>352</v>
      </c>
      <c r="J118" s="9">
        <v>33</v>
      </c>
      <c r="K118" s="10">
        <f t="shared" si="10"/>
        <v>6.8750000000000006E-2</v>
      </c>
      <c r="L118" s="17">
        <v>120</v>
      </c>
      <c r="M118" s="17">
        <v>30800</v>
      </c>
      <c r="N118" s="17">
        <f t="shared" si="11"/>
        <v>42240</v>
      </c>
      <c r="O118" s="17">
        <f t="shared" si="12"/>
        <v>11440</v>
      </c>
      <c r="P118" s="10">
        <f t="shared" si="13"/>
        <v>0.93076923076923079</v>
      </c>
      <c r="Q118" s="10">
        <f t="shared" si="14"/>
        <v>3.0303030303030304E-2</v>
      </c>
      <c r="R118" s="10">
        <f t="shared" si="15"/>
        <v>0.27083333333333331</v>
      </c>
      <c r="S118" s="18">
        <f t="shared" si="16"/>
        <v>87.5</v>
      </c>
      <c r="T118" s="8">
        <f>480-ProductionData[[#This Row],[Downtime Minutes]]</f>
        <v>447</v>
      </c>
      <c r="U118" s="11">
        <f t="shared" si="17"/>
        <v>0.81208053691275173</v>
      </c>
      <c r="V118" s="18">
        <f>ProductionData[[#This Row],[Profit]]/ProductionData[[#This Row],[Good Units]]</f>
        <v>32.5</v>
      </c>
      <c r="W118" s="11">
        <f>ProductionData[[#This Row],[Good Units]]/ProductionData[[#This Row],[Operating Minutes]]</f>
        <v>0.78747203579418346</v>
      </c>
    </row>
    <row r="119" spans="1:23">
      <c r="A119" s="7">
        <v>46217</v>
      </c>
      <c r="B119" s="8" t="s">
        <v>19</v>
      </c>
      <c r="C119" s="8" t="s">
        <v>20</v>
      </c>
      <c r="D119" s="8" t="s">
        <v>21</v>
      </c>
      <c r="E119" s="8" t="s">
        <v>24</v>
      </c>
      <c r="F119" s="9">
        <v>410</v>
      </c>
      <c r="G119" s="9">
        <v>390</v>
      </c>
      <c r="H119" s="9">
        <v>12</v>
      </c>
      <c r="I119" s="9">
        <f t="shared" si="9"/>
        <v>378</v>
      </c>
      <c r="J119" s="9">
        <v>31</v>
      </c>
      <c r="K119" s="10">
        <f t="shared" si="10"/>
        <v>6.458333333333334E-2</v>
      </c>
      <c r="L119" s="17">
        <v>120</v>
      </c>
      <c r="M119" s="17">
        <v>30800</v>
      </c>
      <c r="N119" s="17">
        <f t="shared" si="11"/>
        <v>45360</v>
      </c>
      <c r="O119" s="17">
        <f t="shared" si="12"/>
        <v>14560</v>
      </c>
      <c r="P119" s="10">
        <f t="shared" si="13"/>
        <v>0.95121951219512191</v>
      </c>
      <c r="Q119" s="10">
        <f t="shared" si="14"/>
        <v>3.0769230769230771E-2</v>
      </c>
      <c r="R119" s="10">
        <f t="shared" si="15"/>
        <v>0.32098765432098764</v>
      </c>
      <c r="S119" s="18">
        <f t="shared" si="16"/>
        <v>81.481481481481481</v>
      </c>
      <c r="T119" s="8">
        <f>480-ProductionData[[#This Row],[Downtime Minutes]]</f>
        <v>449</v>
      </c>
      <c r="U119" s="11">
        <f t="shared" si="17"/>
        <v>0.86859688195991092</v>
      </c>
      <c r="V119" s="18">
        <f>ProductionData[[#This Row],[Profit]]/ProductionData[[#This Row],[Good Units]]</f>
        <v>38.518518518518519</v>
      </c>
      <c r="W119" s="11">
        <f>ProductionData[[#This Row],[Good Units]]/ProductionData[[#This Row],[Operating Minutes]]</f>
        <v>0.84187082405345215</v>
      </c>
    </row>
    <row r="120" spans="1:23">
      <c r="A120" s="7">
        <v>46217</v>
      </c>
      <c r="B120" s="8" t="s">
        <v>19</v>
      </c>
      <c r="C120" s="8" t="s">
        <v>20</v>
      </c>
      <c r="D120" s="8" t="s">
        <v>23</v>
      </c>
      <c r="E120" s="8" t="s">
        <v>26</v>
      </c>
      <c r="F120" s="9">
        <v>510</v>
      </c>
      <c r="G120" s="9">
        <v>483</v>
      </c>
      <c r="H120" s="9">
        <v>20</v>
      </c>
      <c r="I120" s="9">
        <f t="shared" si="9"/>
        <v>463</v>
      </c>
      <c r="J120" s="9">
        <v>21</v>
      </c>
      <c r="K120" s="10">
        <f t="shared" si="10"/>
        <v>4.3749999999999997E-2</v>
      </c>
      <c r="L120" s="17">
        <v>90</v>
      </c>
      <c r="M120" s="17">
        <v>30800</v>
      </c>
      <c r="N120" s="17">
        <f t="shared" si="11"/>
        <v>41670</v>
      </c>
      <c r="O120" s="17">
        <f t="shared" si="12"/>
        <v>10870</v>
      </c>
      <c r="P120" s="10">
        <f t="shared" si="13"/>
        <v>0.94705882352941173</v>
      </c>
      <c r="Q120" s="10">
        <f t="shared" si="14"/>
        <v>4.1407867494824016E-2</v>
      </c>
      <c r="R120" s="10">
        <f t="shared" si="15"/>
        <v>0.26085913126949845</v>
      </c>
      <c r="S120" s="18">
        <f t="shared" si="16"/>
        <v>66.522678185745136</v>
      </c>
      <c r="T120" s="8">
        <f>480-ProductionData[[#This Row],[Downtime Minutes]]</f>
        <v>459</v>
      </c>
      <c r="U120" s="11">
        <f t="shared" si="17"/>
        <v>1.0522875816993464</v>
      </c>
      <c r="V120" s="18">
        <f>ProductionData[[#This Row],[Profit]]/ProductionData[[#This Row],[Good Units]]</f>
        <v>23.477321814254861</v>
      </c>
      <c r="W120" s="11">
        <f>ProductionData[[#This Row],[Good Units]]/ProductionData[[#This Row],[Operating Minutes]]</f>
        <v>1.008714596949891</v>
      </c>
    </row>
    <row r="121" spans="1:23">
      <c r="A121" s="7">
        <v>46217</v>
      </c>
      <c r="B121" s="8" t="s">
        <v>19</v>
      </c>
      <c r="C121" s="8" t="s">
        <v>20</v>
      </c>
      <c r="D121" s="8" t="s">
        <v>25</v>
      </c>
      <c r="E121" s="8" t="s">
        <v>22</v>
      </c>
      <c r="F121" s="9">
        <v>440</v>
      </c>
      <c r="G121" s="9">
        <v>393</v>
      </c>
      <c r="H121" s="9">
        <v>25</v>
      </c>
      <c r="I121" s="9">
        <f t="shared" si="9"/>
        <v>368</v>
      </c>
      <c r="J121" s="9">
        <v>37</v>
      </c>
      <c r="K121" s="10">
        <f t="shared" si="10"/>
        <v>7.7083333333333337E-2</v>
      </c>
      <c r="L121" s="17">
        <v>100</v>
      </c>
      <c r="M121" s="17">
        <v>30800</v>
      </c>
      <c r="N121" s="17">
        <f t="shared" si="11"/>
        <v>36800</v>
      </c>
      <c r="O121" s="17">
        <f t="shared" si="12"/>
        <v>6000</v>
      </c>
      <c r="P121" s="10">
        <f t="shared" si="13"/>
        <v>0.89318181818181819</v>
      </c>
      <c r="Q121" s="10">
        <f t="shared" si="14"/>
        <v>6.3613231552162849E-2</v>
      </c>
      <c r="R121" s="10">
        <f t="shared" si="15"/>
        <v>0.16304347826086957</v>
      </c>
      <c r="S121" s="18">
        <f t="shared" si="16"/>
        <v>83.695652173913047</v>
      </c>
      <c r="T121" s="8">
        <f>480-ProductionData[[#This Row],[Downtime Minutes]]</f>
        <v>443</v>
      </c>
      <c r="U121" s="11">
        <f t="shared" si="17"/>
        <v>0.88713318284424381</v>
      </c>
      <c r="V121" s="18">
        <f>ProductionData[[#This Row],[Profit]]/ProductionData[[#This Row],[Good Units]]</f>
        <v>16.304347826086957</v>
      </c>
      <c r="W121" s="11">
        <f>ProductionData[[#This Row],[Good Units]]/ProductionData[[#This Row],[Operating Minutes]]</f>
        <v>0.83069977426636565</v>
      </c>
    </row>
    <row r="122" spans="1:23">
      <c r="A122" s="7">
        <v>46217</v>
      </c>
      <c r="B122" s="8" t="s">
        <v>19</v>
      </c>
      <c r="C122" s="8" t="s">
        <v>27</v>
      </c>
      <c r="D122" s="8" t="s">
        <v>21</v>
      </c>
      <c r="E122" s="8" t="s">
        <v>26</v>
      </c>
      <c r="F122" s="9">
        <v>520</v>
      </c>
      <c r="G122" s="9">
        <v>463</v>
      </c>
      <c r="H122" s="9">
        <v>20</v>
      </c>
      <c r="I122" s="9">
        <f t="shared" si="9"/>
        <v>443</v>
      </c>
      <c r="J122" s="9">
        <v>35</v>
      </c>
      <c r="K122" s="10">
        <f t="shared" si="10"/>
        <v>7.2916666666666671E-2</v>
      </c>
      <c r="L122" s="17">
        <v>90</v>
      </c>
      <c r="M122" s="17">
        <v>30800</v>
      </c>
      <c r="N122" s="17">
        <f t="shared" si="11"/>
        <v>39870</v>
      </c>
      <c r="O122" s="17">
        <f t="shared" si="12"/>
        <v>9070</v>
      </c>
      <c r="P122" s="10">
        <f t="shared" si="13"/>
        <v>0.89038461538461533</v>
      </c>
      <c r="Q122" s="10">
        <f t="shared" si="14"/>
        <v>4.3196544276457881E-2</v>
      </c>
      <c r="R122" s="10">
        <f t="shared" si="15"/>
        <v>0.2274893403561575</v>
      </c>
      <c r="S122" s="18">
        <f t="shared" si="16"/>
        <v>69.525959367945831</v>
      </c>
      <c r="T122" s="8">
        <f>480-ProductionData[[#This Row],[Downtime Minutes]]</f>
        <v>445</v>
      </c>
      <c r="U122" s="11">
        <f t="shared" si="17"/>
        <v>1.0404494382022471</v>
      </c>
      <c r="V122" s="18">
        <f>ProductionData[[#This Row],[Profit]]/ProductionData[[#This Row],[Good Units]]</f>
        <v>20.474040632054177</v>
      </c>
      <c r="W122" s="11">
        <f>ProductionData[[#This Row],[Good Units]]/ProductionData[[#This Row],[Operating Minutes]]</f>
        <v>0.99550561797752812</v>
      </c>
    </row>
    <row r="123" spans="1:23">
      <c r="A123" s="7">
        <v>46217</v>
      </c>
      <c r="B123" s="8" t="s">
        <v>19</v>
      </c>
      <c r="C123" s="8" t="s">
        <v>27</v>
      </c>
      <c r="D123" s="8" t="s">
        <v>23</v>
      </c>
      <c r="E123" s="8" t="s">
        <v>22</v>
      </c>
      <c r="F123" s="9">
        <v>440</v>
      </c>
      <c r="G123" s="9">
        <v>400</v>
      </c>
      <c r="H123" s="9">
        <v>27</v>
      </c>
      <c r="I123" s="9">
        <f t="shared" si="9"/>
        <v>373</v>
      </c>
      <c r="J123" s="9">
        <v>54</v>
      </c>
      <c r="K123" s="10">
        <f t="shared" si="10"/>
        <v>0.1125</v>
      </c>
      <c r="L123" s="17">
        <v>100</v>
      </c>
      <c r="M123" s="17">
        <v>30800</v>
      </c>
      <c r="N123" s="17">
        <f t="shared" si="11"/>
        <v>37300</v>
      </c>
      <c r="O123" s="17">
        <f t="shared" si="12"/>
        <v>6500</v>
      </c>
      <c r="P123" s="10">
        <f t="shared" si="13"/>
        <v>0.90909090909090906</v>
      </c>
      <c r="Q123" s="10">
        <f t="shared" si="14"/>
        <v>6.7500000000000004E-2</v>
      </c>
      <c r="R123" s="10">
        <f t="shared" si="15"/>
        <v>0.17426273458445041</v>
      </c>
      <c r="S123" s="18">
        <f t="shared" si="16"/>
        <v>82.573726541554961</v>
      </c>
      <c r="T123" s="8">
        <f>480-ProductionData[[#This Row],[Downtime Minutes]]</f>
        <v>426</v>
      </c>
      <c r="U123" s="11">
        <f t="shared" si="17"/>
        <v>0.93896713615023475</v>
      </c>
      <c r="V123" s="18">
        <f>ProductionData[[#This Row],[Profit]]/ProductionData[[#This Row],[Good Units]]</f>
        <v>17.426273458445039</v>
      </c>
      <c r="W123" s="11">
        <f>ProductionData[[#This Row],[Good Units]]/ProductionData[[#This Row],[Operating Minutes]]</f>
        <v>0.87558685446009388</v>
      </c>
    </row>
    <row r="124" spans="1:23">
      <c r="A124" s="7">
        <v>46217</v>
      </c>
      <c r="B124" s="8" t="s">
        <v>19</v>
      </c>
      <c r="C124" s="8" t="s">
        <v>27</v>
      </c>
      <c r="D124" s="8" t="s">
        <v>25</v>
      </c>
      <c r="E124" s="8" t="s">
        <v>24</v>
      </c>
      <c r="F124" s="9">
        <v>410</v>
      </c>
      <c r="G124" s="9">
        <v>363</v>
      </c>
      <c r="H124" s="9">
        <v>19</v>
      </c>
      <c r="I124" s="9">
        <f t="shared" si="9"/>
        <v>344</v>
      </c>
      <c r="J124" s="9">
        <v>68</v>
      </c>
      <c r="K124" s="10">
        <f t="shared" si="10"/>
        <v>0.14166666666666666</v>
      </c>
      <c r="L124" s="17">
        <v>120</v>
      </c>
      <c r="M124" s="17">
        <v>30800</v>
      </c>
      <c r="N124" s="17">
        <f t="shared" si="11"/>
        <v>41280</v>
      </c>
      <c r="O124" s="17">
        <f t="shared" si="12"/>
        <v>10480</v>
      </c>
      <c r="P124" s="10">
        <f t="shared" si="13"/>
        <v>0.88536585365853659</v>
      </c>
      <c r="Q124" s="10">
        <f t="shared" si="14"/>
        <v>5.2341597796143252E-2</v>
      </c>
      <c r="R124" s="10">
        <f t="shared" si="15"/>
        <v>0.25387596899224807</v>
      </c>
      <c r="S124" s="18">
        <f t="shared" si="16"/>
        <v>89.534883720930239</v>
      </c>
      <c r="T124" s="8">
        <f>480-ProductionData[[#This Row],[Downtime Minutes]]</f>
        <v>412</v>
      </c>
      <c r="U124" s="11">
        <f t="shared" si="17"/>
        <v>0.8810679611650486</v>
      </c>
      <c r="V124" s="18">
        <f>ProductionData[[#This Row],[Profit]]/ProductionData[[#This Row],[Good Units]]</f>
        <v>30.465116279069768</v>
      </c>
      <c r="W124" s="11">
        <f>ProductionData[[#This Row],[Good Units]]/ProductionData[[#This Row],[Operating Minutes]]</f>
        <v>0.83495145631067957</v>
      </c>
    </row>
    <row r="125" spans="1:23">
      <c r="A125" s="7">
        <v>46217</v>
      </c>
      <c r="B125" s="8" t="s">
        <v>19</v>
      </c>
      <c r="C125" s="8" t="s">
        <v>28</v>
      </c>
      <c r="D125" s="8" t="s">
        <v>21</v>
      </c>
      <c r="E125" s="8" t="s">
        <v>22</v>
      </c>
      <c r="F125" s="9">
        <v>460</v>
      </c>
      <c r="G125" s="9">
        <v>441</v>
      </c>
      <c r="H125" s="9">
        <v>15</v>
      </c>
      <c r="I125" s="9">
        <f t="shared" si="9"/>
        <v>426</v>
      </c>
      <c r="J125" s="9">
        <v>33</v>
      </c>
      <c r="K125" s="10">
        <f t="shared" si="10"/>
        <v>6.8750000000000006E-2</v>
      </c>
      <c r="L125" s="17">
        <v>100</v>
      </c>
      <c r="M125" s="17">
        <v>30800</v>
      </c>
      <c r="N125" s="17">
        <f t="shared" si="11"/>
        <v>42600</v>
      </c>
      <c r="O125" s="17">
        <f t="shared" si="12"/>
        <v>11800</v>
      </c>
      <c r="P125" s="10">
        <f t="shared" si="13"/>
        <v>0.95869565217391306</v>
      </c>
      <c r="Q125" s="10">
        <f t="shared" si="14"/>
        <v>3.4013605442176874E-2</v>
      </c>
      <c r="R125" s="10">
        <f t="shared" si="15"/>
        <v>0.27699530516431925</v>
      </c>
      <c r="S125" s="18">
        <f t="shared" si="16"/>
        <v>72.300469483568079</v>
      </c>
      <c r="T125" s="8">
        <f>480-ProductionData[[#This Row],[Downtime Minutes]]</f>
        <v>447</v>
      </c>
      <c r="U125" s="11">
        <f t="shared" si="17"/>
        <v>0.98657718120805371</v>
      </c>
      <c r="V125" s="18">
        <f>ProductionData[[#This Row],[Profit]]/ProductionData[[#This Row],[Good Units]]</f>
        <v>27.699530516431924</v>
      </c>
      <c r="W125" s="11">
        <f>ProductionData[[#This Row],[Good Units]]/ProductionData[[#This Row],[Operating Minutes]]</f>
        <v>0.95302013422818788</v>
      </c>
    </row>
    <row r="126" spans="1:23">
      <c r="A126" s="7">
        <v>46217</v>
      </c>
      <c r="B126" s="8" t="s">
        <v>19</v>
      </c>
      <c r="C126" s="8" t="s">
        <v>28</v>
      </c>
      <c r="D126" s="8" t="s">
        <v>23</v>
      </c>
      <c r="E126" s="8" t="s">
        <v>24</v>
      </c>
      <c r="F126" s="9">
        <v>410</v>
      </c>
      <c r="G126" s="9">
        <v>399</v>
      </c>
      <c r="H126" s="9">
        <v>13</v>
      </c>
      <c r="I126" s="9">
        <f t="shared" si="9"/>
        <v>386</v>
      </c>
      <c r="J126" s="9">
        <v>29</v>
      </c>
      <c r="K126" s="10">
        <f t="shared" si="10"/>
        <v>6.0416666666666667E-2</v>
      </c>
      <c r="L126" s="17">
        <v>120</v>
      </c>
      <c r="M126" s="17">
        <v>30800</v>
      </c>
      <c r="N126" s="17">
        <f t="shared" si="11"/>
        <v>46320</v>
      </c>
      <c r="O126" s="17">
        <f t="shared" si="12"/>
        <v>15520</v>
      </c>
      <c r="P126" s="10">
        <f t="shared" si="13"/>
        <v>0.97317073170731705</v>
      </c>
      <c r="Q126" s="10">
        <f t="shared" si="14"/>
        <v>3.2581453634085211E-2</v>
      </c>
      <c r="R126" s="10">
        <f t="shared" si="15"/>
        <v>0.33506044905008636</v>
      </c>
      <c r="S126" s="18">
        <f t="shared" si="16"/>
        <v>79.792746113989637</v>
      </c>
      <c r="T126" s="8">
        <f>480-ProductionData[[#This Row],[Downtime Minutes]]</f>
        <v>451</v>
      </c>
      <c r="U126" s="11">
        <f t="shared" si="17"/>
        <v>0.88470066518847001</v>
      </c>
      <c r="V126" s="18">
        <f>ProductionData[[#This Row],[Profit]]/ProductionData[[#This Row],[Good Units]]</f>
        <v>40.207253886010363</v>
      </c>
      <c r="W126" s="11">
        <f>ProductionData[[#This Row],[Good Units]]/ProductionData[[#This Row],[Operating Minutes]]</f>
        <v>0.85587583148558755</v>
      </c>
    </row>
    <row r="127" spans="1:23">
      <c r="A127" s="7">
        <v>46217</v>
      </c>
      <c r="B127" s="8" t="s">
        <v>19</v>
      </c>
      <c r="C127" s="8" t="s">
        <v>28</v>
      </c>
      <c r="D127" s="8" t="s">
        <v>25</v>
      </c>
      <c r="E127" s="8" t="s">
        <v>26</v>
      </c>
      <c r="F127" s="9">
        <v>520</v>
      </c>
      <c r="G127" s="9">
        <v>478</v>
      </c>
      <c r="H127" s="9">
        <v>19</v>
      </c>
      <c r="I127" s="9">
        <f t="shared" si="9"/>
        <v>459</v>
      </c>
      <c r="J127" s="9">
        <v>38</v>
      </c>
      <c r="K127" s="10">
        <f t="shared" si="10"/>
        <v>7.9166666666666663E-2</v>
      </c>
      <c r="L127" s="17">
        <v>90</v>
      </c>
      <c r="M127" s="17">
        <v>30800</v>
      </c>
      <c r="N127" s="17">
        <f t="shared" si="11"/>
        <v>41310</v>
      </c>
      <c r="O127" s="17">
        <f t="shared" si="12"/>
        <v>10510</v>
      </c>
      <c r="P127" s="10">
        <f t="shared" si="13"/>
        <v>0.91923076923076918</v>
      </c>
      <c r="Q127" s="10">
        <f t="shared" si="14"/>
        <v>3.9748953974895397E-2</v>
      </c>
      <c r="R127" s="10">
        <f t="shared" si="15"/>
        <v>0.25441781650931977</v>
      </c>
      <c r="S127" s="18">
        <f t="shared" si="16"/>
        <v>67.102396514161214</v>
      </c>
      <c r="T127" s="8">
        <f>480-ProductionData[[#This Row],[Downtime Minutes]]</f>
        <v>442</v>
      </c>
      <c r="U127" s="11">
        <f t="shared" si="17"/>
        <v>1.0814479638009049</v>
      </c>
      <c r="V127" s="18">
        <f>ProductionData[[#This Row],[Profit]]/ProductionData[[#This Row],[Good Units]]</f>
        <v>22.897603485838779</v>
      </c>
      <c r="W127" s="11">
        <f>ProductionData[[#This Row],[Good Units]]/ProductionData[[#This Row],[Operating Minutes]]</f>
        <v>1.0384615384615385</v>
      </c>
    </row>
    <row r="128" spans="1:23">
      <c r="A128" s="7">
        <v>46218</v>
      </c>
      <c r="B128" s="8" t="s">
        <v>19</v>
      </c>
      <c r="C128" s="8" t="s">
        <v>20</v>
      </c>
      <c r="D128" s="8" t="s">
        <v>21</v>
      </c>
      <c r="E128" s="8" t="s">
        <v>26</v>
      </c>
      <c r="F128" s="9">
        <v>480</v>
      </c>
      <c r="G128" s="9">
        <v>468</v>
      </c>
      <c r="H128" s="9">
        <v>18</v>
      </c>
      <c r="I128" s="9">
        <f t="shared" si="9"/>
        <v>450</v>
      </c>
      <c r="J128" s="9">
        <v>32</v>
      </c>
      <c r="K128" s="10">
        <f t="shared" si="10"/>
        <v>6.6666666666666666E-2</v>
      </c>
      <c r="L128" s="17">
        <v>90</v>
      </c>
      <c r="M128" s="17">
        <v>30800</v>
      </c>
      <c r="N128" s="17">
        <f t="shared" si="11"/>
        <v>40500</v>
      </c>
      <c r="O128" s="17">
        <f t="shared" si="12"/>
        <v>9700</v>
      </c>
      <c r="P128" s="10">
        <f t="shared" si="13"/>
        <v>0.97499999999999998</v>
      </c>
      <c r="Q128" s="10">
        <f t="shared" si="14"/>
        <v>3.8461538461538464E-2</v>
      </c>
      <c r="R128" s="10">
        <f t="shared" si="15"/>
        <v>0.23950617283950618</v>
      </c>
      <c r="S128" s="18">
        <f t="shared" si="16"/>
        <v>68.444444444444443</v>
      </c>
      <c r="T128" s="8">
        <f>480-ProductionData[[#This Row],[Downtime Minutes]]</f>
        <v>448</v>
      </c>
      <c r="U128" s="11">
        <f t="shared" si="17"/>
        <v>1.0446428571428572</v>
      </c>
      <c r="V128" s="18">
        <f>ProductionData[[#This Row],[Profit]]/ProductionData[[#This Row],[Good Units]]</f>
        <v>21.555555555555557</v>
      </c>
      <c r="W128" s="11">
        <f>ProductionData[[#This Row],[Good Units]]/ProductionData[[#This Row],[Operating Minutes]]</f>
        <v>1.0044642857142858</v>
      </c>
    </row>
    <row r="129" spans="1:23">
      <c r="A129" s="7">
        <v>46218</v>
      </c>
      <c r="B129" s="8" t="s">
        <v>19</v>
      </c>
      <c r="C129" s="8" t="s">
        <v>20</v>
      </c>
      <c r="D129" s="8" t="s">
        <v>23</v>
      </c>
      <c r="E129" s="8" t="s">
        <v>22</v>
      </c>
      <c r="F129" s="9">
        <v>460</v>
      </c>
      <c r="G129" s="9">
        <v>438</v>
      </c>
      <c r="H129" s="9">
        <v>18</v>
      </c>
      <c r="I129" s="9">
        <f t="shared" si="9"/>
        <v>420</v>
      </c>
      <c r="J129" s="9">
        <v>47</v>
      </c>
      <c r="K129" s="10">
        <f t="shared" si="10"/>
        <v>9.7916666666666666E-2</v>
      </c>
      <c r="L129" s="17">
        <v>100</v>
      </c>
      <c r="M129" s="17">
        <v>30800</v>
      </c>
      <c r="N129" s="17">
        <f t="shared" si="11"/>
        <v>42000</v>
      </c>
      <c r="O129" s="17">
        <f t="shared" si="12"/>
        <v>11200</v>
      </c>
      <c r="P129" s="10">
        <f t="shared" si="13"/>
        <v>0.95217391304347831</v>
      </c>
      <c r="Q129" s="10">
        <f t="shared" si="14"/>
        <v>4.1095890410958902E-2</v>
      </c>
      <c r="R129" s="10">
        <f t="shared" si="15"/>
        <v>0.26666666666666666</v>
      </c>
      <c r="S129" s="18">
        <f t="shared" si="16"/>
        <v>73.333333333333329</v>
      </c>
      <c r="T129" s="8">
        <f>480-ProductionData[[#This Row],[Downtime Minutes]]</f>
        <v>433</v>
      </c>
      <c r="U129" s="11">
        <f t="shared" si="17"/>
        <v>1.0115473441108545</v>
      </c>
      <c r="V129" s="18">
        <f>ProductionData[[#This Row],[Profit]]/ProductionData[[#This Row],[Good Units]]</f>
        <v>26.666666666666668</v>
      </c>
      <c r="W129" s="11">
        <f>ProductionData[[#This Row],[Good Units]]/ProductionData[[#This Row],[Operating Minutes]]</f>
        <v>0.96997690531177827</v>
      </c>
    </row>
    <row r="130" spans="1:23">
      <c r="A130" s="7">
        <v>46218</v>
      </c>
      <c r="B130" s="8" t="s">
        <v>19</v>
      </c>
      <c r="C130" s="8" t="s">
        <v>20</v>
      </c>
      <c r="D130" s="8" t="s">
        <v>25</v>
      </c>
      <c r="E130" s="8" t="s">
        <v>24</v>
      </c>
      <c r="F130" s="9">
        <v>410</v>
      </c>
      <c r="G130" s="9">
        <v>366</v>
      </c>
      <c r="H130" s="9">
        <v>16</v>
      </c>
      <c r="I130" s="9">
        <f t="shared" ref="I130:I193" si="18">G130-H130</f>
        <v>350</v>
      </c>
      <c r="J130" s="9">
        <v>31</v>
      </c>
      <c r="K130" s="10">
        <f t="shared" ref="K130:K193" si="19">J130/480</f>
        <v>6.458333333333334E-2</v>
      </c>
      <c r="L130" s="17">
        <v>120</v>
      </c>
      <c r="M130" s="17">
        <v>30800</v>
      </c>
      <c r="N130" s="17">
        <f t="shared" ref="N130:N193" si="20">I130*L130</f>
        <v>42000</v>
      </c>
      <c r="O130" s="17">
        <f t="shared" ref="O130:O193" si="21">N130-M130</f>
        <v>11200</v>
      </c>
      <c r="P130" s="10">
        <f t="shared" ref="P130:P193" si="22">G130/F130</f>
        <v>0.89268292682926831</v>
      </c>
      <c r="Q130" s="10">
        <f t="shared" ref="Q130:Q193" si="23">H130/G130</f>
        <v>4.3715846994535519E-2</v>
      </c>
      <c r="R130" s="10">
        <f t="shared" ref="R130:R193" si="24">O130/N130</f>
        <v>0.26666666666666666</v>
      </c>
      <c r="S130" s="18">
        <f t="shared" ref="S130:S193" si="25">M130/I130</f>
        <v>88</v>
      </c>
      <c r="T130" s="8">
        <f>480-ProductionData[[#This Row],[Downtime Minutes]]</f>
        <v>449</v>
      </c>
      <c r="U130" s="11">
        <f t="shared" ref="U130:U193" si="26">G130/T130</f>
        <v>0.81514476614699327</v>
      </c>
      <c r="V130" s="18">
        <f>ProductionData[[#This Row],[Profit]]/ProductionData[[#This Row],[Good Units]]</f>
        <v>32</v>
      </c>
      <c r="W130" s="11">
        <f>ProductionData[[#This Row],[Good Units]]/ProductionData[[#This Row],[Operating Minutes]]</f>
        <v>0.77951002227171495</v>
      </c>
    </row>
    <row r="131" spans="1:23">
      <c r="A131" s="7">
        <v>46218</v>
      </c>
      <c r="B131" s="8" t="s">
        <v>19</v>
      </c>
      <c r="C131" s="8" t="s">
        <v>27</v>
      </c>
      <c r="D131" s="8" t="s">
        <v>21</v>
      </c>
      <c r="E131" s="8" t="s">
        <v>22</v>
      </c>
      <c r="F131" s="9">
        <v>460</v>
      </c>
      <c r="G131" s="9">
        <v>407</v>
      </c>
      <c r="H131" s="9">
        <v>28</v>
      </c>
      <c r="I131" s="9">
        <f t="shared" si="18"/>
        <v>379</v>
      </c>
      <c r="J131" s="9">
        <v>61</v>
      </c>
      <c r="K131" s="10">
        <f t="shared" si="19"/>
        <v>0.12708333333333333</v>
      </c>
      <c r="L131" s="17">
        <v>100</v>
      </c>
      <c r="M131" s="17">
        <v>30800</v>
      </c>
      <c r="N131" s="17">
        <f t="shared" si="20"/>
        <v>37900</v>
      </c>
      <c r="O131" s="17">
        <f t="shared" si="21"/>
        <v>7100</v>
      </c>
      <c r="P131" s="10">
        <f t="shared" si="22"/>
        <v>0.88478260869565217</v>
      </c>
      <c r="Q131" s="10">
        <f t="shared" si="23"/>
        <v>6.8796068796068796E-2</v>
      </c>
      <c r="R131" s="10">
        <f t="shared" si="24"/>
        <v>0.18733509234828497</v>
      </c>
      <c r="S131" s="18">
        <f t="shared" si="25"/>
        <v>81.266490765171497</v>
      </c>
      <c r="T131" s="8">
        <f>480-ProductionData[[#This Row],[Downtime Minutes]]</f>
        <v>419</v>
      </c>
      <c r="U131" s="11">
        <f t="shared" si="26"/>
        <v>0.97136038186157514</v>
      </c>
      <c r="V131" s="18">
        <f>ProductionData[[#This Row],[Profit]]/ProductionData[[#This Row],[Good Units]]</f>
        <v>18.733509234828496</v>
      </c>
      <c r="W131" s="11">
        <f>ProductionData[[#This Row],[Good Units]]/ProductionData[[#This Row],[Operating Minutes]]</f>
        <v>0.90453460620525061</v>
      </c>
    </row>
    <row r="132" spans="1:23">
      <c r="A132" s="7">
        <v>46218</v>
      </c>
      <c r="B132" s="8" t="s">
        <v>19</v>
      </c>
      <c r="C132" s="8" t="s">
        <v>27</v>
      </c>
      <c r="D132" s="8" t="s">
        <v>23</v>
      </c>
      <c r="E132" s="8" t="s">
        <v>24</v>
      </c>
      <c r="F132" s="9">
        <v>410</v>
      </c>
      <c r="G132" s="9">
        <v>367</v>
      </c>
      <c r="H132" s="9">
        <v>20</v>
      </c>
      <c r="I132" s="9">
        <f t="shared" si="18"/>
        <v>347</v>
      </c>
      <c r="J132" s="9">
        <v>63</v>
      </c>
      <c r="K132" s="10">
        <f t="shared" si="19"/>
        <v>0.13125000000000001</v>
      </c>
      <c r="L132" s="17">
        <v>120</v>
      </c>
      <c r="M132" s="17">
        <v>30800</v>
      </c>
      <c r="N132" s="17">
        <f t="shared" si="20"/>
        <v>41640</v>
      </c>
      <c r="O132" s="17">
        <f t="shared" si="21"/>
        <v>10840</v>
      </c>
      <c r="P132" s="10">
        <f t="shared" si="22"/>
        <v>0.89512195121951221</v>
      </c>
      <c r="Q132" s="10">
        <f t="shared" si="23"/>
        <v>5.4495912806539509E-2</v>
      </c>
      <c r="R132" s="10">
        <f t="shared" si="24"/>
        <v>0.26032660902977905</v>
      </c>
      <c r="S132" s="18">
        <f t="shared" si="25"/>
        <v>88.760806916426517</v>
      </c>
      <c r="T132" s="8">
        <f>480-ProductionData[[#This Row],[Downtime Minutes]]</f>
        <v>417</v>
      </c>
      <c r="U132" s="11">
        <f t="shared" si="26"/>
        <v>0.88009592326139086</v>
      </c>
      <c r="V132" s="18">
        <f>ProductionData[[#This Row],[Profit]]/ProductionData[[#This Row],[Good Units]]</f>
        <v>31.239193083573486</v>
      </c>
      <c r="W132" s="11">
        <f>ProductionData[[#This Row],[Good Units]]/ProductionData[[#This Row],[Operating Minutes]]</f>
        <v>0.83213429256594729</v>
      </c>
    </row>
    <row r="133" spans="1:23">
      <c r="A133" s="7">
        <v>46218</v>
      </c>
      <c r="B133" s="8" t="s">
        <v>19</v>
      </c>
      <c r="C133" s="8" t="s">
        <v>27</v>
      </c>
      <c r="D133" s="8" t="s">
        <v>25</v>
      </c>
      <c r="E133" s="8" t="s">
        <v>26</v>
      </c>
      <c r="F133" s="9">
        <v>500</v>
      </c>
      <c r="G133" s="9">
        <v>447</v>
      </c>
      <c r="H133" s="9">
        <v>30</v>
      </c>
      <c r="I133" s="9">
        <f t="shared" si="18"/>
        <v>417</v>
      </c>
      <c r="J133" s="9">
        <v>58</v>
      </c>
      <c r="K133" s="10">
        <f t="shared" si="19"/>
        <v>0.12083333333333333</v>
      </c>
      <c r="L133" s="17">
        <v>90</v>
      </c>
      <c r="M133" s="17">
        <v>30800</v>
      </c>
      <c r="N133" s="17">
        <f t="shared" si="20"/>
        <v>37530</v>
      </c>
      <c r="O133" s="17">
        <f t="shared" si="21"/>
        <v>6730</v>
      </c>
      <c r="P133" s="10">
        <f t="shared" si="22"/>
        <v>0.89400000000000002</v>
      </c>
      <c r="Q133" s="10">
        <f t="shared" si="23"/>
        <v>6.7114093959731544E-2</v>
      </c>
      <c r="R133" s="10">
        <f t="shared" si="24"/>
        <v>0.17932320810018651</v>
      </c>
      <c r="S133" s="18">
        <f t="shared" si="25"/>
        <v>73.860911270983209</v>
      </c>
      <c r="T133" s="8">
        <f>480-ProductionData[[#This Row],[Downtime Minutes]]</f>
        <v>422</v>
      </c>
      <c r="U133" s="11">
        <f t="shared" si="26"/>
        <v>1.0592417061611374</v>
      </c>
      <c r="V133" s="18">
        <f>ProductionData[[#This Row],[Profit]]/ProductionData[[#This Row],[Good Units]]</f>
        <v>16.139088729016787</v>
      </c>
      <c r="W133" s="11">
        <f>ProductionData[[#This Row],[Good Units]]/ProductionData[[#This Row],[Operating Minutes]]</f>
        <v>0.98815165876777256</v>
      </c>
    </row>
    <row r="134" spans="1:23">
      <c r="A134" s="7">
        <v>46218</v>
      </c>
      <c r="B134" s="8" t="s">
        <v>19</v>
      </c>
      <c r="C134" s="8" t="s">
        <v>28</v>
      </c>
      <c r="D134" s="8" t="s">
        <v>21</v>
      </c>
      <c r="E134" s="8" t="s">
        <v>24</v>
      </c>
      <c r="F134" s="9">
        <v>410</v>
      </c>
      <c r="G134" s="9">
        <v>404</v>
      </c>
      <c r="H134" s="9">
        <v>8</v>
      </c>
      <c r="I134" s="9">
        <f t="shared" si="18"/>
        <v>396</v>
      </c>
      <c r="J134" s="9">
        <v>17</v>
      </c>
      <c r="K134" s="10">
        <f t="shared" si="19"/>
        <v>3.5416666666666666E-2</v>
      </c>
      <c r="L134" s="17">
        <v>120</v>
      </c>
      <c r="M134" s="17">
        <v>30800</v>
      </c>
      <c r="N134" s="17">
        <f t="shared" si="20"/>
        <v>47520</v>
      </c>
      <c r="O134" s="17">
        <f t="shared" si="21"/>
        <v>16720</v>
      </c>
      <c r="P134" s="10">
        <f t="shared" si="22"/>
        <v>0.98536585365853657</v>
      </c>
      <c r="Q134" s="10">
        <f t="shared" si="23"/>
        <v>1.9801980198019802E-2</v>
      </c>
      <c r="R134" s="10">
        <f t="shared" si="24"/>
        <v>0.35185185185185186</v>
      </c>
      <c r="S134" s="18">
        <f t="shared" si="25"/>
        <v>77.777777777777771</v>
      </c>
      <c r="T134" s="8">
        <f>480-ProductionData[[#This Row],[Downtime Minutes]]</f>
        <v>463</v>
      </c>
      <c r="U134" s="11">
        <f t="shared" si="26"/>
        <v>0.87257019438444927</v>
      </c>
      <c r="V134" s="18">
        <f>ProductionData[[#This Row],[Profit]]/ProductionData[[#This Row],[Good Units]]</f>
        <v>42.222222222222221</v>
      </c>
      <c r="W134" s="11">
        <f>ProductionData[[#This Row],[Good Units]]/ProductionData[[#This Row],[Operating Minutes]]</f>
        <v>0.85529157667386613</v>
      </c>
    </row>
    <row r="135" spans="1:23">
      <c r="A135" s="7">
        <v>46218</v>
      </c>
      <c r="B135" s="8" t="s">
        <v>19</v>
      </c>
      <c r="C135" s="8" t="s">
        <v>28</v>
      </c>
      <c r="D135" s="8" t="s">
        <v>23</v>
      </c>
      <c r="E135" s="8" t="s">
        <v>26</v>
      </c>
      <c r="F135" s="9">
        <v>490</v>
      </c>
      <c r="G135" s="9">
        <v>473</v>
      </c>
      <c r="H135" s="9">
        <v>17</v>
      </c>
      <c r="I135" s="9">
        <f t="shared" si="18"/>
        <v>456</v>
      </c>
      <c r="J135" s="9">
        <v>30</v>
      </c>
      <c r="K135" s="10">
        <f t="shared" si="19"/>
        <v>6.25E-2</v>
      </c>
      <c r="L135" s="17">
        <v>90</v>
      </c>
      <c r="M135" s="17">
        <v>30800</v>
      </c>
      <c r="N135" s="17">
        <f t="shared" si="20"/>
        <v>41040</v>
      </c>
      <c r="O135" s="17">
        <f t="shared" si="21"/>
        <v>10240</v>
      </c>
      <c r="P135" s="10">
        <f t="shared" si="22"/>
        <v>0.96530612244897962</v>
      </c>
      <c r="Q135" s="10">
        <f t="shared" si="23"/>
        <v>3.5940803382663845E-2</v>
      </c>
      <c r="R135" s="10">
        <f t="shared" si="24"/>
        <v>0.24951267056530213</v>
      </c>
      <c r="S135" s="18">
        <f t="shared" si="25"/>
        <v>67.543859649122808</v>
      </c>
      <c r="T135" s="8">
        <f>480-ProductionData[[#This Row],[Downtime Minutes]]</f>
        <v>450</v>
      </c>
      <c r="U135" s="11">
        <f t="shared" si="26"/>
        <v>1.0511111111111111</v>
      </c>
      <c r="V135" s="18">
        <f>ProductionData[[#This Row],[Profit]]/ProductionData[[#This Row],[Good Units]]</f>
        <v>22.456140350877192</v>
      </c>
      <c r="W135" s="11">
        <f>ProductionData[[#This Row],[Good Units]]/ProductionData[[#This Row],[Operating Minutes]]</f>
        <v>1.0133333333333334</v>
      </c>
    </row>
    <row r="136" spans="1:23">
      <c r="A136" s="7">
        <v>46218</v>
      </c>
      <c r="B136" s="8" t="s">
        <v>19</v>
      </c>
      <c r="C136" s="8" t="s">
        <v>28</v>
      </c>
      <c r="D136" s="8" t="s">
        <v>25</v>
      </c>
      <c r="E136" s="8" t="s">
        <v>22</v>
      </c>
      <c r="F136" s="9">
        <v>460</v>
      </c>
      <c r="G136" s="9">
        <v>427</v>
      </c>
      <c r="H136" s="9">
        <v>22</v>
      </c>
      <c r="I136" s="9">
        <f t="shared" si="18"/>
        <v>405</v>
      </c>
      <c r="J136" s="9">
        <v>38</v>
      </c>
      <c r="K136" s="10">
        <f t="shared" si="19"/>
        <v>7.9166666666666663E-2</v>
      </c>
      <c r="L136" s="17">
        <v>100</v>
      </c>
      <c r="M136" s="17">
        <v>30800</v>
      </c>
      <c r="N136" s="17">
        <f t="shared" si="20"/>
        <v>40500</v>
      </c>
      <c r="O136" s="17">
        <f t="shared" si="21"/>
        <v>9700</v>
      </c>
      <c r="P136" s="10">
        <f t="shared" si="22"/>
        <v>0.92826086956521736</v>
      </c>
      <c r="Q136" s="10">
        <f t="shared" si="23"/>
        <v>5.1522248243559721E-2</v>
      </c>
      <c r="R136" s="10">
        <f t="shared" si="24"/>
        <v>0.23950617283950618</v>
      </c>
      <c r="S136" s="18">
        <f t="shared" si="25"/>
        <v>76.049382716049379</v>
      </c>
      <c r="T136" s="8">
        <f>480-ProductionData[[#This Row],[Downtime Minutes]]</f>
        <v>442</v>
      </c>
      <c r="U136" s="11">
        <f t="shared" si="26"/>
        <v>0.9660633484162896</v>
      </c>
      <c r="V136" s="18">
        <f>ProductionData[[#This Row],[Profit]]/ProductionData[[#This Row],[Good Units]]</f>
        <v>23.950617283950617</v>
      </c>
      <c r="W136" s="11">
        <f>ProductionData[[#This Row],[Good Units]]/ProductionData[[#This Row],[Operating Minutes]]</f>
        <v>0.91628959276018096</v>
      </c>
    </row>
    <row r="137" spans="1:23">
      <c r="A137" s="7">
        <v>46219</v>
      </c>
      <c r="B137" s="8" t="s">
        <v>19</v>
      </c>
      <c r="C137" s="8" t="s">
        <v>20</v>
      </c>
      <c r="D137" s="8" t="s">
        <v>21</v>
      </c>
      <c r="E137" s="8" t="s">
        <v>22</v>
      </c>
      <c r="F137" s="9">
        <v>450</v>
      </c>
      <c r="G137" s="9">
        <v>428</v>
      </c>
      <c r="H137" s="9">
        <v>17</v>
      </c>
      <c r="I137" s="9">
        <f t="shared" si="18"/>
        <v>411</v>
      </c>
      <c r="J137" s="9">
        <v>31</v>
      </c>
      <c r="K137" s="10">
        <f t="shared" si="19"/>
        <v>6.458333333333334E-2</v>
      </c>
      <c r="L137" s="17">
        <v>100</v>
      </c>
      <c r="M137" s="17">
        <v>30800</v>
      </c>
      <c r="N137" s="17">
        <f t="shared" si="20"/>
        <v>41100</v>
      </c>
      <c r="O137" s="17">
        <f t="shared" si="21"/>
        <v>10300</v>
      </c>
      <c r="P137" s="10">
        <f t="shared" si="22"/>
        <v>0.95111111111111113</v>
      </c>
      <c r="Q137" s="10">
        <f t="shared" si="23"/>
        <v>3.9719626168224297E-2</v>
      </c>
      <c r="R137" s="10">
        <f t="shared" si="24"/>
        <v>0.25060827250608275</v>
      </c>
      <c r="S137" s="18">
        <f t="shared" si="25"/>
        <v>74.93917274939173</v>
      </c>
      <c r="T137" s="8">
        <f>480-ProductionData[[#This Row],[Downtime Minutes]]</f>
        <v>449</v>
      </c>
      <c r="U137" s="11">
        <f t="shared" si="26"/>
        <v>0.95322939866369716</v>
      </c>
      <c r="V137" s="18">
        <f>ProductionData[[#This Row],[Profit]]/ProductionData[[#This Row],[Good Units]]</f>
        <v>25.060827250608273</v>
      </c>
      <c r="W137" s="11">
        <f>ProductionData[[#This Row],[Good Units]]/ProductionData[[#This Row],[Operating Minutes]]</f>
        <v>0.91536748329621376</v>
      </c>
    </row>
    <row r="138" spans="1:23">
      <c r="A138" s="7">
        <v>46219</v>
      </c>
      <c r="B138" s="8" t="s">
        <v>19</v>
      </c>
      <c r="C138" s="8" t="s">
        <v>20</v>
      </c>
      <c r="D138" s="8" t="s">
        <v>23</v>
      </c>
      <c r="E138" s="8" t="s">
        <v>24</v>
      </c>
      <c r="F138" s="9">
        <v>410</v>
      </c>
      <c r="G138" s="9">
        <v>384</v>
      </c>
      <c r="H138" s="9">
        <v>10</v>
      </c>
      <c r="I138" s="9">
        <f t="shared" si="18"/>
        <v>374</v>
      </c>
      <c r="J138" s="9">
        <v>31</v>
      </c>
      <c r="K138" s="10">
        <f t="shared" si="19"/>
        <v>6.458333333333334E-2</v>
      </c>
      <c r="L138" s="17">
        <v>120</v>
      </c>
      <c r="M138" s="17">
        <v>30800</v>
      </c>
      <c r="N138" s="17">
        <f t="shared" si="20"/>
        <v>44880</v>
      </c>
      <c r="O138" s="17">
        <f t="shared" si="21"/>
        <v>14080</v>
      </c>
      <c r="P138" s="10">
        <f t="shared" si="22"/>
        <v>0.93658536585365859</v>
      </c>
      <c r="Q138" s="10">
        <f t="shared" si="23"/>
        <v>2.6041666666666668E-2</v>
      </c>
      <c r="R138" s="10">
        <f t="shared" si="24"/>
        <v>0.31372549019607843</v>
      </c>
      <c r="S138" s="18">
        <f t="shared" si="25"/>
        <v>82.352941176470594</v>
      </c>
      <c r="T138" s="8">
        <f>480-ProductionData[[#This Row],[Downtime Minutes]]</f>
        <v>449</v>
      </c>
      <c r="U138" s="11">
        <f t="shared" si="26"/>
        <v>0.85523385300668153</v>
      </c>
      <c r="V138" s="18">
        <f>ProductionData[[#This Row],[Profit]]/ProductionData[[#This Row],[Good Units]]</f>
        <v>37.647058823529413</v>
      </c>
      <c r="W138" s="11">
        <f>ProductionData[[#This Row],[Good Units]]/ProductionData[[#This Row],[Operating Minutes]]</f>
        <v>0.83296213808463249</v>
      </c>
    </row>
    <row r="139" spans="1:23">
      <c r="A139" s="7">
        <v>46219</v>
      </c>
      <c r="B139" s="8" t="s">
        <v>19</v>
      </c>
      <c r="C139" s="8" t="s">
        <v>20</v>
      </c>
      <c r="D139" s="8" t="s">
        <v>25</v>
      </c>
      <c r="E139" s="8" t="s">
        <v>26</v>
      </c>
      <c r="F139" s="9">
        <v>490</v>
      </c>
      <c r="G139" s="9">
        <v>448</v>
      </c>
      <c r="H139" s="9">
        <v>21</v>
      </c>
      <c r="I139" s="9">
        <f t="shared" si="18"/>
        <v>427</v>
      </c>
      <c r="J139" s="9">
        <v>33</v>
      </c>
      <c r="K139" s="10">
        <f t="shared" si="19"/>
        <v>6.8750000000000006E-2</v>
      </c>
      <c r="L139" s="17">
        <v>90</v>
      </c>
      <c r="M139" s="17">
        <v>30800</v>
      </c>
      <c r="N139" s="17">
        <f t="shared" si="20"/>
        <v>38430</v>
      </c>
      <c r="O139" s="17">
        <f t="shared" si="21"/>
        <v>7630</v>
      </c>
      <c r="P139" s="10">
        <f t="shared" si="22"/>
        <v>0.91428571428571426</v>
      </c>
      <c r="Q139" s="10">
        <f t="shared" si="23"/>
        <v>4.6875E-2</v>
      </c>
      <c r="R139" s="10">
        <f t="shared" si="24"/>
        <v>0.19854280510018216</v>
      </c>
      <c r="S139" s="18">
        <f t="shared" si="25"/>
        <v>72.131147540983605</v>
      </c>
      <c r="T139" s="8">
        <f>480-ProductionData[[#This Row],[Downtime Minutes]]</f>
        <v>447</v>
      </c>
      <c r="U139" s="11">
        <f t="shared" si="26"/>
        <v>1.0022371364653244</v>
      </c>
      <c r="V139" s="18">
        <f>ProductionData[[#This Row],[Profit]]/ProductionData[[#This Row],[Good Units]]</f>
        <v>17.868852459016395</v>
      </c>
      <c r="W139" s="11">
        <f>ProductionData[[#This Row],[Good Units]]/ProductionData[[#This Row],[Operating Minutes]]</f>
        <v>0.95525727069351229</v>
      </c>
    </row>
    <row r="140" spans="1:23">
      <c r="A140" s="7">
        <v>46219</v>
      </c>
      <c r="B140" s="8" t="s">
        <v>19</v>
      </c>
      <c r="C140" s="8" t="s">
        <v>27</v>
      </c>
      <c r="D140" s="8" t="s">
        <v>21</v>
      </c>
      <c r="E140" s="8" t="s">
        <v>24</v>
      </c>
      <c r="F140" s="9">
        <v>400</v>
      </c>
      <c r="G140" s="9">
        <v>363</v>
      </c>
      <c r="H140" s="9">
        <v>18</v>
      </c>
      <c r="I140" s="9">
        <f t="shared" si="18"/>
        <v>345</v>
      </c>
      <c r="J140" s="9">
        <v>38</v>
      </c>
      <c r="K140" s="10">
        <f t="shared" si="19"/>
        <v>7.9166666666666663E-2</v>
      </c>
      <c r="L140" s="17">
        <v>120</v>
      </c>
      <c r="M140" s="17">
        <v>30800</v>
      </c>
      <c r="N140" s="17">
        <f t="shared" si="20"/>
        <v>41400</v>
      </c>
      <c r="O140" s="17">
        <f t="shared" si="21"/>
        <v>10600</v>
      </c>
      <c r="P140" s="10">
        <f t="shared" si="22"/>
        <v>0.90749999999999997</v>
      </c>
      <c r="Q140" s="10">
        <f t="shared" si="23"/>
        <v>4.9586776859504134E-2</v>
      </c>
      <c r="R140" s="10">
        <f t="shared" si="24"/>
        <v>0.2560386473429952</v>
      </c>
      <c r="S140" s="18">
        <f t="shared" si="25"/>
        <v>89.275362318840578</v>
      </c>
      <c r="T140" s="8">
        <f>480-ProductionData[[#This Row],[Downtime Minutes]]</f>
        <v>442</v>
      </c>
      <c r="U140" s="11">
        <f t="shared" si="26"/>
        <v>0.82126696832579182</v>
      </c>
      <c r="V140" s="18">
        <f>ProductionData[[#This Row],[Profit]]/ProductionData[[#This Row],[Good Units]]</f>
        <v>30.724637681159422</v>
      </c>
      <c r="W140" s="11">
        <f>ProductionData[[#This Row],[Good Units]]/ProductionData[[#This Row],[Operating Minutes]]</f>
        <v>0.78054298642533937</v>
      </c>
    </row>
    <row r="141" spans="1:23">
      <c r="A141" s="7">
        <v>46219</v>
      </c>
      <c r="B141" s="8" t="s">
        <v>19</v>
      </c>
      <c r="C141" s="8" t="s">
        <v>27</v>
      </c>
      <c r="D141" s="8" t="s">
        <v>23</v>
      </c>
      <c r="E141" s="8" t="s">
        <v>26</v>
      </c>
      <c r="F141" s="9">
        <v>490</v>
      </c>
      <c r="G141" s="9">
        <v>446</v>
      </c>
      <c r="H141" s="9">
        <v>23</v>
      </c>
      <c r="I141" s="9">
        <f t="shared" si="18"/>
        <v>423</v>
      </c>
      <c r="J141" s="9">
        <v>56</v>
      </c>
      <c r="K141" s="10">
        <f t="shared" si="19"/>
        <v>0.11666666666666667</v>
      </c>
      <c r="L141" s="17">
        <v>90</v>
      </c>
      <c r="M141" s="17">
        <v>30800</v>
      </c>
      <c r="N141" s="17">
        <f t="shared" si="20"/>
        <v>38070</v>
      </c>
      <c r="O141" s="17">
        <f t="shared" si="21"/>
        <v>7270</v>
      </c>
      <c r="P141" s="10">
        <f t="shared" si="22"/>
        <v>0.91020408163265309</v>
      </c>
      <c r="Q141" s="10">
        <f t="shared" si="23"/>
        <v>5.1569506726457402E-2</v>
      </c>
      <c r="R141" s="10">
        <f t="shared" si="24"/>
        <v>0.19096401365904911</v>
      </c>
      <c r="S141" s="18">
        <f t="shared" si="25"/>
        <v>72.813238770685572</v>
      </c>
      <c r="T141" s="8">
        <f>480-ProductionData[[#This Row],[Downtime Minutes]]</f>
        <v>424</v>
      </c>
      <c r="U141" s="11">
        <f t="shared" si="26"/>
        <v>1.0518867924528301</v>
      </c>
      <c r="V141" s="18">
        <f>ProductionData[[#This Row],[Profit]]/ProductionData[[#This Row],[Good Units]]</f>
        <v>17.186761229314421</v>
      </c>
      <c r="W141" s="11">
        <f>ProductionData[[#This Row],[Good Units]]/ProductionData[[#This Row],[Operating Minutes]]</f>
        <v>0.99764150943396224</v>
      </c>
    </row>
    <row r="142" spans="1:23">
      <c r="A142" s="7">
        <v>46219</v>
      </c>
      <c r="B142" s="8" t="s">
        <v>19</v>
      </c>
      <c r="C142" s="8" t="s">
        <v>27</v>
      </c>
      <c r="D142" s="8" t="s">
        <v>25</v>
      </c>
      <c r="E142" s="8" t="s">
        <v>22</v>
      </c>
      <c r="F142" s="9">
        <v>450</v>
      </c>
      <c r="G142" s="9">
        <v>392</v>
      </c>
      <c r="H142" s="9">
        <v>29</v>
      </c>
      <c r="I142" s="9">
        <f t="shared" si="18"/>
        <v>363</v>
      </c>
      <c r="J142" s="9">
        <v>77</v>
      </c>
      <c r="K142" s="10">
        <f t="shared" si="19"/>
        <v>0.16041666666666668</v>
      </c>
      <c r="L142" s="17">
        <v>100</v>
      </c>
      <c r="M142" s="17">
        <v>30800</v>
      </c>
      <c r="N142" s="17">
        <f t="shared" si="20"/>
        <v>36300</v>
      </c>
      <c r="O142" s="17">
        <f t="shared" si="21"/>
        <v>5500</v>
      </c>
      <c r="P142" s="10">
        <f t="shared" si="22"/>
        <v>0.87111111111111106</v>
      </c>
      <c r="Q142" s="10">
        <f t="shared" si="23"/>
        <v>7.3979591836734693E-2</v>
      </c>
      <c r="R142" s="10">
        <f t="shared" si="24"/>
        <v>0.15151515151515152</v>
      </c>
      <c r="S142" s="18">
        <f t="shared" si="25"/>
        <v>84.848484848484844</v>
      </c>
      <c r="T142" s="8">
        <f>480-ProductionData[[#This Row],[Downtime Minutes]]</f>
        <v>403</v>
      </c>
      <c r="U142" s="11">
        <f t="shared" si="26"/>
        <v>0.97270471464019848</v>
      </c>
      <c r="V142" s="18">
        <f>ProductionData[[#This Row],[Profit]]/ProductionData[[#This Row],[Good Units]]</f>
        <v>15.151515151515152</v>
      </c>
      <c r="W142" s="11">
        <f>ProductionData[[#This Row],[Good Units]]/ProductionData[[#This Row],[Operating Minutes]]</f>
        <v>0.90074441687344908</v>
      </c>
    </row>
    <row r="143" spans="1:23">
      <c r="A143" s="7">
        <v>46219</v>
      </c>
      <c r="B143" s="8" t="s">
        <v>19</v>
      </c>
      <c r="C143" s="8" t="s">
        <v>28</v>
      </c>
      <c r="D143" s="8" t="s">
        <v>21</v>
      </c>
      <c r="E143" s="8" t="s">
        <v>26</v>
      </c>
      <c r="F143" s="9">
        <v>490</v>
      </c>
      <c r="G143" s="9">
        <v>486</v>
      </c>
      <c r="H143" s="9">
        <v>11</v>
      </c>
      <c r="I143" s="9">
        <f t="shared" si="18"/>
        <v>475</v>
      </c>
      <c r="J143" s="9">
        <v>13</v>
      </c>
      <c r="K143" s="10">
        <f t="shared" si="19"/>
        <v>2.7083333333333334E-2</v>
      </c>
      <c r="L143" s="17">
        <v>90</v>
      </c>
      <c r="M143" s="17">
        <v>30800</v>
      </c>
      <c r="N143" s="17">
        <f t="shared" si="20"/>
        <v>42750</v>
      </c>
      <c r="O143" s="17">
        <f t="shared" si="21"/>
        <v>11950</v>
      </c>
      <c r="P143" s="10">
        <f t="shared" si="22"/>
        <v>0.99183673469387756</v>
      </c>
      <c r="Q143" s="10">
        <f t="shared" si="23"/>
        <v>2.2633744855967079E-2</v>
      </c>
      <c r="R143" s="10">
        <f t="shared" si="24"/>
        <v>0.27953216374269008</v>
      </c>
      <c r="S143" s="18">
        <f t="shared" si="25"/>
        <v>64.84210526315789</v>
      </c>
      <c r="T143" s="8">
        <f>480-ProductionData[[#This Row],[Downtime Minutes]]</f>
        <v>467</v>
      </c>
      <c r="U143" s="11">
        <f t="shared" si="26"/>
        <v>1.0406852248394005</v>
      </c>
      <c r="V143" s="18">
        <f>ProductionData[[#This Row],[Profit]]/ProductionData[[#This Row],[Good Units]]</f>
        <v>25.157894736842106</v>
      </c>
      <c r="W143" s="11">
        <f>ProductionData[[#This Row],[Good Units]]/ProductionData[[#This Row],[Operating Minutes]]</f>
        <v>1.0171306209850106</v>
      </c>
    </row>
    <row r="144" spans="1:23">
      <c r="A144" s="7">
        <v>46219</v>
      </c>
      <c r="B144" s="8" t="s">
        <v>19</v>
      </c>
      <c r="C144" s="8" t="s">
        <v>28</v>
      </c>
      <c r="D144" s="8" t="s">
        <v>23</v>
      </c>
      <c r="E144" s="8" t="s">
        <v>22</v>
      </c>
      <c r="F144" s="9">
        <v>440</v>
      </c>
      <c r="G144" s="9">
        <v>418</v>
      </c>
      <c r="H144" s="9">
        <v>15</v>
      </c>
      <c r="I144" s="9">
        <f t="shared" si="18"/>
        <v>403</v>
      </c>
      <c r="J144" s="9">
        <v>39</v>
      </c>
      <c r="K144" s="10">
        <f t="shared" si="19"/>
        <v>8.1250000000000003E-2</v>
      </c>
      <c r="L144" s="17">
        <v>100</v>
      </c>
      <c r="M144" s="17">
        <v>30800</v>
      </c>
      <c r="N144" s="17">
        <f t="shared" si="20"/>
        <v>40300</v>
      </c>
      <c r="O144" s="17">
        <f t="shared" si="21"/>
        <v>9500</v>
      </c>
      <c r="P144" s="10">
        <f t="shared" si="22"/>
        <v>0.95</v>
      </c>
      <c r="Q144" s="10">
        <f t="shared" si="23"/>
        <v>3.5885167464114832E-2</v>
      </c>
      <c r="R144" s="10">
        <f t="shared" si="24"/>
        <v>0.23573200992555832</v>
      </c>
      <c r="S144" s="18">
        <f t="shared" si="25"/>
        <v>76.426799007444174</v>
      </c>
      <c r="T144" s="8">
        <f>480-ProductionData[[#This Row],[Downtime Minutes]]</f>
        <v>441</v>
      </c>
      <c r="U144" s="11">
        <f t="shared" si="26"/>
        <v>0.94784580498866211</v>
      </c>
      <c r="V144" s="18">
        <f>ProductionData[[#This Row],[Profit]]/ProductionData[[#This Row],[Good Units]]</f>
        <v>23.573200992555833</v>
      </c>
      <c r="W144" s="11">
        <f>ProductionData[[#This Row],[Good Units]]/ProductionData[[#This Row],[Operating Minutes]]</f>
        <v>0.91383219954648531</v>
      </c>
    </row>
    <row r="145" spans="1:23">
      <c r="A145" s="7">
        <v>46219</v>
      </c>
      <c r="B145" s="8" t="s">
        <v>19</v>
      </c>
      <c r="C145" s="8" t="s">
        <v>28</v>
      </c>
      <c r="D145" s="8" t="s">
        <v>25</v>
      </c>
      <c r="E145" s="8" t="s">
        <v>24</v>
      </c>
      <c r="F145" s="9">
        <v>390</v>
      </c>
      <c r="G145" s="9">
        <v>372</v>
      </c>
      <c r="H145" s="9">
        <v>12</v>
      </c>
      <c r="I145" s="9">
        <f t="shared" si="18"/>
        <v>360</v>
      </c>
      <c r="J145" s="9">
        <v>41</v>
      </c>
      <c r="K145" s="10">
        <f t="shared" si="19"/>
        <v>8.5416666666666669E-2</v>
      </c>
      <c r="L145" s="17">
        <v>120</v>
      </c>
      <c r="M145" s="17">
        <v>30800</v>
      </c>
      <c r="N145" s="17">
        <f t="shared" si="20"/>
        <v>43200</v>
      </c>
      <c r="O145" s="17">
        <f t="shared" si="21"/>
        <v>12400</v>
      </c>
      <c r="P145" s="10">
        <f t="shared" si="22"/>
        <v>0.9538461538461539</v>
      </c>
      <c r="Q145" s="10">
        <f t="shared" si="23"/>
        <v>3.2258064516129031E-2</v>
      </c>
      <c r="R145" s="10">
        <f t="shared" si="24"/>
        <v>0.28703703703703703</v>
      </c>
      <c r="S145" s="18">
        <f t="shared" si="25"/>
        <v>85.555555555555557</v>
      </c>
      <c r="T145" s="8">
        <f>480-ProductionData[[#This Row],[Downtime Minutes]]</f>
        <v>439</v>
      </c>
      <c r="U145" s="11">
        <f t="shared" si="26"/>
        <v>0.84738041002277908</v>
      </c>
      <c r="V145" s="18">
        <f>ProductionData[[#This Row],[Profit]]/ProductionData[[#This Row],[Good Units]]</f>
        <v>34.444444444444443</v>
      </c>
      <c r="W145" s="11">
        <f>ProductionData[[#This Row],[Good Units]]/ProductionData[[#This Row],[Operating Minutes]]</f>
        <v>0.82004555808656032</v>
      </c>
    </row>
    <row r="146" spans="1:23">
      <c r="A146" s="7">
        <v>46220</v>
      </c>
      <c r="B146" s="8" t="s">
        <v>19</v>
      </c>
      <c r="C146" s="8" t="s">
        <v>20</v>
      </c>
      <c r="D146" s="8" t="s">
        <v>21</v>
      </c>
      <c r="E146" s="8" t="s">
        <v>24</v>
      </c>
      <c r="F146" s="9">
        <v>400</v>
      </c>
      <c r="G146" s="9">
        <v>395</v>
      </c>
      <c r="H146" s="9">
        <v>13</v>
      </c>
      <c r="I146" s="9">
        <f t="shared" si="18"/>
        <v>382</v>
      </c>
      <c r="J146" s="9">
        <v>27</v>
      </c>
      <c r="K146" s="10">
        <f t="shared" si="19"/>
        <v>5.6250000000000001E-2</v>
      </c>
      <c r="L146" s="17">
        <v>120</v>
      </c>
      <c r="M146" s="17">
        <v>30800</v>
      </c>
      <c r="N146" s="17">
        <f t="shared" si="20"/>
        <v>45840</v>
      </c>
      <c r="O146" s="17">
        <f t="shared" si="21"/>
        <v>15040</v>
      </c>
      <c r="P146" s="10">
        <f t="shared" si="22"/>
        <v>0.98750000000000004</v>
      </c>
      <c r="Q146" s="10">
        <f t="shared" si="23"/>
        <v>3.2911392405063293E-2</v>
      </c>
      <c r="R146" s="10">
        <f t="shared" si="24"/>
        <v>0.32809773123909247</v>
      </c>
      <c r="S146" s="18">
        <f t="shared" si="25"/>
        <v>80.6282722513089</v>
      </c>
      <c r="T146" s="8">
        <f>480-ProductionData[[#This Row],[Downtime Minutes]]</f>
        <v>453</v>
      </c>
      <c r="U146" s="11">
        <f t="shared" si="26"/>
        <v>0.87196467991169979</v>
      </c>
      <c r="V146" s="18">
        <f>ProductionData[[#This Row],[Profit]]/ProductionData[[#This Row],[Good Units]]</f>
        <v>39.3717277486911</v>
      </c>
      <c r="W146" s="11">
        <f>ProductionData[[#This Row],[Good Units]]/ProductionData[[#This Row],[Operating Minutes]]</f>
        <v>0.8432671081677704</v>
      </c>
    </row>
    <row r="147" spans="1:23">
      <c r="A147" s="7">
        <v>46220</v>
      </c>
      <c r="B147" s="8" t="s">
        <v>19</v>
      </c>
      <c r="C147" s="8" t="s">
        <v>20</v>
      </c>
      <c r="D147" s="8" t="s">
        <v>23</v>
      </c>
      <c r="E147" s="8" t="s">
        <v>26</v>
      </c>
      <c r="F147" s="9">
        <v>490</v>
      </c>
      <c r="G147" s="9">
        <v>459</v>
      </c>
      <c r="H147" s="9">
        <v>19</v>
      </c>
      <c r="I147" s="9">
        <f t="shared" si="18"/>
        <v>440</v>
      </c>
      <c r="J147" s="9">
        <v>24</v>
      </c>
      <c r="K147" s="10">
        <f t="shared" si="19"/>
        <v>0.05</v>
      </c>
      <c r="L147" s="17">
        <v>90</v>
      </c>
      <c r="M147" s="17">
        <v>30800</v>
      </c>
      <c r="N147" s="17">
        <f t="shared" si="20"/>
        <v>39600</v>
      </c>
      <c r="O147" s="17">
        <f t="shared" si="21"/>
        <v>8800</v>
      </c>
      <c r="P147" s="10">
        <f t="shared" si="22"/>
        <v>0.93673469387755104</v>
      </c>
      <c r="Q147" s="10">
        <f t="shared" si="23"/>
        <v>4.1394335511982572E-2</v>
      </c>
      <c r="R147" s="10">
        <f t="shared" si="24"/>
        <v>0.22222222222222221</v>
      </c>
      <c r="S147" s="18">
        <f t="shared" si="25"/>
        <v>70</v>
      </c>
      <c r="T147" s="8">
        <f>480-ProductionData[[#This Row],[Downtime Minutes]]</f>
        <v>456</v>
      </c>
      <c r="U147" s="11">
        <f t="shared" si="26"/>
        <v>1.006578947368421</v>
      </c>
      <c r="V147" s="18">
        <f>ProductionData[[#This Row],[Profit]]/ProductionData[[#This Row],[Good Units]]</f>
        <v>20</v>
      </c>
      <c r="W147" s="11">
        <f>ProductionData[[#This Row],[Good Units]]/ProductionData[[#This Row],[Operating Minutes]]</f>
        <v>0.96491228070175439</v>
      </c>
    </row>
    <row r="148" spans="1:23">
      <c r="A148" s="7">
        <v>46220</v>
      </c>
      <c r="B148" s="8" t="s">
        <v>19</v>
      </c>
      <c r="C148" s="8" t="s">
        <v>20</v>
      </c>
      <c r="D148" s="8" t="s">
        <v>25</v>
      </c>
      <c r="E148" s="8" t="s">
        <v>22</v>
      </c>
      <c r="F148" s="9">
        <v>430</v>
      </c>
      <c r="G148" s="9">
        <v>384</v>
      </c>
      <c r="H148" s="9">
        <v>21</v>
      </c>
      <c r="I148" s="9">
        <f t="shared" si="18"/>
        <v>363</v>
      </c>
      <c r="J148" s="9">
        <v>40</v>
      </c>
      <c r="K148" s="10">
        <f t="shared" si="19"/>
        <v>8.3333333333333329E-2</v>
      </c>
      <c r="L148" s="17">
        <v>100</v>
      </c>
      <c r="M148" s="17">
        <v>30800</v>
      </c>
      <c r="N148" s="17">
        <f t="shared" si="20"/>
        <v>36300</v>
      </c>
      <c r="O148" s="17">
        <f t="shared" si="21"/>
        <v>5500</v>
      </c>
      <c r="P148" s="10">
        <f t="shared" si="22"/>
        <v>0.89302325581395348</v>
      </c>
      <c r="Q148" s="10">
        <f t="shared" si="23"/>
        <v>5.46875E-2</v>
      </c>
      <c r="R148" s="10">
        <f t="shared" si="24"/>
        <v>0.15151515151515152</v>
      </c>
      <c r="S148" s="18">
        <f t="shared" si="25"/>
        <v>84.848484848484844</v>
      </c>
      <c r="T148" s="8">
        <f>480-ProductionData[[#This Row],[Downtime Minutes]]</f>
        <v>440</v>
      </c>
      <c r="U148" s="11">
        <f t="shared" si="26"/>
        <v>0.87272727272727268</v>
      </c>
      <c r="V148" s="18">
        <f>ProductionData[[#This Row],[Profit]]/ProductionData[[#This Row],[Good Units]]</f>
        <v>15.151515151515152</v>
      </c>
      <c r="W148" s="11">
        <f>ProductionData[[#This Row],[Good Units]]/ProductionData[[#This Row],[Operating Minutes]]</f>
        <v>0.82499999999999996</v>
      </c>
    </row>
    <row r="149" spans="1:23">
      <c r="A149" s="7">
        <v>46220</v>
      </c>
      <c r="B149" s="8" t="s">
        <v>19</v>
      </c>
      <c r="C149" s="8" t="s">
        <v>27</v>
      </c>
      <c r="D149" s="8" t="s">
        <v>21</v>
      </c>
      <c r="E149" s="8" t="s">
        <v>26</v>
      </c>
      <c r="F149" s="9">
        <v>510</v>
      </c>
      <c r="G149" s="9">
        <v>464</v>
      </c>
      <c r="H149" s="9">
        <v>26</v>
      </c>
      <c r="I149" s="9">
        <f t="shared" si="18"/>
        <v>438</v>
      </c>
      <c r="J149" s="9">
        <v>49</v>
      </c>
      <c r="K149" s="10">
        <f t="shared" si="19"/>
        <v>0.10208333333333333</v>
      </c>
      <c r="L149" s="17">
        <v>90</v>
      </c>
      <c r="M149" s="17">
        <v>30800</v>
      </c>
      <c r="N149" s="17">
        <f t="shared" si="20"/>
        <v>39420</v>
      </c>
      <c r="O149" s="17">
        <f t="shared" si="21"/>
        <v>8620</v>
      </c>
      <c r="P149" s="10">
        <f t="shared" si="22"/>
        <v>0.90980392156862744</v>
      </c>
      <c r="Q149" s="10">
        <f t="shared" si="23"/>
        <v>5.6034482758620691E-2</v>
      </c>
      <c r="R149" s="10">
        <f t="shared" si="24"/>
        <v>0.21867072552004058</v>
      </c>
      <c r="S149" s="18">
        <f t="shared" si="25"/>
        <v>70.319634703196343</v>
      </c>
      <c r="T149" s="8">
        <f>480-ProductionData[[#This Row],[Downtime Minutes]]</f>
        <v>431</v>
      </c>
      <c r="U149" s="11">
        <f t="shared" si="26"/>
        <v>1.0765661252900232</v>
      </c>
      <c r="V149" s="18">
        <f>ProductionData[[#This Row],[Profit]]/ProductionData[[#This Row],[Good Units]]</f>
        <v>19.680365296803654</v>
      </c>
      <c r="W149" s="11">
        <f>ProductionData[[#This Row],[Good Units]]/ProductionData[[#This Row],[Operating Minutes]]</f>
        <v>1.0162412993039442</v>
      </c>
    </row>
    <row r="150" spans="1:23">
      <c r="A150" s="7">
        <v>46220</v>
      </c>
      <c r="B150" s="8" t="s">
        <v>19</v>
      </c>
      <c r="C150" s="8" t="s">
        <v>27</v>
      </c>
      <c r="D150" s="8" t="s">
        <v>23</v>
      </c>
      <c r="E150" s="8" t="s">
        <v>22</v>
      </c>
      <c r="F150" s="9">
        <v>450</v>
      </c>
      <c r="G150" s="9">
        <v>403</v>
      </c>
      <c r="H150" s="9">
        <v>25</v>
      </c>
      <c r="I150" s="9">
        <f t="shared" si="18"/>
        <v>378</v>
      </c>
      <c r="J150" s="9">
        <v>49</v>
      </c>
      <c r="K150" s="10">
        <f t="shared" si="19"/>
        <v>0.10208333333333333</v>
      </c>
      <c r="L150" s="17">
        <v>100</v>
      </c>
      <c r="M150" s="17">
        <v>30800</v>
      </c>
      <c r="N150" s="17">
        <f t="shared" si="20"/>
        <v>37800</v>
      </c>
      <c r="O150" s="17">
        <f t="shared" si="21"/>
        <v>7000</v>
      </c>
      <c r="P150" s="10">
        <f t="shared" si="22"/>
        <v>0.89555555555555555</v>
      </c>
      <c r="Q150" s="10">
        <f t="shared" si="23"/>
        <v>6.2034739454094295E-2</v>
      </c>
      <c r="R150" s="10">
        <f t="shared" si="24"/>
        <v>0.18518518518518517</v>
      </c>
      <c r="S150" s="18">
        <f t="shared" si="25"/>
        <v>81.481481481481481</v>
      </c>
      <c r="T150" s="8">
        <f>480-ProductionData[[#This Row],[Downtime Minutes]]</f>
        <v>431</v>
      </c>
      <c r="U150" s="11">
        <f t="shared" si="26"/>
        <v>0.93503480278422269</v>
      </c>
      <c r="V150" s="18">
        <f>ProductionData[[#This Row],[Profit]]/ProductionData[[#This Row],[Good Units]]</f>
        <v>18.518518518518519</v>
      </c>
      <c r="W150" s="11">
        <f>ProductionData[[#This Row],[Good Units]]/ProductionData[[#This Row],[Operating Minutes]]</f>
        <v>0.87703016241299303</v>
      </c>
    </row>
    <row r="151" spans="1:23">
      <c r="A151" s="7">
        <v>46220</v>
      </c>
      <c r="B151" s="8" t="s">
        <v>19</v>
      </c>
      <c r="C151" s="8" t="s">
        <v>27</v>
      </c>
      <c r="D151" s="8" t="s">
        <v>25</v>
      </c>
      <c r="E151" s="8" t="s">
        <v>24</v>
      </c>
      <c r="F151" s="9">
        <v>410</v>
      </c>
      <c r="G151" s="9">
        <v>356</v>
      </c>
      <c r="H151" s="9">
        <v>23</v>
      </c>
      <c r="I151" s="9">
        <f t="shared" si="18"/>
        <v>333</v>
      </c>
      <c r="J151" s="9">
        <v>61</v>
      </c>
      <c r="K151" s="10">
        <f t="shared" si="19"/>
        <v>0.12708333333333333</v>
      </c>
      <c r="L151" s="17">
        <v>120</v>
      </c>
      <c r="M151" s="17">
        <v>30800</v>
      </c>
      <c r="N151" s="17">
        <f t="shared" si="20"/>
        <v>39960</v>
      </c>
      <c r="O151" s="17">
        <f t="shared" si="21"/>
        <v>9160</v>
      </c>
      <c r="P151" s="10">
        <f t="shared" si="22"/>
        <v>0.86829268292682926</v>
      </c>
      <c r="Q151" s="10">
        <f t="shared" si="23"/>
        <v>6.4606741573033713E-2</v>
      </c>
      <c r="R151" s="10">
        <f t="shared" si="24"/>
        <v>0.22922922922922923</v>
      </c>
      <c r="S151" s="18">
        <f t="shared" si="25"/>
        <v>92.492492492492488</v>
      </c>
      <c r="T151" s="8">
        <f>480-ProductionData[[#This Row],[Downtime Minutes]]</f>
        <v>419</v>
      </c>
      <c r="U151" s="11">
        <f t="shared" si="26"/>
        <v>0.84964200477326968</v>
      </c>
      <c r="V151" s="18">
        <f>ProductionData[[#This Row],[Profit]]/ProductionData[[#This Row],[Good Units]]</f>
        <v>27.507507507507508</v>
      </c>
      <c r="W151" s="11">
        <f>ProductionData[[#This Row],[Good Units]]/ProductionData[[#This Row],[Operating Minutes]]</f>
        <v>0.79474940334128874</v>
      </c>
    </row>
    <row r="152" spans="1:23">
      <c r="A152" s="7">
        <v>46220</v>
      </c>
      <c r="B152" s="8" t="s">
        <v>19</v>
      </c>
      <c r="C152" s="8" t="s">
        <v>28</v>
      </c>
      <c r="D152" s="8" t="s">
        <v>21</v>
      </c>
      <c r="E152" s="8" t="s">
        <v>22</v>
      </c>
      <c r="F152" s="9">
        <v>430</v>
      </c>
      <c r="G152" s="9">
        <v>425</v>
      </c>
      <c r="H152" s="9">
        <v>13</v>
      </c>
      <c r="I152" s="9">
        <f t="shared" si="18"/>
        <v>412</v>
      </c>
      <c r="J152" s="9">
        <v>19</v>
      </c>
      <c r="K152" s="10">
        <f t="shared" si="19"/>
        <v>3.9583333333333331E-2</v>
      </c>
      <c r="L152" s="17">
        <v>100</v>
      </c>
      <c r="M152" s="17">
        <v>30800</v>
      </c>
      <c r="N152" s="17">
        <f t="shared" si="20"/>
        <v>41200</v>
      </c>
      <c r="O152" s="17">
        <f t="shared" si="21"/>
        <v>10400</v>
      </c>
      <c r="P152" s="10">
        <f t="shared" si="22"/>
        <v>0.98837209302325579</v>
      </c>
      <c r="Q152" s="10">
        <f t="shared" si="23"/>
        <v>3.0588235294117649E-2</v>
      </c>
      <c r="R152" s="10">
        <f t="shared" si="24"/>
        <v>0.25242718446601942</v>
      </c>
      <c r="S152" s="18">
        <f t="shared" si="25"/>
        <v>74.757281553398059</v>
      </c>
      <c r="T152" s="8">
        <f>480-ProductionData[[#This Row],[Downtime Minutes]]</f>
        <v>461</v>
      </c>
      <c r="U152" s="11">
        <f t="shared" si="26"/>
        <v>0.9219088937093276</v>
      </c>
      <c r="V152" s="18">
        <f>ProductionData[[#This Row],[Profit]]/ProductionData[[#This Row],[Good Units]]</f>
        <v>25.242718446601941</v>
      </c>
      <c r="W152" s="11">
        <f>ProductionData[[#This Row],[Good Units]]/ProductionData[[#This Row],[Operating Minutes]]</f>
        <v>0.89370932754880694</v>
      </c>
    </row>
    <row r="153" spans="1:23">
      <c r="A153" s="7">
        <v>46220</v>
      </c>
      <c r="B153" s="8" t="s">
        <v>19</v>
      </c>
      <c r="C153" s="8" t="s">
        <v>28</v>
      </c>
      <c r="D153" s="8" t="s">
        <v>23</v>
      </c>
      <c r="E153" s="8" t="s">
        <v>24</v>
      </c>
      <c r="F153" s="9">
        <v>410</v>
      </c>
      <c r="G153" s="9">
        <v>387</v>
      </c>
      <c r="H153" s="9">
        <v>9</v>
      </c>
      <c r="I153" s="9">
        <f t="shared" si="18"/>
        <v>378</v>
      </c>
      <c r="J153" s="9">
        <v>34</v>
      </c>
      <c r="K153" s="10">
        <f t="shared" si="19"/>
        <v>7.0833333333333331E-2</v>
      </c>
      <c r="L153" s="17">
        <v>120</v>
      </c>
      <c r="M153" s="17">
        <v>30800</v>
      </c>
      <c r="N153" s="17">
        <f t="shared" si="20"/>
        <v>45360</v>
      </c>
      <c r="O153" s="17">
        <f t="shared" si="21"/>
        <v>14560</v>
      </c>
      <c r="P153" s="10">
        <f t="shared" si="22"/>
        <v>0.94390243902439019</v>
      </c>
      <c r="Q153" s="10">
        <f t="shared" si="23"/>
        <v>2.3255813953488372E-2</v>
      </c>
      <c r="R153" s="10">
        <f t="shared" si="24"/>
        <v>0.32098765432098764</v>
      </c>
      <c r="S153" s="18">
        <f t="shared" si="25"/>
        <v>81.481481481481481</v>
      </c>
      <c r="T153" s="8">
        <f>480-ProductionData[[#This Row],[Downtime Minutes]]</f>
        <v>446</v>
      </c>
      <c r="U153" s="11">
        <f t="shared" si="26"/>
        <v>0.86771300448430488</v>
      </c>
      <c r="V153" s="18">
        <f>ProductionData[[#This Row],[Profit]]/ProductionData[[#This Row],[Good Units]]</f>
        <v>38.518518518518519</v>
      </c>
      <c r="W153" s="11">
        <f>ProductionData[[#This Row],[Good Units]]/ProductionData[[#This Row],[Operating Minutes]]</f>
        <v>0.84753363228699552</v>
      </c>
    </row>
    <row r="154" spans="1:23">
      <c r="A154" s="7">
        <v>46220</v>
      </c>
      <c r="B154" s="8" t="s">
        <v>19</v>
      </c>
      <c r="C154" s="8" t="s">
        <v>28</v>
      </c>
      <c r="D154" s="8" t="s">
        <v>25</v>
      </c>
      <c r="E154" s="8" t="s">
        <v>26</v>
      </c>
      <c r="F154" s="9">
        <v>500</v>
      </c>
      <c r="G154" s="9">
        <v>479</v>
      </c>
      <c r="H154" s="9">
        <v>17</v>
      </c>
      <c r="I154" s="9">
        <f t="shared" si="18"/>
        <v>462</v>
      </c>
      <c r="J154" s="9">
        <v>34</v>
      </c>
      <c r="K154" s="10">
        <f t="shared" si="19"/>
        <v>7.0833333333333331E-2</v>
      </c>
      <c r="L154" s="17">
        <v>90</v>
      </c>
      <c r="M154" s="17">
        <v>30800</v>
      </c>
      <c r="N154" s="17">
        <f t="shared" si="20"/>
        <v>41580</v>
      </c>
      <c r="O154" s="17">
        <f t="shared" si="21"/>
        <v>10780</v>
      </c>
      <c r="P154" s="10">
        <f t="shared" si="22"/>
        <v>0.95799999999999996</v>
      </c>
      <c r="Q154" s="10">
        <f t="shared" si="23"/>
        <v>3.5490605427974949E-2</v>
      </c>
      <c r="R154" s="10">
        <f t="shared" si="24"/>
        <v>0.25925925925925924</v>
      </c>
      <c r="S154" s="18">
        <f t="shared" si="25"/>
        <v>66.666666666666671</v>
      </c>
      <c r="T154" s="8">
        <f>480-ProductionData[[#This Row],[Downtime Minutes]]</f>
        <v>446</v>
      </c>
      <c r="U154" s="11">
        <f t="shared" si="26"/>
        <v>1.0739910313901346</v>
      </c>
      <c r="V154" s="18">
        <f>ProductionData[[#This Row],[Profit]]/ProductionData[[#This Row],[Good Units]]</f>
        <v>23.333333333333332</v>
      </c>
      <c r="W154" s="11">
        <f>ProductionData[[#This Row],[Good Units]]/ProductionData[[#This Row],[Operating Minutes]]</f>
        <v>1.0358744394618835</v>
      </c>
    </row>
    <row r="155" spans="1:23">
      <c r="A155" s="7">
        <v>46221</v>
      </c>
      <c r="B155" s="8" t="s">
        <v>19</v>
      </c>
      <c r="C155" s="8" t="s">
        <v>20</v>
      </c>
      <c r="D155" s="8" t="s">
        <v>21</v>
      </c>
      <c r="E155" s="8" t="s">
        <v>26</v>
      </c>
      <c r="F155" s="9">
        <v>500</v>
      </c>
      <c r="G155" s="9">
        <v>478</v>
      </c>
      <c r="H155" s="9">
        <v>18</v>
      </c>
      <c r="I155" s="9">
        <f t="shared" si="18"/>
        <v>460</v>
      </c>
      <c r="J155" s="9">
        <v>26</v>
      </c>
      <c r="K155" s="10">
        <f t="shared" si="19"/>
        <v>5.4166666666666669E-2</v>
      </c>
      <c r="L155" s="17">
        <v>90</v>
      </c>
      <c r="M155" s="17">
        <v>30800</v>
      </c>
      <c r="N155" s="17">
        <f t="shared" si="20"/>
        <v>41400</v>
      </c>
      <c r="O155" s="17">
        <f t="shared" si="21"/>
        <v>10600</v>
      </c>
      <c r="P155" s="10">
        <f t="shared" si="22"/>
        <v>0.95599999999999996</v>
      </c>
      <c r="Q155" s="10">
        <f t="shared" si="23"/>
        <v>3.7656903765690378E-2</v>
      </c>
      <c r="R155" s="10">
        <f t="shared" si="24"/>
        <v>0.2560386473429952</v>
      </c>
      <c r="S155" s="18">
        <f t="shared" si="25"/>
        <v>66.956521739130437</v>
      </c>
      <c r="T155" s="8">
        <f>480-ProductionData[[#This Row],[Downtime Minutes]]</f>
        <v>454</v>
      </c>
      <c r="U155" s="11">
        <f t="shared" si="26"/>
        <v>1.052863436123348</v>
      </c>
      <c r="V155" s="18">
        <f>ProductionData[[#This Row],[Profit]]/ProductionData[[#This Row],[Good Units]]</f>
        <v>23.043478260869566</v>
      </c>
      <c r="W155" s="11">
        <f>ProductionData[[#This Row],[Good Units]]/ProductionData[[#This Row],[Operating Minutes]]</f>
        <v>1.0132158590308371</v>
      </c>
    </row>
    <row r="156" spans="1:23">
      <c r="A156" s="7">
        <v>46221</v>
      </c>
      <c r="B156" s="8" t="s">
        <v>19</v>
      </c>
      <c r="C156" s="8" t="s">
        <v>20</v>
      </c>
      <c r="D156" s="8" t="s">
        <v>23</v>
      </c>
      <c r="E156" s="8" t="s">
        <v>22</v>
      </c>
      <c r="F156" s="9">
        <v>450</v>
      </c>
      <c r="G156" s="9">
        <v>416</v>
      </c>
      <c r="H156" s="9">
        <v>23</v>
      </c>
      <c r="I156" s="9">
        <f t="shared" si="18"/>
        <v>393</v>
      </c>
      <c r="J156" s="9">
        <v>33</v>
      </c>
      <c r="K156" s="10">
        <f t="shared" si="19"/>
        <v>6.8750000000000006E-2</v>
      </c>
      <c r="L156" s="17">
        <v>100</v>
      </c>
      <c r="M156" s="17">
        <v>30800</v>
      </c>
      <c r="N156" s="17">
        <f t="shared" si="20"/>
        <v>39300</v>
      </c>
      <c r="O156" s="17">
        <f t="shared" si="21"/>
        <v>8500</v>
      </c>
      <c r="P156" s="10">
        <f t="shared" si="22"/>
        <v>0.9244444444444444</v>
      </c>
      <c r="Q156" s="10">
        <f t="shared" si="23"/>
        <v>5.5288461538461536E-2</v>
      </c>
      <c r="R156" s="10">
        <f t="shared" si="24"/>
        <v>0.21628498727735368</v>
      </c>
      <c r="S156" s="18">
        <f t="shared" si="25"/>
        <v>78.371501272264638</v>
      </c>
      <c r="T156" s="8">
        <f>480-ProductionData[[#This Row],[Downtime Minutes]]</f>
        <v>447</v>
      </c>
      <c r="U156" s="11">
        <f t="shared" si="26"/>
        <v>0.93064876957494402</v>
      </c>
      <c r="V156" s="18">
        <f>ProductionData[[#This Row],[Profit]]/ProductionData[[#This Row],[Good Units]]</f>
        <v>21.628498727735369</v>
      </c>
      <c r="W156" s="11">
        <f>ProductionData[[#This Row],[Good Units]]/ProductionData[[#This Row],[Operating Minutes]]</f>
        <v>0.87919463087248317</v>
      </c>
    </row>
    <row r="157" spans="1:23">
      <c r="A157" s="7">
        <v>46221</v>
      </c>
      <c r="B157" s="8" t="s">
        <v>19</v>
      </c>
      <c r="C157" s="8" t="s">
        <v>20</v>
      </c>
      <c r="D157" s="8" t="s">
        <v>25</v>
      </c>
      <c r="E157" s="8" t="s">
        <v>24</v>
      </c>
      <c r="F157" s="9">
        <v>400</v>
      </c>
      <c r="G157" s="9">
        <v>362</v>
      </c>
      <c r="H157" s="9">
        <v>12</v>
      </c>
      <c r="I157" s="9">
        <f t="shared" si="18"/>
        <v>350</v>
      </c>
      <c r="J157" s="9">
        <v>38</v>
      </c>
      <c r="K157" s="10">
        <f t="shared" si="19"/>
        <v>7.9166666666666663E-2</v>
      </c>
      <c r="L157" s="17">
        <v>120</v>
      </c>
      <c r="M157" s="17">
        <v>30800</v>
      </c>
      <c r="N157" s="17">
        <f t="shared" si="20"/>
        <v>42000</v>
      </c>
      <c r="O157" s="17">
        <f t="shared" si="21"/>
        <v>11200</v>
      </c>
      <c r="P157" s="10">
        <f t="shared" si="22"/>
        <v>0.90500000000000003</v>
      </c>
      <c r="Q157" s="10">
        <f t="shared" si="23"/>
        <v>3.3149171270718231E-2</v>
      </c>
      <c r="R157" s="10">
        <f t="shared" si="24"/>
        <v>0.26666666666666666</v>
      </c>
      <c r="S157" s="18">
        <f t="shared" si="25"/>
        <v>88</v>
      </c>
      <c r="T157" s="8">
        <f>480-ProductionData[[#This Row],[Downtime Minutes]]</f>
        <v>442</v>
      </c>
      <c r="U157" s="11">
        <f t="shared" si="26"/>
        <v>0.8190045248868778</v>
      </c>
      <c r="V157" s="18">
        <f>ProductionData[[#This Row],[Profit]]/ProductionData[[#This Row],[Good Units]]</f>
        <v>32</v>
      </c>
      <c r="W157" s="11">
        <f>ProductionData[[#This Row],[Good Units]]/ProductionData[[#This Row],[Operating Minutes]]</f>
        <v>0.79185520361990946</v>
      </c>
    </row>
    <row r="158" spans="1:23">
      <c r="A158" s="7">
        <v>46221</v>
      </c>
      <c r="B158" s="8" t="s">
        <v>19</v>
      </c>
      <c r="C158" s="8" t="s">
        <v>27</v>
      </c>
      <c r="D158" s="8" t="s">
        <v>21</v>
      </c>
      <c r="E158" s="8" t="s">
        <v>22</v>
      </c>
      <c r="F158" s="9">
        <v>450</v>
      </c>
      <c r="G158" s="9">
        <v>400</v>
      </c>
      <c r="H158" s="9">
        <v>24</v>
      </c>
      <c r="I158" s="9">
        <f t="shared" si="18"/>
        <v>376</v>
      </c>
      <c r="J158" s="9">
        <v>63</v>
      </c>
      <c r="K158" s="10">
        <f t="shared" si="19"/>
        <v>0.13125000000000001</v>
      </c>
      <c r="L158" s="17">
        <v>100</v>
      </c>
      <c r="M158" s="17">
        <v>30800</v>
      </c>
      <c r="N158" s="17">
        <f t="shared" si="20"/>
        <v>37600</v>
      </c>
      <c r="O158" s="17">
        <f t="shared" si="21"/>
        <v>6800</v>
      </c>
      <c r="P158" s="10">
        <f t="shared" si="22"/>
        <v>0.88888888888888884</v>
      </c>
      <c r="Q158" s="10">
        <f t="shared" si="23"/>
        <v>0.06</v>
      </c>
      <c r="R158" s="10">
        <f t="shared" si="24"/>
        <v>0.18085106382978725</v>
      </c>
      <c r="S158" s="18">
        <f t="shared" si="25"/>
        <v>81.914893617021278</v>
      </c>
      <c r="T158" s="8">
        <f>480-ProductionData[[#This Row],[Downtime Minutes]]</f>
        <v>417</v>
      </c>
      <c r="U158" s="11">
        <f t="shared" si="26"/>
        <v>0.95923261390887293</v>
      </c>
      <c r="V158" s="18">
        <f>ProductionData[[#This Row],[Profit]]/ProductionData[[#This Row],[Good Units]]</f>
        <v>18.085106382978722</v>
      </c>
      <c r="W158" s="11">
        <f>ProductionData[[#This Row],[Good Units]]/ProductionData[[#This Row],[Operating Minutes]]</f>
        <v>0.90167865707434047</v>
      </c>
    </row>
    <row r="159" spans="1:23">
      <c r="A159" s="7">
        <v>46221</v>
      </c>
      <c r="B159" s="8" t="s">
        <v>19</v>
      </c>
      <c r="C159" s="8" t="s">
        <v>27</v>
      </c>
      <c r="D159" s="8" t="s">
        <v>23</v>
      </c>
      <c r="E159" s="8" t="s">
        <v>24</v>
      </c>
      <c r="F159" s="9">
        <v>400</v>
      </c>
      <c r="G159" s="9">
        <v>349</v>
      </c>
      <c r="H159" s="9">
        <v>17</v>
      </c>
      <c r="I159" s="9">
        <f t="shared" si="18"/>
        <v>332</v>
      </c>
      <c r="J159" s="9">
        <v>52</v>
      </c>
      <c r="K159" s="10">
        <f t="shared" si="19"/>
        <v>0.10833333333333334</v>
      </c>
      <c r="L159" s="17">
        <v>120</v>
      </c>
      <c r="M159" s="17">
        <v>30800</v>
      </c>
      <c r="N159" s="17">
        <f t="shared" si="20"/>
        <v>39840</v>
      </c>
      <c r="O159" s="17">
        <f t="shared" si="21"/>
        <v>9040</v>
      </c>
      <c r="P159" s="10">
        <f t="shared" si="22"/>
        <v>0.87250000000000005</v>
      </c>
      <c r="Q159" s="10">
        <f t="shared" si="23"/>
        <v>4.8710601719197708E-2</v>
      </c>
      <c r="R159" s="10">
        <f t="shared" si="24"/>
        <v>0.22690763052208834</v>
      </c>
      <c r="S159" s="18">
        <f t="shared" si="25"/>
        <v>92.771084337349393</v>
      </c>
      <c r="T159" s="8">
        <f>480-ProductionData[[#This Row],[Downtime Minutes]]</f>
        <v>428</v>
      </c>
      <c r="U159" s="11">
        <f t="shared" si="26"/>
        <v>0.81542056074766356</v>
      </c>
      <c r="V159" s="18">
        <f>ProductionData[[#This Row],[Profit]]/ProductionData[[#This Row],[Good Units]]</f>
        <v>27.228915662650603</v>
      </c>
      <c r="W159" s="11">
        <f>ProductionData[[#This Row],[Good Units]]/ProductionData[[#This Row],[Operating Minutes]]</f>
        <v>0.77570093457943923</v>
      </c>
    </row>
    <row r="160" spans="1:23">
      <c r="A160" s="7">
        <v>46221</v>
      </c>
      <c r="B160" s="8" t="s">
        <v>19</v>
      </c>
      <c r="C160" s="8" t="s">
        <v>27</v>
      </c>
      <c r="D160" s="8" t="s">
        <v>25</v>
      </c>
      <c r="E160" s="8" t="s">
        <v>26</v>
      </c>
      <c r="F160" s="9">
        <v>480</v>
      </c>
      <c r="G160" s="9">
        <v>410</v>
      </c>
      <c r="H160" s="9">
        <v>24</v>
      </c>
      <c r="I160" s="9">
        <f t="shared" si="18"/>
        <v>386</v>
      </c>
      <c r="J160" s="9">
        <v>64</v>
      </c>
      <c r="K160" s="10">
        <f t="shared" si="19"/>
        <v>0.13333333333333333</v>
      </c>
      <c r="L160" s="17">
        <v>90</v>
      </c>
      <c r="M160" s="17">
        <v>30800</v>
      </c>
      <c r="N160" s="17">
        <f t="shared" si="20"/>
        <v>34740</v>
      </c>
      <c r="O160" s="17">
        <f t="shared" si="21"/>
        <v>3940</v>
      </c>
      <c r="P160" s="10">
        <f t="shared" si="22"/>
        <v>0.85416666666666663</v>
      </c>
      <c r="Q160" s="10">
        <f t="shared" si="23"/>
        <v>5.8536585365853662E-2</v>
      </c>
      <c r="R160" s="10">
        <f t="shared" si="24"/>
        <v>0.11341393206678181</v>
      </c>
      <c r="S160" s="18">
        <f t="shared" si="25"/>
        <v>79.792746113989637</v>
      </c>
      <c r="T160" s="8">
        <f>480-ProductionData[[#This Row],[Downtime Minutes]]</f>
        <v>416</v>
      </c>
      <c r="U160" s="11">
        <f t="shared" si="26"/>
        <v>0.98557692307692313</v>
      </c>
      <c r="V160" s="18">
        <f>ProductionData[[#This Row],[Profit]]/ProductionData[[#This Row],[Good Units]]</f>
        <v>10.207253886010363</v>
      </c>
      <c r="W160" s="11">
        <f>ProductionData[[#This Row],[Good Units]]/ProductionData[[#This Row],[Operating Minutes]]</f>
        <v>0.92788461538461542</v>
      </c>
    </row>
    <row r="161" spans="1:23">
      <c r="A161" s="7">
        <v>46221</v>
      </c>
      <c r="B161" s="8" t="s">
        <v>19</v>
      </c>
      <c r="C161" s="8" t="s">
        <v>28</v>
      </c>
      <c r="D161" s="8" t="s">
        <v>21</v>
      </c>
      <c r="E161" s="8" t="s">
        <v>24</v>
      </c>
      <c r="F161" s="9">
        <v>410</v>
      </c>
      <c r="G161" s="9">
        <v>412</v>
      </c>
      <c r="H161" s="9">
        <v>9</v>
      </c>
      <c r="I161" s="9">
        <f t="shared" si="18"/>
        <v>403</v>
      </c>
      <c r="J161" s="9">
        <v>27</v>
      </c>
      <c r="K161" s="10">
        <f t="shared" si="19"/>
        <v>5.6250000000000001E-2</v>
      </c>
      <c r="L161" s="17">
        <v>120</v>
      </c>
      <c r="M161" s="17">
        <v>30800</v>
      </c>
      <c r="N161" s="17">
        <f t="shared" si="20"/>
        <v>48360</v>
      </c>
      <c r="O161" s="17">
        <f t="shared" si="21"/>
        <v>17560</v>
      </c>
      <c r="P161" s="10">
        <f t="shared" si="22"/>
        <v>1.0048780487804878</v>
      </c>
      <c r="Q161" s="10">
        <f t="shared" si="23"/>
        <v>2.1844660194174758E-2</v>
      </c>
      <c r="R161" s="10">
        <f t="shared" si="24"/>
        <v>0.36311000827129858</v>
      </c>
      <c r="S161" s="18">
        <f t="shared" si="25"/>
        <v>76.426799007444174</v>
      </c>
      <c r="T161" s="8">
        <f>480-ProductionData[[#This Row],[Downtime Minutes]]</f>
        <v>453</v>
      </c>
      <c r="U161" s="11">
        <f t="shared" si="26"/>
        <v>0.90949227373068431</v>
      </c>
      <c r="V161" s="18">
        <f>ProductionData[[#This Row],[Profit]]/ProductionData[[#This Row],[Good Units]]</f>
        <v>43.573200992555833</v>
      </c>
      <c r="W161" s="11">
        <f>ProductionData[[#This Row],[Good Units]]/ProductionData[[#This Row],[Operating Minutes]]</f>
        <v>0.88962472406181015</v>
      </c>
    </row>
    <row r="162" spans="1:23">
      <c r="A162" s="7">
        <v>46221</v>
      </c>
      <c r="B162" s="8" t="s">
        <v>19</v>
      </c>
      <c r="C162" s="8" t="s">
        <v>28</v>
      </c>
      <c r="D162" s="8" t="s">
        <v>23</v>
      </c>
      <c r="E162" s="8" t="s">
        <v>26</v>
      </c>
      <c r="F162" s="9">
        <v>510</v>
      </c>
      <c r="G162" s="9">
        <v>507</v>
      </c>
      <c r="H162" s="9">
        <v>18</v>
      </c>
      <c r="I162" s="9">
        <f t="shared" si="18"/>
        <v>489</v>
      </c>
      <c r="J162" s="9">
        <v>14</v>
      </c>
      <c r="K162" s="10">
        <f t="shared" si="19"/>
        <v>2.9166666666666667E-2</v>
      </c>
      <c r="L162" s="17">
        <v>90</v>
      </c>
      <c r="M162" s="17">
        <v>30800</v>
      </c>
      <c r="N162" s="17">
        <f t="shared" si="20"/>
        <v>44010</v>
      </c>
      <c r="O162" s="17">
        <f t="shared" si="21"/>
        <v>13210</v>
      </c>
      <c r="P162" s="10">
        <f t="shared" si="22"/>
        <v>0.99411764705882355</v>
      </c>
      <c r="Q162" s="10">
        <f t="shared" si="23"/>
        <v>3.5502958579881658E-2</v>
      </c>
      <c r="R162" s="10">
        <f t="shared" si="24"/>
        <v>0.30015905476028176</v>
      </c>
      <c r="S162" s="18">
        <f t="shared" si="25"/>
        <v>62.985685071574643</v>
      </c>
      <c r="T162" s="8">
        <f>480-ProductionData[[#This Row],[Downtime Minutes]]</f>
        <v>466</v>
      </c>
      <c r="U162" s="11">
        <f t="shared" si="26"/>
        <v>1.0879828326180256</v>
      </c>
      <c r="V162" s="18">
        <f>ProductionData[[#This Row],[Profit]]/ProductionData[[#This Row],[Good Units]]</f>
        <v>27.014314928425357</v>
      </c>
      <c r="W162" s="11">
        <f>ProductionData[[#This Row],[Good Units]]/ProductionData[[#This Row],[Operating Minutes]]</f>
        <v>1.0493562231759657</v>
      </c>
    </row>
    <row r="163" spans="1:23">
      <c r="A163" s="7">
        <v>46221</v>
      </c>
      <c r="B163" s="8" t="s">
        <v>19</v>
      </c>
      <c r="C163" s="8" t="s">
        <v>28</v>
      </c>
      <c r="D163" s="8" t="s">
        <v>25</v>
      </c>
      <c r="E163" s="8" t="s">
        <v>22</v>
      </c>
      <c r="F163" s="9">
        <v>440</v>
      </c>
      <c r="G163" s="9">
        <v>408</v>
      </c>
      <c r="H163" s="9">
        <v>22</v>
      </c>
      <c r="I163" s="9">
        <f t="shared" si="18"/>
        <v>386</v>
      </c>
      <c r="J163" s="9">
        <v>46</v>
      </c>
      <c r="K163" s="10">
        <f t="shared" si="19"/>
        <v>9.583333333333334E-2</v>
      </c>
      <c r="L163" s="17">
        <v>100</v>
      </c>
      <c r="M163" s="17">
        <v>30800</v>
      </c>
      <c r="N163" s="17">
        <f t="shared" si="20"/>
        <v>38600</v>
      </c>
      <c r="O163" s="17">
        <f t="shared" si="21"/>
        <v>7800</v>
      </c>
      <c r="P163" s="10">
        <f t="shared" si="22"/>
        <v>0.92727272727272725</v>
      </c>
      <c r="Q163" s="10">
        <f t="shared" si="23"/>
        <v>5.3921568627450983E-2</v>
      </c>
      <c r="R163" s="10">
        <f t="shared" si="24"/>
        <v>0.20207253886010362</v>
      </c>
      <c r="S163" s="18">
        <f t="shared" si="25"/>
        <v>79.792746113989637</v>
      </c>
      <c r="T163" s="8">
        <f>480-ProductionData[[#This Row],[Downtime Minutes]]</f>
        <v>434</v>
      </c>
      <c r="U163" s="11">
        <f t="shared" si="26"/>
        <v>0.94009216589861755</v>
      </c>
      <c r="V163" s="18">
        <f>ProductionData[[#This Row],[Profit]]/ProductionData[[#This Row],[Good Units]]</f>
        <v>20.207253886010363</v>
      </c>
      <c r="W163" s="11">
        <f>ProductionData[[#This Row],[Good Units]]/ProductionData[[#This Row],[Operating Minutes]]</f>
        <v>0.88940092165898621</v>
      </c>
    </row>
    <row r="164" spans="1:23">
      <c r="A164" s="7">
        <v>46222</v>
      </c>
      <c r="B164" s="8" t="s">
        <v>19</v>
      </c>
      <c r="C164" s="8" t="s">
        <v>20</v>
      </c>
      <c r="D164" s="8" t="s">
        <v>21</v>
      </c>
      <c r="E164" s="8" t="s">
        <v>22</v>
      </c>
      <c r="F164" s="9">
        <v>450</v>
      </c>
      <c r="G164" s="9">
        <v>431</v>
      </c>
      <c r="H164" s="9">
        <v>18</v>
      </c>
      <c r="I164" s="9">
        <f t="shared" si="18"/>
        <v>413</v>
      </c>
      <c r="J164" s="9">
        <v>35</v>
      </c>
      <c r="K164" s="10">
        <f t="shared" si="19"/>
        <v>7.2916666666666671E-2</v>
      </c>
      <c r="L164" s="17">
        <v>100</v>
      </c>
      <c r="M164" s="17">
        <v>30800</v>
      </c>
      <c r="N164" s="17">
        <f t="shared" si="20"/>
        <v>41300</v>
      </c>
      <c r="O164" s="17">
        <f t="shared" si="21"/>
        <v>10500</v>
      </c>
      <c r="P164" s="10">
        <f t="shared" si="22"/>
        <v>0.95777777777777773</v>
      </c>
      <c r="Q164" s="10">
        <f t="shared" si="23"/>
        <v>4.1763341067285381E-2</v>
      </c>
      <c r="R164" s="10">
        <f t="shared" si="24"/>
        <v>0.25423728813559321</v>
      </c>
      <c r="S164" s="18">
        <f t="shared" si="25"/>
        <v>74.576271186440678</v>
      </c>
      <c r="T164" s="8">
        <f>480-ProductionData[[#This Row],[Downtime Minutes]]</f>
        <v>445</v>
      </c>
      <c r="U164" s="11">
        <f t="shared" si="26"/>
        <v>0.96853932584269664</v>
      </c>
      <c r="V164" s="18">
        <f>ProductionData[[#This Row],[Profit]]/ProductionData[[#This Row],[Good Units]]</f>
        <v>25.423728813559322</v>
      </c>
      <c r="W164" s="11">
        <f>ProductionData[[#This Row],[Good Units]]/ProductionData[[#This Row],[Operating Minutes]]</f>
        <v>0.92808988764044942</v>
      </c>
    </row>
    <row r="165" spans="1:23">
      <c r="A165" s="7">
        <v>46222</v>
      </c>
      <c r="B165" s="8" t="s">
        <v>19</v>
      </c>
      <c r="C165" s="8" t="s">
        <v>20</v>
      </c>
      <c r="D165" s="8" t="s">
        <v>23</v>
      </c>
      <c r="E165" s="8" t="s">
        <v>24</v>
      </c>
      <c r="F165" s="9">
        <v>400</v>
      </c>
      <c r="G165" s="9">
        <v>380</v>
      </c>
      <c r="H165" s="9">
        <v>10</v>
      </c>
      <c r="I165" s="9">
        <f t="shared" si="18"/>
        <v>370</v>
      </c>
      <c r="J165" s="9">
        <v>26</v>
      </c>
      <c r="K165" s="10">
        <f t="shared" si="19"/>
        <v>5.4166666666666669E-2</v>
      </c>
      <c r="L165" s="17">
        <v>120</v>
      </c>
      <c r="M165" s="17">
        <v>30800</v>
      </c>
      <c r="N165" s="17">
        <f t="shared" si="20"/>
        <v>44400</v>
      </c>
      <c r="O165" s="17">
        <f t="shared" si="21"/>
        <v>13600</v>
      </c>
      <c r="P165" s="10">
        <f t="shared" si="22"/>
        <v>0.95</v>
      </c>
      <c r="Q165" s="10">
        <f t="shared" si="23"/>
        <v>2.6315789473684209E-2</v>
      </c>
      <c r="R165" s="10">
        <f t="shared" si="24"/>
        <v>0.30630630630630629</v>
      </c>
      <c r="S165" s="18">
        <f t="shared" si="25"/>
        <v>83.243243243243242</v>
      </c>
      <c r="T165" s="8">
        <f>480-ProductionData[[#This Row],[Downtime Minutes]]</f>
        <v>454</v>
      </c>
      <c r="U165" s="11">
        <f t="shared" si="26"/>
        <v>0.83700440528634357</v>
      </c>
      <c r="V165" s="18">
        <f>ProductionData[[#This Row],[Profit]]/ProductionData[[#This Row],[Good Units]]</f>
        <v>36.756756756756758</v>
      </c>
      <c r="W165" s="11">
        <f>ProductionData[[#This Row],[Good Units]]/ProductionData[[#This Row],[Operating Minutes]]</f>
        <v>0.81497797356828194</v>
      </c>
    </row>
    <row r="166" spans="1:23">
      <c r="A166" s="7">
        <v>46222</v>
      </c>
      <c r="B166" s="8" t="s">
        <v>19</v>
      </c>
      <c r="C166" s="8" t="s">
        <v>20</v>
      </c>
      <c r="D166" s="8" t="s">
        <v>25</v>
      </c>
      <c r="E166" s="8" t="s">
        <v>26</v>
      </c>
      <c r="F166" s="9">
        <v>510</v>
      </c>
      <c r="G166" s="9">
        <v>472</v>
      </c>
      <c r="H166" s="9">
        <v>18</v>
      </c>
      <c r="I166" s="9">
        <f t="shared" si="18"/>
        <v>454</v>
      </c>
      <c r="J166" s="9">
        <v>33</v>
      </c>
      <c r="K166" s="10">
        <f t="shared" si="19"/>
        <v>6.8750000000000006E-2</v>
      </c>
      <c r="L166" s="17">
        <v>90</v>
      </c>
      <c r="M166" s="17">
        <v>30800</v>
      </c>
      <c r="N166" s="17">
        <f t="shared" si="20"/>
        <v>40860</v>
      </c>
      <c r="O166" s="17">
        <f t="shared" si="21"/>
        <v>10060</v>
      </c>
      <c r="P166" s="10">
        <f t="shared" si="22"/>
        <v>0.92549019607843142</v>
      </c>
      <c r="Q166" s="10">
        <f t="shared" si="23"/>
        <v>3.8135593220338986E-2</v>
      </c>
      <c r="R166" s="10">
        <f t="shared" si="24"/>
        <v>0.24620655898188937</v>
      </c>
      <c r="S166" s="18">
        <f t="shared" si="25"/>
        <v>67.841409691629963</v>
      </c>
      <c r="T166" s="8">
        <f>480-ProductionData[[#This Row],[Downtime Minutes]]</f>
        <v>447</v>
      </c>
      <c r="U166" s="11">
        <f t="shared" si="26"/>
        <v>1.0559284116331096</v>
      </c>
      <c r="V166" s="18">
        <f>ProductionData[[#This Row],[Profit]]/ProductionData[[#This Row],[Good Units]]</f>
        <v>22.158590308370044</v>
      </c>
      <c r="W166" s="11">
        <f>ProductionData[[#This Row],[Good Units]]/ProductionData[[#This Row],[Operating Minutes]]</f>
        <v>1.0156599552572707</v>
      </c>
    </row>
    <row r="167" spans="1:23">
      <c r="A167" s="7">
        <v>46222</v>
      </c>
      <c r="B167" s="8" t="s">
        <v>19</v>
      </c>
      <c r="C167" s="8" t="s">
        <v>27</v>
      </c>
      <c r="D167" s="8" t="s">
        <v>21</v>
      </c>
      <c r="E167" s="8" t="s">
        <v>24</v>
      </c>
      <c r="F167" s="9">
        <v>410</v>
      </c>
      <c r="G167" s="9">
        <v>375</v>
      </c>
      <c r="H167" s="9">
        <v>20</v>
      </c>
      <c r="I167" s="9">
        <f t="shared" si="18"/>
        <v>355</v>
      </c>
      <c r="J167" s="9">
        <v>60</v>
      </c>
      <c r="K167" s="10">
        <f t="shared" si="19"/>
        <v>0.125</v>
      </c>
      <c r="L167" s="17">
        <v>120</v>
      </c>
      <c r="M167" s="17">
        <v>30800</v>
      </c>
      <c r="N167" s="17">
        <f t="shared" si="20"/>
        <v>42600</v>
      </c>
      <c r="O167" s="17">
        <f t="shared" si="21"/>
        <v>11800</v>
      </c>
      <c r="P167" s="10">
        <f t="shared" si="22"/>
        <v>0.91463414634146345</v>
      </c>
      <c r="Q167" s="10">
        <f t="shared" si="23"/>
        <v>5.3333333333333337E-2</v>
      </c>
      <c r="R167" s="10">
        <f t="shared" si="24"/>
        <v>0.27699530516431925</v>
      </c>
      <c r="S167" s="18">
        <f t="shared" si="25"/>
        <v>86.760563380281695</v>
      </c>
      <c r="T167" s="8">
        <f>480-ProductionData[[#This Row],[Downtime Minutes]]</f>
        <v>420</v>
      </c>
      <c r="U167" s="11">
        <f t="shared" si="26"/>
        <v>0.8928571428571429</v>
      </c>
      <c r="V167" s="18">
        <f>ProductionData[[#This Row],[Profit]]/ProductionData[[#This Row],[Good Units]]</f>
        <v>33.239436619718312</v>
      </c>
      <c r="W167" s="11">
        <f>ProductionData[[#This Row],[Good Units]]/ProductionData[[#This Row],[Operating Minutes]]</f>
        <v>0.84523809523809523</v>
      </c>
    </row>
    <row r="168" spans="1:23">
      <c r="A168" s="7">
        <v>46222</v>
      </c>
      <c r="B168" s="8" t="s">
        <v>19</v>
      </c>
      <c r="C168" s="8" t="s">
        <v>27</v>
      </c>
      <c r="D168" s="8" t="s">
        <v>23</v>
      </c>
      <c r="E168" s="8" t="s">
        <v>26</v>
      </c>
      <c r="F168" s="9">
        <v>510</v>
      </c>
      <c r="G168" s="9">
        <v>461</v>
      </c>
      <c r="H168" s="9">
        <v>27</v>
      </c>
      <c r="I168" s="9">
        <f t="shared" si="18"/>
        <v>434</v>
      </c>
      <c r="J168" s="9">
        <v>43</v>
      </c>
      <c r="K168" s="10">
        <f t="shared" si="19"/>
        <v>8.9583333333333334E-2</v>
      </c>
      <c r="L168" s="17">
        <v>90</v>
      </c>
      <c r="M168" s="17">
        <v>30800</v>
      </c>
      <c r="N168" s="17">
        <f t="shared" si="20"/>
        <v>39060</v>
      </c>
      <c r="O168" s="17">
        <f t="shared" si="21"/>
        <v>8260</v>
      </c>
      <c r="P168" s="10">
        <f t="shared" si="22"/>
        <v>0.90392156862745099</v>
      </c>
      <c r="Q168" s="10">
        <f t="shared" si="23"/>
        <v>5.8568329718004339E-2</v>
      </c>
      <c r="R168" s="10">
        <f t="shared" si="24"/>
        <v>0.21146953405017921</v>
      </c>
      <c r="S168" s="18">
        <f t="shared" si="25"/>
        <v>70.967741935483872</v>
      </c>
      <c r="T168" s="8">
        <f>480-ProductionData[[#This Row],[Downtime Minutes]]</f>
        <v>437</v>
      </c>
      <c r="U168" s="11">
        <f t="shared" si="26"/>
        <v>1.0549199084668193</v>
      </c>
      <c r="V168" s="18">
        <f>ProductionData[[#This Row],[Profit]]/ProductionData[[#This Row],[Good Units]]</f>
        <v>19.032258064516128</v>
      </c>
      <c r="W168" s="11">
        <f>ProductionData[[#This Row],[Good Units]]/ProductionData[[#This Row],[Operating Minutes]]</f>
        <v>0.99313501144164762</v>
      </c>
    </row>
    <row r="169" spans="1:23">
      <c r="A169" s="7">
        <v>46222</v>
      </c>
      <c r="B169" s="8" t="s">
        <v>19</v>
      </c>
      <c r="C169" s="8" t="s">
        <v>27</v>
      </c>
      <c r="D169" s="8" t="s">
        <v>25</v>
      </c>
      <c r="E169" s="8" t="s">
        <v>22</v>
      </c>
      <c r="F169" s="9">
        <v>450</v>
      </c>
      <c r="G169" s="9">
        <v>390</v>
      </c>
      <c r="H169" s="9">
        <v>28</v>
      </c>
      <c r="I169" s="9">
        <f t="shared" si="18"/>
        <v>362</v>
      </c>
      <c r="J169" s="9">
        <v>72</v>
      </c>
      <c r="K169" s="10">
        <f t="shared" si="19"/>
        <v>0.15</v>
      </c>
      <c r="L169" s="17">
        <v>100</v>
      </c>
      <c r="M169" s="17">
        <v>30800</v>
      </c>
      <c r="N169" s="17">
        <f t="shared" si="20"/>
        <v>36200</v>
      </c>
      <c r="O169" s="17">
        <f t="shared" si="21"/>
        <v>5400</v>
      </c>
      <c r="P169" s="10">
        <f t="shared" si="22"/>
        <v>0.8666666666666667</v>
      </c>
      <c r="Q169" s="10">
        <f t="shared" si="23"/>
        <v>7.179487179487179E-2</v>
      </c>
      <c r="R169" s="10">
        <f t="shared" si="24"/>
        <v>0.14917127071823205</v>
      </c>
      <c r="S169" s="18">
        <f t="shared" si="25"/>
        <v>85.082872928176798</v>
      </c>
      <c r="T169" s="8">
        <f>480-ProductionData[[#This Row],[Downtime Minutes]]</f>
        <v>408</v>
      </c>
      <c r="U169" s="11">
        <f t="shared" si="26"/>
        <v>0.95588235294117652</v>
      </c>
      <c r="V169" s="18">
        <f>ProductionData[[#This Row],[Profit]]/ProductionData[[#This Row],[Good Units]]</f>
        <v>14.917127071823204</v>
      </c>
      <c r="W169" s="11">
        <f>ProductionData[[#This Row],[Good Units]]/ProductionData[[#This Row],[Operating Minutes]]</f>
        <v>0.88725490196078427</v>
      </c>
    </row>
    <row r="170" spans="1:23">
      <c r="A170" s="7">
        <v>46222</v>
      </c>
      <c r="B170" s="8" t="s">
        <v>19</v>
      </c>
      <c r="C170" s="8" t="s">
        <v>28</v>
      </c>
      <c r="D170" s="8" t="s">
        <v>21</v>
      </c>
      <c r="E170" s="8" t="s">
        <v>26</v>
      </c>
      <c r="F170" s="9">
        <v>510</v>
      </c>
      <c r="G170" s="9">
        <v>500</v>
      </c>
      <c r="H170" s="9">
        <v>10</v>
      </c>
      <c r="I170" s="9">
        <f t="shared" si="18"/>
        <v>490</v>
      </c>
      <c r="J170" s="9">
        <v>16</v>
      </c>
      <c r="K170" s="10">
        <f t="shared" si="19"/>
        <v>3.3333333333333333E-2</v>
      </c>
      <c r="L170" s="17">
        <v>90</v>
      </c>
      <c r="M170" s="17">
        <v>30800</v>
      </c>
      <c r="N170" s="17">
        <f t="shared" si="20"/>
        <v>44100</v>
      </c>
      <c r="O170" s="17">
        <f t="shared" si="21"/>
        <v>13300</v>
      </c>
      <c r="P170" s="10">
        <f t="shared" si="22"/>
        <v>0.98039215686274506</v>
      </c>
      <c r="Q170" s="10">
        <f t="shared" si="23"/>
        <v>0.02</v>
      </c>
      <c r="R170" s="10">
        <f t="shared" si="24"/>
        <v>0.30158730158730157</v>
      </c>
      <c r="S170" s="18">
        <f t="shared" si="25"/>
        <v>62.857142857142854</v>
      </c>
      <c r="T170" s="8">
        <f>480-ProductionData[[#This Row],[Downtime Minutes]]</f>
        <v>464</v>
      </c>
      <c r="U170" s="11">
        <f t="shared" si="26"/>
        <v>1.0775862068965518</v>
      </c>
      <c r="V170" s="18">
        <f>ProductionData[[#This Row],[Profit]]/ProductionData[[#This Row],[Good Units]]</f>
        <v>27.142857142857142</v>
      </c>
      <c r="W170" s="11">
        <f>ProductionData[[#This Row],[Good Units]]/ProductionData[[#This Row],[Operating Minutes]]</f>
        <v>1.0560344827586208</v>
      </c>
    </row>
    <row r="171" spans="1:23">
      <c r="A171" s="7">
        <v>46222</v>
      </c>
      <c r="B171" s="8" t="s">
        <v>19</v>
      </c>
      <c r="C171" s="8" t="s">
        <v>28</v>
      </c>
      <c r="D171" s="8" t="s">
        <v>23</v>
      </c>
      <c r="E171" s="8" t="s">
        <v>22</v>
      </c>
      <c r="F171" s="9">
        <v>440</v>
      </c>
      <c r="G171" s="9">
        <v>431</v>
      </c>
      <c r="H171" s="9">
        <v>21</v>
      </c>
      <c r="I171" s="9">
        <f t="shared" si="18"/>
        <v>410</v>
      </c>
      <c r="J171" s="9">
        <v>32</v>
      </c>
      <c r="K171" s="10">
        <f t="shared" si="19"/>
        <v>6.6666666666666666E-2</v>
      </c>
      <c r="L171" s="17">
        <v>100</v>
      </c>
      <c r="M171" s="17">
        <v>30800</v>
      </c>
      <c r="N171" s="17">
        <f t="shared" si="20"/>
        <v>41000</v>
      </c>
      <c r="O171" s="17">
        <f t="shared" si="21"/>
        <v>10200</v>
      </c>
      <c r="P171" s="10">
        <f t="shared" si="22"/>
        <v>0.9795454545454545</v>
      </c>
      <c r="Q171" s="10">
        <f t="shared" si="23"/>
        <v>4.8723897911832945E-2</v>
      </c>
      <c r="R171" s="10">
        <f t="shared" si="24"/>
        <v>0.24878048780487805</v>
      </c>
      <c r="S171" s="18">
        <f t="shared" si="25"/>
        <v>75.121951219512198</v>
      </c>
      <c r="T171" s="8">
        <f>480-ProductionData[[#This Row],[Downtime Minutes]]</f>
        <v>448</v>
      </c>
      <c r="U171" s="11">
        <f t="shared" si="26"/>
        <v>0.9620535714285714</v>
      </c>
      <c r="V171" s="18">
        <f>ProductionData[[#This Row],[Profit]]/ProductionData[[#This Row],[Good Units]]</f>
        <v>24.878048780487806</v>
      </c>
      <c r="W171" s="11">
        <f>ProductionData[[#This Row],[Good Units]]/ProductionData[[#This Row],[Operating Minutes]]</f>
        <v>0.9151785714285714</v>
      </c>
    </row>
    <row r="172" spans="1:23">
      <c r="A172" s="7">
        <v>46222</v>
      </c>
      <c r="B172" s="8" t="s">
        <v>19</v>
      </c>
      <c r="C172" s="8" t="s">
        <v>28</v>
      </c>
      <c r="D172" s="8" t="s">
        <v>25</v>
      </c>
      <c r="E172" s="8" t="s">
        <v>24</v>
      </c>
      <c r="F172" s="9">
        <v>410</v>
      </c>
      <c r="G172" s="9">
        <v>380</v>
      </c>
      <c r="H172" s="9">
        <v>16</v>
      </c>
      <c r="I172" s="9">
        <f t="shared" si="18"/>
        <v>364</v>
      </c>
      <c r="J172" s="9">
        <v>47</v>
      </c>
      <c r="K172" s="10">
        <f t="shared" si="19"/>
        <v>9.7916666666666666E-2</v>
      </c>
      <c r="L172" s="17">
        <v>120</v>
      </c>
      <c r="M172" s="17">
        <v>30800</v>
      </c>
      <c r="N172" s="17">
        <f t="shared" si="20"/>
        <v>43680</v>
      </c>
      <c r="O172" s="17">
        <f t="shared" si="21"/>
        <v>12880</v>
      </c>
      <c r="P172" s="10">
        <f t="shared" si="22"/>
        <v>0.92682926829268297</v>
      </c>
      <c r="Q172" s="10">
        <f t="shared" si="23"/>
        <v>4.2105263157894736E-2</v>
      </c>
      <c r="R172" s="10">
        <f t="shared" si="24"/>
        <v>0.29487179487179488</v>
      </c>
      <c r="S172" s="18">
        <f t="shared" si="25"/>
        <v>84.615384615384613</v>
      </c>
      <c r="T172" s="8">
        <f>480-ProductionData[[#This Row],[Downtime Minutes]]</f>
        <v>433</v>
      </c>
      <c r="U172" s="11">
        <f t="shared" si="26"/>
        <v>0.87759815242494221</v>
      </c>
      <c r="V172" s="18">
        <f>ProductionData[[#This Row],[Profit]]/ProductionData[[#This Row],[Good Units]]</f>
        <v>35.384615384615387</v>
      </c>
      <c r="W172" s="11">
        <f>ProductionData[[#This Row],[Good Units]]/ProductionData[[#This Row],[Operating Minutes]]</f>
        <v>0.84064665127020788</v>
      </c>
    </row>
    <row r="173" spans="1:23">
      <c r="A173" s="7">
        <v>46223</v>
      </c>
      <c r="B173" s="8" t="s">
        <v>19</v>
      </c>
      <c r="C173" s="8" t="s">
        <v>20</v>
      </c>
      <c r="D173" s="8" t="s">
        <v>21</v>
      </c>
      <c r="E173" s="8" t="s">
        <v>24</v>
      </c>
      <c r="F173" s="9">
        <v>390</v>
      </c>
      <c r="G173" s="9">
        <v>365</v>
      </c>
      <c r="H173" s="9">
        <v>9</v>
      </c>
      <c r="I173" s="9">
        <f t="shared" si="18"/>
        <v>356</v>
      </c>
      <c r="J173" s="9">
        <v>21</v>
      </c>
      <c r="K173" s="10">
        <f t="shared" si="19"/>
        <v>4.3749999999999997E-2</v>
      </c>
      <c r="L173" s="17">
        <v>120</v>
      </c>
      <c r="M173" s="17">
        <v>30800</v>
      </c>
      <c r="N173" s="17">
        <f t="shared" si="20"/>
        <v>42720</v>
      </c>
      <c r="O173" s="17">
        <f t="shared" si="21"/>
        <v>11920</v>
      </c>
      <c r="P173" s="10">
        <f t="shared" si="22"/>
        <v>0.9358974358974359</v>
      </c>
      <c r="Q173" s="10">
        <f t="shared" si="23"/>
        <v>2.4657534246575342E-2</v>
      </c>
      <c r="R173" s="10">
        <f t="shared" si="24"/>
        <v>0.27902621722846443</v>
      </c>
      <c r="S173" s="18">
        <f t="shared" si="25"/>
        <v>86.516853932584269</v>
      </c>
      <c r="T173" s="8">
        <f>480-ProductionData[[#This Row],[Downtime Minutes]]</f>
        <v>459</v>
      </c>
      <c r="U173" s="11">
        <f t="shared" si="26"/>
        <v>0.79520697167755994</v>
      </c>
      <c r="V173" s="18">
        <f>ProductionData[[#This Row],[Profit]]/ProductionData[[#This Row],[Good Units]]</f>
        <v>33.483146067415731</v>
      </c>
      <c r="W173" s="11">
        <f>ProductionData[[#This Row],[Good Units]]/ProductionData[[#This Row],[Operating Minutes]]</f>
        <v>0.77559912854030499</v>
      </c>
    </row>
    <row r="174" spans="1:23">
      <c r="A174" s="7">
        <v>46223</v>
      </c>
      <c r="B174" s="8" t="s">
        <v>19</v>
      </c>
      <c r="C174" s="8" t="s">
        <v>20</v>
      </c>
      <c r="D174" s="8" t="s">
        <v>23</v>
      </c>
      <c r="E174" s="8" t="s">
        <v>26</v>
      </c>
      <c r="F174" s="9">
        <v>510</v>
      </c>
      <c r="G174" s="9">
        <v>494</v>
      </c>
      <c r="H174" s="9">
        <v>14</v>
      </c>
      <c r="I174" s="9">
        <f t="shared" si="18"/>
        <v>480</v>
      </c>
      <c r="J174" s="9">
        <v>37</v>
      </c>
      <c r="K174" s="10">
        <f t="shared" si="19"/>
        <v>7.7083333333333337E-2</v>
      </c>
      <c r="L174" s="17">
        <v>90</v>
      </c>
      <c r="M174" s="17">
        <v>30800</v>
      </c>
      <c r="N174" s="17">
        <f t="shared" si="20"/>
        <v>43200</v>
      </c>
      <c r="O174" s="17">
        <f t="shared" si="21"/>
        <v>12400</v>
      </c>
      <c r="P174" s="10">
        <f t="shared" si="22"/>
        <v>0.96862745098039216</v>
      </c>
      <c r="Q174" s="10">
        <f t="shared" si="23"/>
        <v>2.8340080971659919E-2</v>
      </c>
      <c r="R174" s="10">
        <f t="shared" si="24"/>
        <v>0.28703703703703703</v>
      </c>
      <c r="S174" s="18">
        <f t="shared" si="25"/>
        <v>64.166666666666671</v>
      </c>
      <c r="T174" s="8">
        <f>480-ProductionData[[#This Row],[Downtime Minutes]]</f>
        <v>443</v>
      </c>
      <c r="U174" s="11">
        <f t="shared" si="26"/>
        <v>1.1151241534988714</v>
      </c>
      <c r="V174" s="18">
        <f>ProductionData[[#This Row],[Profit]]/ProductionData[[#This Row],[Good Units]]</f>
        <v>25.833333333333332</v>
      </c>
      <c r="W174" s="11">
        <f>ProductionData[[#This Row],[Good Units]]/ProductionData[[#This Row],[Operating Minutes]]</f>
        <v>1.0835214446952597</v>
      </c>
    </row>
    <row r="175" spans="1:23">
      <c r="A175" s="7">
        <v>46223</v>
      </c>
      <c r="B175" s="8" t="s">
        <v>19</v>
      </c>
      <c r="C175" s="8" t="s">
        <v>20</v>
      </c>
      <c r="D175" s="8" t="s">
        <v>25</v>
      </c>
      <c r="E175" s="8" t="s">
        <v>22</v>
      </c>
      <c r="F175" s="9">
        <v>450</v>
      </c>
      <c r="G175" s="9">
        <v>406</v>
      </c>
      <c r="H175" s="9">
        <v>22</v>
      </c>
      <c r="I175" s="9">
        <f t="shared" si="18"/>
        <v>384</v>
      </c>
      <c r="J175" s="9">
        <v>60</v>
      </c>
      <c r="K175" s="10">
        <f t="shared" si="19"/>
        <v>0.125</v>
      </c>
      <c r="L175" s="17">
        <v>100</v>
      </c>
      <c r="M175" s="17">
        <v>30800</v>
      </c>
      <c r="N175" s="17">
        <f t="shared" si="20"/>
        <v>38400</v>
      </c>
      <c r="O175" s="17">
        <f t="shared" si="21"/>
        <v>7600</v>
      </c>
      <c r="P175" s="10">
        <f t="shared" si="22"/>
        <v>0.90222222222222226</v>
      </c>
      <c r="Q175" s="10">
        <f t="shared" si="23"/>
        <v>5.4187192118226604E-2</v>
      </c>
      <c r="R175" s="10">
        <f t="shared" si="24"/>
        <v>0.19791666666666666</v>
      </c>
      <c r="S175" s="18">
        <f t="shared" si="25"/>
        <v>80.208333333333329</v>
      </c>
      <c r="T175" s="8">
        <f>480-ProductionData[[#This Row],[Downtime Minutes]]</f>
        <v>420</v>
      </c>
      <c r="U175" s="11">
        <f t="shared" si="26"/>
        <v>0.96666666666666667</v>
      </c>
      <c r="V175" s="18">
        <f>ProductionData[[#This Row],[Profit]]/ProductionData[[#This Row],[Good Units]]</f>
        <v>19.791666666666668</v>
      </c>
      <c r="W175" s="11">
        <f>ProductionData[[#This Row],[Good Units]]/ProductionData[[#This Row],[Operating Minutes]]</f>
        <v>0.91428571428571426</v>
      </c>
    </row>
    <row r="176" spans="1:23">
      <c r="A176" s="7">
        <v>46223</v>
      </c>
      <c r="B176" s="8" t="s">
        <v>19</v>
      </c>
      <c r="C176" s="8" t="s">
        <v>27</v>
      </c>
      <c r="D176" s="8" t="s">
        <v>21</v>
      </c>
      <c r="E176" s="8" t="s">
        <v>26</v>
      </c>
      <c r="F176" s="9">
        <v>510</v>
      </c>
      <c r="G176" s="9">
        <v>472</v>
      </c>
      <c r="H176" s="9">
        <v>21</v>
      </c>
      <c r="I176" s="9">
        <f t="shared" si="18"/>
        <v>451</v>
      </c>
      <c r="J176" s="9">
        <v>48</v>
      </c>
      <c r="K176" s="10">
        <f t="shared" si="19"/>
        <v>0.1</v>
      </c>
      <c r="L176" s="17">
        <v>90</v>
      </c>
      <c r="M176" s="17">
        <v>30800</v>
      </c>
      <c r="N176" s="17">
        <f t="shared" si="20"/>
        <v>40590</v>
      </c>
      <c r="O176" s="17">
        <f t="shared" si="21"/>
        <v>9790</v>
      </c>
      <c r="P176" s="10">
        <f t="shared" si="22"/>
        <v>0.92549019607843142</v>
      </c>
      <c r="Q176" s="10">
        <f t="shared" si="23"/>
        <v>4.4491525423728813E-2</v>
      </c>
      <c r="R176" s="10">
        <f t="shared" si="24"/>
        <v>0.24119241192411925</v>
      </c>
      <c r="S176" s="18">
        <f t="shared" si="25"/>
        <v>68.292682926829272</v>
      </c>
      <c r="T176" s="8">
        <f>480-ProductionData[[#This Row],[Downtime Minutes]]</f>
        <v>432</v>
      </c>
      <c r="U176" s="11">
        <f t="shared" si="26"/>
        <v>1.0925925925925926</v>
      </c>
      <c r="V176" s="18">
        <f>ProductionData[[#This Row],[Profit]]/ProductionData[[#This Row],[Good Units]]</f>
        <v>21.707317073170731</v>
      </c>
      <c r="W176" s="11">
        <f>ProductionData[[#This Row],[Good Units]]/ProductionData[[#This Row],[Operating Minutes]]</f>
        <v>1.0439814814814814</v>
      </c>
    </row>
    <row r="177" spans="1:23">
      <c r="A177" s="7">
        <v>46223</v>
      </c>
      <c r="B177" s="8" t="s">
        <v>19</v>
      </c>
      <c r="C177" s="8" t="s">
        <v>27</v>
      </c>
      <c r="D177" s="8" t="s">
        <v>23</v>
      </c>
      <c r="E177" s="8" t="s">
        <v>22</v>
      </c>
      <c r="F177" s="9">
        <v>470</v>
      </c>
      <c r="G177" s="9">
        <v>421</v>
      </c>
      <c r="H177" s="9">
        <v>30</v>
      </c>
      <c r="I177" s="9">
        <f t="shared" si="18"/>
        <v>391</v>
      </c>
      <c r="J177" s="9">
        <v>51</v>
      </c>
      <c r="K177" s="10">
        <f t="shared" si="19"/>
        <v>0.10625</v>
      </c>
      <c r="L177" s="17">
        <v>100</v>
      </c>
      <c r="M177" s="17">
        <v>30800</v>
      </c>
      <c r="N177" s="17">
        <f t="shared" si="20"/>
        <v>39100</v>
      </c>
      <c r="O177" s="17">
        <f t="shared" si="21"/>
        <v>8300</v>
      </c>
      <c r="P177" s="10">
        <f t="shared" si="22"/>
        <v>0.89574468085106385</v>
      </c>
      <c r="Q177" s="10">
        <f t="shared" si="23"/>
        <v>7.1258907363420429E-2</v>
      </c>
      <c r="R177" s="10">
        <f t="shared" si="24"/>
        <v>0.21227621483375958</v>
      </c>
      <c r="S177" s="18">
        <f t="shared" si="25"/>
        <v>78.772378516624045</v>
      </c>
      <c r="T177" s="8">
        <f>480-ProductionData[[#This Row],[Downtime Minutes]]</f>
        <v>429</v>
      </c>
      <c r="U177" s="11">
        <f t="shared" si="26"/>
        <v>0.98135198135198132</v>
      </c>
      <c r="V177" s="18">
        <f>ProductionData[[#This Row],[Profit]]/ProductionData[[#This Row],[Good Units]]</f>
        <v>21.227621483375959</v>
      </c>
      <c r="W177" s="11">
        <f>ProductionData[[#This Row],[Good Units]]/ProductionData[[#This Row],[Operating Minutes]]</f>
        <v>0.91142191142191142</v>
      </c>
    </row>
    <row r="178" spans="1:23">
      <c r="A178" s="7">
        <v>46223</v>
      </c>
      <c r="B178" s="8" t="s">
        <v>19</v>
      </c>
      <c r="C178" s="8" t="s">
        <v>27</v>
      </c>
      <c r="D178" s="8" t="s">
        <v>25</v>
      </c>
      <c r="E178" s="8" t="s">
        <v>24</v>
      </c>
      <c r="F178" s="9">
        <v>420</v>
      </c>
      <c r="G178" s="9">
        <v>368</v>
      </c>
      <c r="H178" s="9">
        <v>20</v>
      </c>
      <c r="I178" s="9">
        <f t="shared" si="18"/>
        <v>348</v>
      </c>
      <c r="J178" s="9">
        <v>54</v>
      </c>
      <c r="K178" s="10">
        <f t="shared" si="19"/>
        <v>0.1125</v>
      </c>
      <c r="L178" s="17">
        <v>120</v>
      </c>
      <c r="M178" s="17">
        <v>30800</v>
      </c>
      <c r="N178" s="17">
        <f t="shared" si="20"/>
        <v>41760</v>
      </c>
      <c r="O178" s="17">
        <f t="shared" si="21"/>
        <v>10960</v>
      </c>
      <c r="P178" s="10">
        <f t="shared" si="22"/>
        <v>0.87619047619047619</v>
      </c>
      <c r="Q178" s="10">
        <f t="shared" si="23"/>
        <v>5.434782608695652E-2</v>
      </c>
      <c r="R178" s="10">
        <f t="shared" si="24"/>
        <v>0.26245210727969348</v>
      </c>
      <c r="S178" s="18">
        <f t="shared" si="25"/>
        <v>88.505747126436788</v>
      </c>
      <c r="T178" s="8">
        <f>480-ProductionData[[#This Row],[Downtime Minutes]]</f>
        <v>426</v>
      </c>
      <c r="U178" s="11">
        <f t="shared" si="26"/>
        <v>0.863849765258216</v>
      </c>
      <c r="V178" s="18">
        <f>ProductionData[[#This Row],[Profit]]/ProductionData[[#This Row],[Good Units]]</f>
        <v>31.494252873563219</v>
      </c>
      <c r="W178" s="11">
        <f>ProductionData[[#This Row],[Good Units]]/ProductionData[[#This Row],[Operating Minutes]]</f>
        <v>0.81690140845070425</v>
      </c>
    </row>
    <row r="179" spans="1:23">
      <c r="A179" s="7">
        <v>46223</v>
      </c>
      <c r="B179" s="8" t="s">
        <v>19</v>
      </c>
      <c r="C179" s="8" t="s">
        <v>28</v>
      </c>
      <c r="D179" s="8" t="s">
        <v>21</v>
      </c>
      <c r="E179" s="8" t="s">
        <v>22</v>
      </c>
      <c r="F179" s="9">
        <v>450</v>
      </c>
      <c r="G179" s="9">
        <v>442</v>
      </c>
      <c r="H179" s="9">
        <v>14</v>
      </c>
      <c r="I179" s="9">
        <f t="shared" si="18"/>
        <v>428</v>
      </c>
      <c r="J179" s="9">
        <v>18</v>
      </c>
      <c r="K179" s="10">
        <f t="shared" si="19"/>
        <v>3.7499999999999999E-2</v>
      </c>
      <c r="L179" s="17">
        <v>100</v>
      </c>
      <c r="M179" s="17">
        <v>30800</v>
      </c>
      <c r="N179" s="17">
        <f t="shared" si="20"/>
        <v>42800</v>
      </c>
      <c r="O179" s="17">
        <f t="shared" si="21"/>
        <v>12000</v>
      </c>
      <c r="P179" s="10">
        <f t="shared" si="22"/>
        <v>0.98222222222222222</v>
      </c>
      <c r="Q179" s="10">
        <f t="shared" si="23"/>
        <v>3.1674208144796379E-2</v>
      </c>
      <c r="R179" s="10">
        <f t="shared" si="24"/>
        <v>0.28037383177570091</v>
      </c>
      <c r="S179" s="18">
        <f t="shared" si="25"/>
        <v>71.962616822429908</v>
      </c>
      <c r="T179" s="8">
        <f>480-ProductionData[[#This Row],[Downtime Minutes]]</f>
        <v>462</v>
      </c>
      <c r="U179" s="11">
        <f t="shared" si="26"/>
        <v>0.95670995670995673</v>
      </c>
      <c r="V179" s="18">
        <f>ProductionData[[#This Row],[Profit]]/ProductionData[[#This Row],[Good Units]]</f>
        <v>28.037383177570092</v>
      </c>
      <c r="W179" s="11">
        <f>ProductionData[[#This Row],[Good Units]]/ProductionData[[#This Row],[Operating Minutes]]</f>
        <v>0.92640692640692646</v>
      </c>
    </row>
    <row r="180" spans="1:23">
      <c r="A180" s="7">
        <v>46223</v>
      </c>
      <c r="B180" s="8" t="s">
        <v>19</v>
      </c>
      <c r="C180" s="8" t="s">
        <v>28</v>
      </c>
      <c r="D180" s="8" t="s">
        <v>23</v>
      </c>
      <c r="E180" s="8" t="s">
        <v>24</v>
      </c>
      <c r="F180" s="9">
        <v>410</v>
      </c>
      <c r="G180" s="9">
        <v>401</v>
      </c>
      <c r="H180" s="9">
        <v>9</v>
      </c>
      <c r="I180" s="9">
        <f t="shared" si="18"/>
        <v>392</v>
      </c>
      <c r="J180" s="9">
        <v>39</v>
      </c>
      <c r="K180" s="10">
        <f t="shared" si="19"/>
        <v>8.1250000000000003E-2</v>
      </c>
      <c r="L180" s="17">
        <v>120</v>
      </c>
      <c r="M180" s="17">
        <v>30800</v>
      </c>
      <c r="N180" s="17">
        <f t="shared" si="20"/>
        <v>47040</v>
      </c>
      <c r="O180" s="17">
        <f t="shared" si="21"/>
        <v>16240</v>
      </c>
      <c r="P180" s="10">
        <f t="shared" si="22"/>
        <v>0.97804878048780486</v>
      </c>
      <c r="Q180" s="10">
        <f t="shared" si="23"/>
        <v>2.2443890274314215E-2</v>
      </c>
      <c r="R180" s="10">
        <f t="shared" si="24"/>
        <v>0.34523809523809523</v>
      </c>
      <c r="S180" s="18">
        <f t="shared" si="25"/>
        <v>78.571428571428569</v>
      </c>
      <c r="T180" s="8">
        <f>480-ProductionData[[#This Row],[Downtime Minutes]]</f>
        <v>441</v>
      </c>
      <c r="U180" s="11">
        <f t="shared" si="26"/>
        <v>0.90929705215419498</v>
      </c>
      <c r="V180" s="18">
        <f>ProductionData[[#This Row],[Profit]]/ProductionData[[#This Row],[Good Units]]</f>
        <v>41.428571428571431</v>
      </c>
      <c r="W180" s="11">
        <f>ProductionData[[#This Row],[Good Units]]/ProductionData[[#This Row],[Operating Minutes]]</f>
        <v>0.88888888888888884</v>
      </c>
    </row>
    <row r="181" spans="1:23">
      <c r="A181" s="7">
        <v>46223</v>
      </c>
      <c r="B181" s="8" t="s">
        <v>19</v>
      </c>
      <c r="C181" s="8" t="s">
        <v>28</v>
      </c>
      <c r="D181" s="8" t="s">
        <v>25</v>
      </c>
      <c r="E181" s="8" t="s">
        <v>26</v>
      </c>
      <c r="F181" s="9">
        <v>500</v>
      </c>
      <c r="G181" s="9">
        <v>463</v>
      </c>
      <c r="H181" s="9">
        <v>21</v>
      </c>
      <c r="I181" s="9">
        <f t="shared" si="18"/>
        <v>442</v>
      </c>
      <c r="J181" s="9">
        <v>33</v>
      </c>
      <c r="K181" s="10">
        <f t="shared" si="19"/>
        <v>6.8750000000000006E-2</v>
      </c>
      <c r="L181" s="17">
        <v>90</v>
      </c>
      <c r="M181" s="17">
        <v>30800</v>
      </c>
      <c r="N181" s="17">
        <f t="shared" si="20"/>
        <v>39780</v>
      </c>
      <c r="O181" s="17">
        <f t="shared" si="21"/>
        <v>8980</v>
      </c>
      <c r="P181" s="10">
        <f t="shared" si="22"/>
        <v>0.92600000000000005</v>
      </c>
      <c r="Q181" s="10">
        <f t="shared" si="23"/>
        <v>4.5356371490280781E-2</v>
      </c>
      <c r="R181" s="10">
        <f t="shared" si="24"/>
        <v>0.22574157868275516</v>
      </c>
      <c r="S181" s="18">
        <f t="shared" si="25"/>
        <v>69.68325791855203</v>
      </c>
      <c r="T181" s="8">
        <f>480-ProductionData[[#This Row],[Downtime Minutes]]</f>
        <v>447</v>
      </c>
      <c r="U181" s="11">
        <f t="shared" si="26"/>
        <v>1.0357941834451903</v>
      </c>
      <c r="V181" s="18">
        <f>ProductionData[[#This Row],[Profit]]/ProductionData[[#This Row],[Good Units]]</f>
        <v>20.316742081447963</v>
      </c>
      <c r="W181" s="11">
        <f>ProductionData[[#This Row],[Good Units]]/ProductionData[[#This Row],[Operating Minutes]]</f>
        <v>0.98881431767337813</v>
      </c>
    </row>
    <row r="182" spans="1:23">
      <c r="A182" s="7">
        <v>46224</v>
      </c>
      <c r="B182" s="8" t="s">
        <v>19</v>
      </c>
      <c r="C182" s="8" t="s">
        <v>20</v>
      </c>
      <c r="D182" s="8" t="s">
        <v>21</v>
      </c>
      <c r="E182" s="8" t="s">
        <v>26</v>
      </c>
      <c r="F182" s="9">
        <v>500</v>
      </c>
      <c r="G182" s="9">
        <v>469</v>
      </c>
      <c r="H182" s="9">
        <v>13</v>
      </c>
      <c r="I182" s="9">
        <f t="shared" si="18"/>
        <v>456</v>
      </c>
      <c r="J182" s="9">
        <v>32</v>
      </c>
      <c r="K182" s="10">
        <f t="shared" si="19"/>
        <v>6.6666666666666666E-2</v>
      </c>
      <c r="L182" s="17">
        <v>90</v>
      </c>
      <c r="M182" s="17">
        <v>30800</v>
      </c>
      <c r="N182" s="17">
        <f t="shared" si="20"/>
        <v>41040</v>
      </c>
      <c r="O182" s="17">
        <f t="shared" si="21"/>
        <v>10240</v>
      </c>
      <c r="P182" s="10">
        <f t="shared" si="22"/>
        <v>0.93799999999999994</v>
      </c>
      <c r="Q182" s="10">
        <f t="shared" si="23"/>
        <v>2.7718550106609809E-2</v>
      </c>
      <c r="R182" s="10">
        <f t="shared" si="24"/>
        <v>0.24951267056530213</v>
      </c>
      <c r="S182" s="18">
        <f t="shared" si="25"/>
        <v>67.543859649122808</v>
      </c>
      <c r="T182" s="8">
        <f>480-ProductionData[[#This Row],[Downtime Minutes]]</f>
        <v>448</v>
      </c>
      <c r="U182" s="11">
        <f t="shared" si="26"/>
        <v>1.046875</v>
      </c>
      <c r="V182" s="18">
        <f>ProductionData[[#This Row],[Profit]]/ProductionData[[#This Row],[Good Units]]</f>
        <v>22.456140350877192</v>
      </c>
      <c r="W182" s="11">
        <f>ProductionData[[#This Row],[Good Units]]/ProductionData[[#This Row],[Operating Minutes]]</f>
        <v>1.0178571428571428</v>
      </c>
    </row>
    <row r="183" spans="1:23">
      <c r="A183" s="7">
        <v>46224</v>
      </c>
      <c r="B183" s="8" t="s">
        <v>19</v>
      </c>
      <c r="C183" s="8" t="s">
        <v>20</v>
      </c>
      <c r="D183" s="8" t="s">
        <v>23</v>
      </c>
      <c r="E183" s="8" t="s">
        <v>22</v>
      </c>
      <c r="F183" s="9">
        <v>460</v>
      </c>
      <c r="G183" s="9">
        <v>427</v>
      </c>
      <c r="H183" s="9">
        <v>18</v>
      </c>
      <c r="I183" s="9">
        <f t="shared" si="18"/>
        <v>409</v>
      </c>
      <c r="J183" s="9">
        <v>54</v>
      </c>
      <c r="K183" s="10">
        <f t="shared" si="19"/>
        <v>0.1125</v>
      </c>
      <c r="L183" s="17">
        <v>100</v>
      </c>
      <c r="M183" s="17">
        <v>30800</v>
      </c>
      <c r="N183" s="17">
        <f t="shared" si="20"/>
        <v>40900</v>
      </c>
      <c r="O183" s="17">
        <f t="shared" si="21"/>
        <v>10100</v>
      </c>
      <c r="P183" s="10">
        <f t="shared" si="22"/>
        <v>0.92826086956521736</v>
      </c>
      <c r="Q183" s="10">
        <f t="shared" si="23"/>
        <v>4.2154566744730677E-2</v>
      </c>
      <c r="R183" s="10">
        <f t="shared" si="24"/>
        <v>0.24694376528117359</v>
      </c>
      <c r="S183" s="18">
        <f t="shared" si="25"/>
        <v>75.30562347188264</v>
      </c>
      <c r="T183" s="8">
        <f>480-ProductionData[[#This Row],[Downtime Minutes]]</f>
        <v>426</v>
      </c>
      <c r="U183" s="11">
        <f t="shared" si="26"/>
        <v>1.0023474178403755</v>
      </c>
      <c r="V183" s="18">
        <f>ProductionData[[#This Row],[Profit]]/ProductionData[[#This Row],[Good Units]]</f>
        <v>24.69437652811736</v>
      </c>
      <c r="W183" s="11">
        <f>ProductionData[[#This Row],[Good Units]]/ProductionData[[#This Row],[Operating Minutes]]</f>
        <v>0.960093896713615</v>
      </c>
    </row>
    <row r="184" spans="1:23">
      <c r="A184" s="7">
        <v>46224</v>
      </c>
      <c r="B184" s="8" t="s">
        <v>19</v>
      </c>
      <c r="C184" s="8" t="s">
        <v>20</v>
      </c>
      <c r="D184" s="8" t="s">
        <v>25</v>
      </c>
      <c r="E184" s="8" t="s">
        <v>24</v>
      </c>
      <c r="F184" s="9">
        <v>390</v>
      </c>
      <c r="G184" s="9">
        <v>366</v>
      </c>
      <c r="H184" s="9">
        <v>14</v>
      </c>
      <c r="I184" s="9">
        <f t="shared" si="18"/>
        <v>352</v>
      </c>
      <c r="J184" s="9">
        <v>31</v>
      </c>
      <c r="K184" s="10">
        <f t="shared" si="19"/>
        <v>6.458333333333334E-2</v>
      </c>
      <c r="L184" s="17">
        <v>120</v>
      </c>
      <c r="M184" s="17">
        <v>30800</v>
      </c>
      <c r="N184" s="17">
        <f t="shared" si="20"/>
        <v>42240</v>
      </c>
      <c r="O184" s="17">
        <f t="shared" si="21"/>
        <v>11440</v>
      </c>
      <c r="P184" s="10">
        <f t="shared" si="22"/>
        <v>0.93846153846153846</v>
      </c>
      <c r="Q184" s="10">
        <f t="shared" si="23"/>
        <v>3.825136612021858E-2</v>
      </c>
      <c r="R184" s="10">
        <f t="shared" si="24"/>
        <v>0.27083333333333331</v>
      </c>
      <c r="S184" s="18">
        <f t="shared" si="25"/>
        <v>87.5</v>
      </c>
      <c r="T184" s="8">
        <f>480-ProductionData[[#This Row],[Downtime Minutes]]</f>
        <v>449</v>
      </c>
      <c r="U184" s="11">
        <f t="shared" si="26"/>
        <v>0.81514476614699327</v>
      </c>
      <c r="V184" s="18">
        <f>ProductionData[[#This Row],[Profit]]/ProductionData[[#This Row],[Good Units]]</f>
        <v>32.5</v>
      </c>
      <c r="W184" s="11">
        <f>ProductionData[[#This Row],[Good Units]]/ProductionData[[#This Row],[Operating Minutes]]</f>
        <v>0.78396436525612467</v>
      </c>
    </row>
    <row r="185" spans="1:23">
      <c r="A185" s="7">
        <v>46224</v>
      </c>
      <c r="B185" s="8" t="s">
        <v>19</v>
      </c>
      <c r="C185" s="8" t="s">
        <v>27</v>
      </c>
      <c r="D185" s="8" t="s">
        <v>21</v>
      </c>
      <c r="E185" s="8" t="s">
        <v>22</v>
      </c>
      <c r="F185" s="9">
        <v>460</v>
      </c>
      <c r="G185" s="9">
        <v>428</v>
      </c>
      <c r="H185" s="9">
        <v>27</v>
      </c>
      <c r="I185" s="9">
        <f t="shared" si="18"/>
        <v>401</v>
      </c>
      <c r="J185" s="9">
        <v>62</v>
      </c>
      <c r="K185" s="10">
        <f t="shared" si="19"/>
        <v>0.12916666666666668</v>
      </c>
      <c r="L185" s="17">
        <v>100</v>
      </c>
      <c r="M185" s="17">
        <v>30800</v>
      </c>
      <c r="N185" s="17">
        <f t="shared" si="20"/>
        <v>40100</v>
      </c>
      <c r="O185" s="17">
        <f t="shared" si="21"/>
        <v>9300</v>
      </c>
      <c r="P185" s="10">
        <f t="shared" si="22"/>
        <v>0.93043478260869561</v>
      </c>
      <c r="Q185" s="10">
        <f t="shared" si="23"/>
        <v>6.3084112149532703E-2</v>
      </c>
      <c r="R185" s="10">
        <f t="shared" si="24"/>
        <v>0.23192019950124687</v>
      </c>
      <c r="S185" s="18">
        <f t="shared" si="25"/>
        <v>76.807980049875312</v>
      </c>
      <c r="T185" s="8">
        <f>480-ProductionData[[#This Row],[Downtime Minutes]]</f>
        <v>418</v>
      </c>
      <c r="U185" s="11">
        <f t="shared" si="26"/>
        <v>1.0239234449760766</v>
      </c>
      <c r="V185" s="18">
        <f>ProductionData[[#This Row],[Profit]]/ProductionData[[#This Row],[Good Units]]</f>
        <v>23.192019950124688</v>
      </c>
      <c r="W185" s="11">
        <f>ProductionData[[#This Row],[Good Units]]/ProductionData[[#This Row],[Operating Minutes]]</f>
        <v>0.95933014354066981</v>
      </c>
    </row>
    <row r="186" spans="1:23">
      <c r="A186" s="7">
        <v>46224</v>
      </c>
      <c r="B186" s="8" t="s">
        <v>19</v>
      </c>
      <c r="C186" s="8" t="s">
        <v>27</v>
      </c>
      <c r="D186" s="8" t="s">
        <v>23</v>
      </c>
      <c r="E186" s="8" t="s">
        <v>24</v>
      </c>
      <c r="F186" s="9">
        <v>410</v>
      </c>
      <c r="G186" s="9">
        <v>368</v>
      </c>
      <c r="H186" s="9">
        <v>19</v>
      </c>
      <c r="I186" s="9">
        <f t="shared" si="18"/>
        <v>349</v>
      </c>
      <c r="J186" s="9">
        <v>53</v>
      </c>
      <c r="K186" s="10">
        <f t="shared" si="19"/>
        <v>0.11041666666666666</v>
      </c>
      <c r="L186" s="17">
        <v>120</v>
      </c>
      <c r="M186" s="17">
        <v>30800</v>
      </c>
      <c r="N186" s="17">
        <f t="shared" si="20"/>
        <v>41880</v>
      </c>
      <c r="O186" s="17">
        <f t="shared" si="21"/>
        <v>11080</v>
      </c>
      <c r="P186" s="10">
        <f t="shared" si="22"/>
        <v>0.89756097560975612</v>
      </c>
      <c r="Q186" s="10">
        <f t="shared" si="23"/>
        <v>5.1630434782608696E-2</v>
      </c>
      <c r="R186" s="10">
        <f t="shared" si="24"/>
        <v>0.26456542502387775</v>
      </c>
      <c r="S186" s="18">
        <f t="shared" si="25"/>
        <v>88.252148997134668</v>
      </c>
      <c r="T186" s="8">
        <f>480-ProductionData[[#This Row],[Downtime Minutes]]</f>
        <v>427</v>
      </c>
      <c r="U186" s="11">
        <f t="shared" si="26"/>
        <v>0.86182669789227162</v>
      </c>
      <c r="V186" s="18">
        <f>ProductionData[[#This Row],[Profit]]/ProductionData[[#This Row],[Good Units]]</f>
        <v>31.747851002865328</v>
      </c>
      <c r="W186" s="11">
        <f>ProductionData[[#This Row],[Good Units]]/ProductionData[[#This Row],[Operating Minutes]]</f>
        <v>0.81733021077283374</v>
      </c>
    </row>
    <row r="187" spans="1:23">
      <c r="A187" s="7">
        <v>46224</v>
      </c>
      <c r="B187" s="8" t="s">
        <v>19</v>
      </c>
      <c r="C187" s="8" t="s">
        <v>27</v>
      </c>
      <c r="D187" s="8" t="s">
        <v>25</v>
      </c>
      <c r="E187" s="8" t="s">
        <v>26</v>
      </c>
      <c r="F187" s="9">
        <v>510</v>
      </c>
      <c r="G187" s="9">
        <v>440</v>
      </c>
      <c r="H187" s="9">
        <v>31</v>
      </c>
      <c r="I187" s="9">
        <f t="shared" si="18"/>
        <v>409</v>
      </c>
      <c r="J187" s="9">
        <v>50</v>
      </c>
      <c r="K187" s="10">
        <f t="shared" si="19"/>
        <v>0.10416666666666667</v>
      </c>
      <c r="L187" s="17">
        <v>90</v>
      </c>
      <c r="M187" s="17">
        <v>30800</v>
      </c>
      <c r="N187" s="17">
        <f t="shared" si="20"/>
        <v>36810</v>
      </c>
      <c r="O187" s="17">
        <f t="shared" si="21"/>
        <v>6010</v>
      </c>
      <c r="P187" s="10">
        <f t="shared" si="22"/>
        <v>0.86274509803921573</v>
      </c>
      <c r="Q187" s="10">
        <f t="shared" si="23"/>
        <v>7.045454545454545E-2</v>
      </c>
      <c r="R187" s="10">
        <f t="shared" si="24"/>
        <v>0.16327085031241512</v>
      </c>
      <c r="S187" s="18">
        <f t="shared" si="25"/>
        <v>75.30562347188264</v>
      </c>
      <c r="T187" s="8">
        <f>480-ProductionData[[#This Row],[Downtime Minutes]]</f>
        <v>430</v>
      </c>
      <c r="U187" s="11">
        <f t="shared" si="26"/>
        <v>1.0232558139534884</v>
      </c>
      <c r="V187" s="18">
        <f>ProductionData[[#This Row],[Profit]]/ProductionData[[#This Row],[Good Units]]</f>
        <v>14.69437652811736</v>
      </c>
      <c r="W187" s="11">
        <f>ProductionData[[#This Row],[Good Units]]/ProductionData[[#This Row],[Operating Minutes]]</f>
        <v>0.9511627906976744</v>
      </c>
    </row>
    <row r="188" spans="1:23">
      <c r="A188" s="7">
        <v>46224</v>
      </c>
      <c r="B188" s="8" t="s">
        <v>19</v>
      </c>
      <c r="C188" s="8" t="s">
        <v>28</v>
      </c>
      <c r="D188" s="8" t="s">
        <v>21</v>
      </c>
      <c r="E188" s="8" t="s">
        <v>24</v>
      </c>
      <c r="F188" s="9">
        <v>400</v>
      </c>
      <c r="G188" s="9">
        <v>386</v>
      </c>
      <c r="H188" s="9">
        <v>10</v>
      </c>
      <c r="I188" s="9">
        <f t="shared" si="18"/>
        <v>376</v>
      </c>
      <c r="J188" s="9">
        <v>11</v>
      </c>
      <c r="K188" s="10">
        <f t="shared" si="19"/>
        <v>2.2916666666666665E-2</v>
      </c>
      <c r="L188" s="17">
        <v>120</v>
      </c>
      <c r="M188" s="17">
        <v>30800</v>
      </c>
      <c r="N188" s="17">
        <f t="shared" si="20"/>
        <v>45120</v>
      </c>
      <c r="O188" s="17">
        <f t="shared" si="21"/>
        <v>14320</v>
      </c>
      <c r="P188" s="10">
        <f t="shared" si="22"/>
        <v>0.96499999999999997</v>
      </c>
      <c r="Q188" s="10">
        <f t="shared" si="23"/>
        <v>2.5906735751295335E-2</v>
      </c>
      <c r="R188" s="10">
        <f t="shared" si="24"/>
        <v>0.31737588652482268</v>
      </c>
      <c r="S188" s="18">
        <f t="shared" si="25"/>
        <v>81.914893617021278</v>
      </c>
      <c r="T188" s="8">
        <f>480-ProductionData[[#This Row],[Downtime Minutes]]</f>
        <v>469</v>
      </c>
      <c r="U188" s="11">
        <f t="shared" si="26"/>
        <v>0.82302771855010659</v>
      </c>
      <c r="V188" s="18">
        <f>ProductionData[[#This Row],[Profit]]/ProductionData[[#This Row],[Good Units]]</f>
        <v>38.085106382978722</v>
      </c>
      <c r="W188" s="11">
        <f>ProductionData[[#This Row],[Good Units]]/ProductionData[[#This Row],[Operating Minutes]]</f>
        <v>0.80170575692963753</v>
      </c>
    </row>
    <row r="189" spans="1:23">
      <c r="A189" s="7">
        <v>46224</v>
      </c>
      <c r="B189" s="8" t="s">
        <v>19</v>
      </c>
      <c r="C189" s="8" t="s">
        <v>28</v>
      </c>
      <c r="D189" s="8" t="s">
        <v>23</v>
      </c>
      <c r="E189" s="8" t="s">
        <v>26</v>
      </c>
      <c r="F189" s="9">
        <v>510</v>
      </c>
      <c r="G189" s="9">
        <v>501</v>
      </c>
      <c r="H189" s="9">
        <v>18</v>
      </c>
      <c r="I189" s="9">
        <f t="shared" si="18"/>
        <v>483</v>
      </c>
      <c r="J189" s="9">
        <v>24</v>
      </c>
      <c r="K189" s="10">
        <f t="shared" si="19"/>
        <v>0.05</v>
      </c>
      <c r="L189" s="17">
        <v>90</v>
      </c>
      <c r="M189" s="17">
        <v>30800</v>
      </c>
      <c r="N189" s="17">
        <f t="shared" si="20"/>
        <v>43470</v>
      </c>
      <c r="O189" s="17">
        <f t="shared" si="21"/>
        <v>12670</v>
      </c>
      <c r="P189" s="10">
        <f t="shared" si="22"/>
        <v>0.98235294117647054</v>
      </c>
      <c r="Q189" s="10">
        <f t="shared" si="23"/>
        <v>3.5928143712574849E-2</v>
      </c>
      <c r="R189" s="10">
        <f t="shared" si="24"/>
        <v>0.29146537842190018</v>
      </c>
      <c r="S189" s="18">
        <f t="shared" si="25"/>
        <v>63.768115942028984</v>
      </c>
      <c r="T189" s="8">
        <f>480-ProductionData[[#This Row],[Downtime Minutes]]</f>
        <v>456</v>
      </c>
      <c r="U189" s="11">
        <f t="shared" si="26"/>
        <v>1.0986842105263157</v>
      </c>
      <c r="V189" s="18">
        <f>ProductionData[[#This Row],[Profit]]/ProductionData[[#This Row],[Good Units]]</f>
        <v>26.231884057971016</v>
      </c>
      <c r="W189" s="11">
        <f>ProductionData[[#This Row],[Good Units]]/ProductionData[[#This Row],[Operating Minutes]]</f>
        <v>1.0592105263157894</v>
      </c>
    </row>
    <row r="190" spans="1:23">
      <c r="A190" s="7">
        <v>46224</v>
      </c>
      <c r="B190" s="8" t="s">
        <v>19</v>
      </c>
      <c r="C190" s="8" t="s">
        <v>28</v>
      </c>
      <c r="D190" s="8" t="s">
        <v>25</v>
      </c>
      <c r="E190" s="8" t="s">
        <v>22</v>
      </c>
      <c r="F190" s="9">
        <v>460</v>
      </c>
      <c r="G190" s="9">
        <v>437</v>
      </c>
      <c r="H190" s="9">
        <v>20</v>
      </c>
      <c r="I190" s="9">
        <f t="shared" si="18"/>
        <v>417</v>
      </c>
      <c r="J190" s="9">
        <v>29</v>
      </c>
      <c r="K190" s="10">
        <f t="shared" si="19"/>
        <v>6.0416666666666667E-2</v>
      </c>
      <c r="L190" s="17">
        <v>100</v>
      </c>
      <c r="M190" s="17">
        <v>30800</v>
      </c>
      <c r="N190" s="17">
        <f t="shared" si="20"/>
        <v>41700</v>
      </c>
      <c r="O190" s="17">
        <f t="shared" si="21"/>
        <v>10900</v>
      </c>
      <c r="P190" s="10">
        <f t="shared" si="22"/>
        <v>0.95</v>
      </c>
      <c r="Q190" s="10">
        <f t="shared" si="23"/>
        <v>4.5766590389016017E-2</v>
      </c>
      <c r="R190" s="10">
        <f t="shared" si="24"/>
        <v>0.26139088729016785</v>
      </c>
      <c r="S190" s="18">
        <f t="shared" si="25"/>
        <v>73.860911270983209</v>
      </c>
      <c r="T190" s="8">
        <f>480-ProductionData[[#This Row],[Downtime Minutes]]</f>
        <v>451</v>
      </c>
      <c r="U190" s="11">
        <f t="shared" si="26"/>
        <v>0.96895787139689582</v>
      </c>
      <c r="V190" s="18">
        <f>ProductionData[[#This Row],[Profit]]/ProductionData[[#This Row],[Good Units]]</f>
        <v>26.139088729016787</v>
      </c>
      <c r="W190" s="11">
        <f>ProductionData[[#This Row],[Good Units]]/ProductionData[[#This Row],[Operating Minutes]]</f>
        <v>0.92461197339246115</v>
      </c>
    </row>
    <row r="191" spans="1:23">
      <c r="A191" s="7">
        <v>46225</v>
      </c>
      <c r="B191" s="8" t="s">
        <v>19</v>
      </c>
      <c r="C191" s="8" t="s">
        <v>20</v>
      </c>
      <c r="D191" s="8" t="s">
        <v>21</v>
      </c>
      <c r="E191" s="8" t="s">
        <v>22</v>
      </c>
      <c r="F191" s="9">
        <v>450</v>
      </c>
      <c r="G191" s="9">
        <v>434</v>
      </c>
      <c r="H191" s="9">
        <v>22</v>
      </c>
      <c r="I191" s="9">
        <f t="shared" si="18"/>
        <v>412</v>
      </c>
      <c r="J191" s="9">
        <v>37</v>
      </c>
      <c r="K191" s="10">
        <f t="shared" si="19"/>
        <v>7.7083333333333337E-2</v>
      </c>
      <c r="L191" s="17">
        <v>100</v>
      </c>
      <c r="M191" s="17">
        <v>30800</v>
      </c>
      <c r="N191" s="17">
        <f t="shared" si="20"/>
        <v>41200</v>
      </c>
      <c r="O191" s="17">
        <f t="shared" si="21"/>
        <v>10400</v>
      </c>
      <c r="P191" s="10">
        <f t="shared" si="22"/>
        <v>0.96444444444444444</v>
      </c>
      <c r="Q191" s="10">
        <f t="shared" si="23"/>
        <v>5.0691244239631339E-2</v>
      </c>
      <c r="R191" s="10">
        <f t="shared" si="24"/>
        <v>0.25242718446601942</v>
      </c>
      <c r="S191" s="18">
        <f t="shared" si="25"/>
        <v>74.757281553398059</v>
      </c>
      <c r="T191" s="8">
        <f>480-ProductionData[[#This Row],[Downtime Minutes]]</f>
        <v>443</v>
      </c>
      <c r="U191" s="11">
        <f t="shared" si="26"/>
        <v>0.97968397291196385</v>
      </c>
      <c r="V191" s="18">
        <f>ProductionData[[#This Row],[Profit]]/ProductionData[[#This Row],[Good Units]]</f>
        <v>25.242718446601941</v>
      </c>
      <c r="W191" s="11">
        <f>ProductionData[[#This Row],[Good Units]]/ProductionData[[#This Row],[Operating Minutes]]</f>
        <v>0.93002257336343119</v>
      </c>
    </row>
    <row r="192" spans="1:23">
      <c r="A192" s="7">
        <v>46225</v>
      </c>
      <c r="B192" s="8" t="s">
        <v>19</v>
      </c>
      <c r="C192" s="8" t="s">
        <v>20</v>
      </c>
      <c r="D192" s="8" t="s">
        <v>23</v>
      </c>
      <c r="E192" s="8" t="s">
        <v>24</v>
      </c>
      <c r="F192" s="9">
        <v>400</v>
      </c>
      <c r="G192" s="9">
        <v>379</v>
      </c>
      <c r="H192" s="9">
        <v>14</v>
      </c>
      <c r="I192" s="9">
        <f t="shared" si="18"/>
        <v>365</v>
      </c>
      <c r="J192" s="9">
        <v>38</v>
      </c>
      <c r="K192" s="10">
        <f t="shared" si="19"/>
        <v>7.9166666666666663E-2</v>
      </c>
      <c r="L192" s="17">
        <v>120</v>
      </c>
      <c r="M192" s="17">
        <v>30800</v>
      </c>
      <c r="N192" s="17">
        <f t="shared" si="20"/>
        <v>43800</v>
      </c>
      <c r="O192" s="17">
        <f t="shared" si="21"/>
        <v>13000</v>
      </c>
      <c r="P192" s="10">
        <f t="shared" si="22"/>
        <v>0.94750000000000001</v>
      </c>
      <c r="Q192" s="10">
        <f t="shared" si="23"/>
        <v>3.6939313984168866E-2</v>
      </c>
      <c r="R192" s="10">
        <f t="shared" si="24"/>
        <v>0.29680365296803651</v>
      </c>
      <c r="S192" s="18">
        <f t="shared" si="25"/>
        <v>84.38356164383562</v>
      </c>
      <c r="T192" s="8">
        <f>480-ProductionData[[#This Row],[Downtime Minutes]]</f>
        <v>442</v>
      </c>
      <c r="U192" s="11">
        <f t="shared" si="26"/>
        <v>0.85746606334841624</v>
      </c>
      <c r="V192" s="18">
        <f>ProductionData[[#This Row],[Profit]]/ProductionData[[#This Row],[Good Units]]</f>
        <v>35.61643835616438</v>
      </c>
      <c r="W192" s="11">
        <f>ProductionData[[#This Row],[Good Units]]/ProductionData[[#This Row],[Operating Minutes]]</f>
        <v>0.82579185520361986</v>
      </c>
    </row>
    <row r="193" spans="1:23">
      <c r="A193" s="7">
        <v>46225</v>
      </c>
      <c r="B193" s="8" t="s">
        <v>19</v>
      </c>
      <c r="C193" s="8" t="s">
        <v>20</v>
      </c>
      <c r="D193" s="8" t="s">
        <v>25</v>
      </c>
      <c r="E193" s="8" t="s">
        <v>26</v>
      </c>
      <c r="F193" s="9">
        <v>520</v>
      </c>
      <c r="G193" s="9">
        <v>465</v>
      </c>
      <c r="H193" s="9">
        <v>23</v>
      </c>
      <c r="I193" s="9">
        <f t="shared" si="18"/>
        <v>442</v>
      </c>
      <c r="J193" s="9">
        <v>34</v>
      </c>
      <c r="K193" s="10">
        <f t="shared" si="19"/>
        <v>7.0833333333333331E-2</v>
      </c>
      <c r="L193" s="17">
        <v>90</v>
      </c>
      <c r="M193" s="17">
        <v>30800</v>
      </c>
      <c r="N193" s="17">
        <f t="shared" si="20"/>
        <v>39780</v>
      </c>
      <c r="O193" s="17">
        <f t="shared" si="21"/>
        <v>8980</v>
      </c>
      <c r="P193" s="10">
        <f t="shared" si="22"/>
        <v>0.89423076923076927</v>
      </c>
      <c r="Q193" s="10">
        <f t="shared" si="23"/>
        <v>4.9462365591397849E-2</v>
      </c>
      <c r="R193" s="10">
        <f t="shared" si="24"/>
        <v>0.22574157868275516</v>
      </c>
      <c r="S193" s="18">
        <f t="shared" si="25"/>
        <v>69.68325791855203</v>
      </c>
      <c r="T193" s="8">
        <f>480-ProductionData[[#This Row],[Downtime Minutes]]</f>
        <v>446</v>
      </c>
      <c r="U193" s="11">
        <f t="shared" si="26"/>
        <v>1.0426008968609866</v>
      </c>
      <c r="V193" s="18">
        <f>ProductionData[[#This Row],[Profit]]/ProductionData[[#This Row],[Good Units]]</f>
        <v>20.316742081447963</v>
      </c>
      <c r="W193" s="11">
        <f>ProductionData[[#This Row],[Good Units]]/ProductionData[[#This Row],[Operating Minutes]]</f>
        <v>0.99103139013452912</v>
      </c>
    </row>
    <row r="194" spans="1:23">
      <c r="A194" s="7">
        <v>46225</v>
      </c>
      <c r="B194" s="8" t="s">
        <v>19</v>
      </c>
      <c r="C194" s="8" t="s">
        <v>27</v>
      </c>
      <c r="D194" s="8" t="s">
        <v>21</v>
      </c>
      <c r="E194" s="8" t="s">
        <v>24</v>
      </c>
      <c r="F194" s="9">
        <v>400</v>
      </c>
      <c r="G194" s="9">
        <v>361</v>
      </c>
      <c r="H194" s="9">
        <v>14</v>
      </c>
      <c r="I194" s="9">
        <f t="shared" ref="I194:I257" si="27">G194-H194</f>
        <v>347</v>
      </c>
      <c r="J194" s="9">
        <v>46</v>
      </c>
      <c r="K194" s="10">
        <f t="shared" ref="K194:K257" si="28">J194/480</f>
        <v>9.583333333333334E-2</v>
      </c>
      <c r="L194" s="17">
        <v>120</v>
      </c>
      <c r="M194" s="17">
        <v>30800</v>
      </c>
      <c r="N194" s="17">
        <f t="shared" ref="N194:N257" si="29">I194*L194</f>
        <v>41640</v>
      </c>
      <c r="O194" s="17">
        <f t="shared" ref="O194:O257" si="30">N194-M194</f>
        <v>10840</v>
      </c>
      <c r="P194" s="10">
        <f t="shared" ref="P194:P257" si="31">G194/F194</f>
        <v>0.90249999999999997</v>
      </c>
      <c r="Q194" s="10">
        <f t="shared" ref="Q194:Q257" si="32">H194/G194</f>
        <v>3.8781163434903045E-2</v>
      </c>
      <c r="R194" s="10">
        <f t="shared" ref="R194:R257" si="33">O194/N194</f>
        <v>0.26032660902977905</v>
      </c>
      <c r="S194" s="18">
        <f t="shared" ref="S194:S257" si="34">M194/I194</f>
        <v>88.760806916426517</v>
      </c>
      <c r="T194" s="8">
        <f>480-ProductionData[[#This Row],[Downtime Minutes]]</f>
        <v>434</v>
      </c>
      <c r="U194" s="11">
        <f t="shared" ref="U194:U257" si="35">G194/T194</f>
        <v>0.83179723502304148</v>
      </c>
      <c r="V194" s="18">
        <f>ProductionData[[#This Row],[Profit]]/ProductionData[[#This Row],[Good Units]]</f>
        <v>31.239193083573486</v>
      </c>
      <c r="W194" s="11">
        <f>ProductionData[[#This Row],[Good Units]]/ProductionData[[#This Row],[Operating Minutes]]</f>
        <v>0.79953917050691248</v>
      </c>
    </row>
    <row r="195" spans="1:23">
      <c r="A195" s="7">
        <v>46225</v>
      </c>
      <c r="B195" s="8" t="s">
        <v>19</v>
      </c>
      <c r="C195" s="8" t="s">
        <v>27</v>
      </c>
      <c r="D195" s="8" t="s">
        <v>23</v>
      </c>
      <c r="E195" s="8" t="s">
        <v>26</v>
      </c>
      <c r="F195" s="9">
        <v>510</v>
      </c>
      <c r="G195" s="9">
        <v>455</v>
      </c>
      <c r="H195" s="9">
        <v>24</v>
      </c>
      <c r="I195" s="9">
        <f t="shared" si="27"/>
        <v>431</v>
      </c>
      <c r="J195" s="9">
        <v>60</v>
      </c>
      <c r="K195" s="10">
        <f t="shared" si="28"/>
        <v>0.125</v>
      </c>
      <c r="L195" s="17">
        <v>90</v>
      </c>
      <c r="M195" s="17">
        <v>30800</v>
      </c>
      <c r="N195" s="17">
        <f t="shared" si="29"/>
        <v>38790</v>
      </c>
      <c r="O195" s="17">
        <f t="shared" si="30"/>
        <v>7990</v>
      </c>
      <c r="P195" s="10">
        <f t="shared" si="31"/>
        <v>0.89215686274509809</v>
      </c>
      <c r="Q195" s="10">
        <f t="shared" si="32"/>
        <v>5.2747252747252747E-2</v>
      </c>
      <c r="R195" s="10">
        <f t="shared" si="33"/>
        <v>0.20598092291827791</v>
      </c>
      <c r="S195" s="18">
        <f t="shared" si="34"/>
        <v>71.461716937354993</v>
      </c>
      <c r="T195" s="8">
        <f>480-ProductionData[[#This Row],[Downtime Minutes]]</f>
        <v>420</v>
      </c>
      <c r="U195" s="11">
        <f t="shared" si="35"/>
        <v>1.0833333333333333</v>
      </c>
      <c r="V195" s="18">
        <f>ProductionData[[#This Row],[Profit]]/ProductionData[[#This Row],[Good Units]]</f>
        <v>18.538283062645011</v>
      </c>
      <c r="W195" s="11">
        <f>ProductionData[[#This Row],[Good Units]]/ProductionData[[#This Row],[Operating Minutes]]</f>
        <v>1.0261904761904761</v>
      </c>
    </row>
    <row r="196" spans="1:23">
      <c r="A196" s="7">
        <v>46225</v>
      </c>
      <c r="B196" s="8" t="s">
        <v>19</v>
      </c>
      <c r="C196" s="8" t="s">
        <v>27</v>
      </c>
      <c r="D196" s="8" t="s">
        <v>25</v>
      </c>
      <c r="E196" s="8" t="s">
        <v>22</v>
      </c>
      <c r="F196" s="9">
        <v>460</v>
      </c>
      <c r="G196" s="9">
        <v>387</v>
      </c>
      <c r="H196" s="9">
        <v>26</v>
      </c>
      <c r="I196" s="9">
        <f t="shared" si="27"/>
        <v>361</v>
      </c>
      <c r="J196" s="9">
        <v>74</v>
      </c>
      <c r="K196" s="10">
        <f t="shared" si="28"/>
        <v>0.15416666666666667</v>
      </c>
      <c r="L196" s="17">
        <v>100</v>
      </c>
      <c r="M196" s="17">
        <v>30800</v>
      </c>
      <c r="N196" s="17">
        <f t="shared" si="29"/>
        <v>36100</v>
      </c>
      <c r="O196" s="17">
        <f t="shared" si="30"/>
        <v>5300</v>
      </c>
      <c r="P196" s="10">
        <f t="shared" si="31"/>
        <v>0.84130434782608698</v>
      </c>
      <c r="Q196" s="10">
        <f t="shared" si="32"/>
        <v>6.7183462532299745E-2</v>
      </c>
      <c r="R196" s="10">
        <f t="shared" si="33"/>
        <v>0.14681440443213298</v>
      </c>
      <c r="S196" s="18">
        <f t="shared" si="34"/>
        <v>85.31855955678671</v>
      </c>
      <c r="T196" s="8">
        <f>480-ProductionData[[#This Row],[Downtime Minutes]]</f>
        <v>406</v>
      </c>
      <c r="U196" s="11">
        <f t="shared" si="35"/>
        <v>0.95320197044334976</v>
      </c>
      <c r="V196" s="18">
        <f>ProductionData[[#This Row],[Profit]]/ProductionData[[#This Row],[Good Units]]</f>
        <v>14.681440443213296</v>
      </c>
      <c r="W196" s="11">
        <f>ProductionData[[#This Row],[Good Units]]/ProductionData[[#This Row],[Operating Minutes]]</f>
        <v>0.88916256157635465</v>
      </c>
    </row>
    <row r="197" spans="1:23">
      <c r="A197" s="7">
        <v>46225</v>
      </c>
      <c r="B197" s="8" t="s">
        <v>19</v>
      </c>
      <c r="C197" s="8" t="s">
        <v>28</v>
      </c>
      <c r="D197" s="8" t="s">
        <v>21</v>
      </c>
      <c r="E197" s="8" t="s">
        <v>26</v>
      </c>
      <c r="F197" s="9">
        <v>520</v>
      </c>
      <c r="G197" s="9">
        <v>525</v>
      </c>
      <c r="H197" s="9">
        <v>16</v>
      </c>
      <c r="I197" s="9">
        <f t="shared" si="27"/>
        <v>509</v>
      </c>
      <c r="J197" s="9">
        <v>18</v>
      </c>
      <c r="K197" s="10">
        <f t="shared" si="28"/>
        <v>3.7499999999999999E-2</v>
      </c>
      <c r="L197" s="17">
        <v>90</v>
      </c>
      <c r="M197" s="17">
        <v>30800</v>
      </c>
      <c r="N197" s="17">
        <f t="shared" si="29"/>
        <v>45810</v>
      </c>
      <c r="O197" s="17">
        <f t="shared" si="30"/>
        <v>15010</v>
      </c>
      <c r="P197" s="10">
        <f t="shared" si="31"/>
        <v>1.0096153846153846</v>
      </c>
      <c r="Q197" s="10">
        <f t="shared" si="32"/>
        <v>3.0476190476190476E-2</v>
      </c>
      <c r="R197" s="10">
        <f t="shared" si="33"/>
        <v>0.327657716655752</v>
      </c>
      <c r="S197" s="18">
        <f t="shared" si="34"/>
        <v>60.510805500982322</v>
      </c>
      <c r="T197" s="8">
        <f>480-ProductionData[[#This Row],[Downtime Minutes]]</f>
        <v>462</v>
      </c>
      <c r="U197" s="11">
        <f t="shared" si="35"/>
        <v>1.1363636363636365</v>
      </c>
      <c r="V197" s="18">
        <f>ProductionData[[#This Row],[Profit]]/ProductionData[[#This Row],[Good Units]]</f>
        <v>29.489194499017682</v>
      </c>
      <c r="W197" s="11">
        <f>ProductionData[[#This Row],[Good Units]]/ProductionData[[#This Row],[Operating Minutes]]</f>
        <v>1.1017316017316017</v>
      </c>
    </row>
    <row r="198" spans="1:23">
      <c r="A198" s="7">
        <v>46225</v>
      </c>
      <c r="B198" s="8" t="s">
        <v>19</v>
      </c>
      <c r="C198" s="8" t="s">
        <v>28</v>
      </c>
      <c r="D198" s="8" t="s">
        <v>23</v>
      </c>
      <c r="E198" s="8" t="s">
        <v>22</v>
      </c>
      <c r="F198" s="9">
        <v>460</v>
      </c>
      <c r="G198" s="9">
        <v>452</v>
      </c>
      <c r="H198" s="9">
        <v>17</v>
      </c>
      <c r="I198" s="9">
        <f t="shared" si="27"/>
        <v>435</v>
      </c>
      <c r="J198" s="9">
        <v>27</v>
      </c>
      <c r="K198" s="10">
        <f t="shared" si="28"/>
        <v>5.6250000000000001E-2</v>
      </c>
      <c r="L198" s="17">
        <v>100</v>
      </c>
      <c r="M198" s="17">
        <v>30800</v>
      </c>
      <c r="N198" s="17">
        <f t="shared" si="29"/>
        <v>43500</v>
      </c>
      <c r="O198" s="17">
        <f t="shared" si="30"/>
        <v>12700</v>
      </c>
      <c r="P198" s="10">
        <f t="shared" si="31"/>
        <v>0.9826086956521739</v>
      </c>
      <c r="Q198" s="10">
        <f t="shared" si="32"/>
        <v>3.7610619469026552E-2</v>
      </c>
      <c r="R198" s="10">
        <f t="shared" si="33"/>
        <v>0.29195402298850576</v>
      </c>
      <c r="S198" s="18">
        <f t="shared" si="34"/>
        <v>70.804597701149419</v>
      </c>
      <c r="T198" s="8">
        <f>480-ProductionData[[#This Row],[Downtime Minutes]]</f>
        <v>453</v>
      </c>
      <c r="U198" s="11">
        <f t="shared" si="35"/>
        <v>0.99779249448123619</v>
      </c>
      <c r="V198" s="18">
        <f>ProductionData[[#This Row],[Profit]]/ProductionData[[#This Row],[Good Units]]</f>
        <v>29.195402298850574</v>
      </c>
      <c r="W198" s="11">
        <f>ProductionData[[#This Row],[Good Units]]/ProductionData[[#This Row],[Operating Minutes]]</f>
        <v>0.96026490066225167</v>
      </c>
    </row>
    <row r="199" spans="1:23">
      <c r="A199" s="7">
        <v>46225</v>
      </c>
      <c r="B199" s="8" t="s">
        <v>19</v>
      </c>
      <c r="C199" s="8" t="s">
        <v>28</v>
      </c>
      <c r="D199" s="8" t="s">
        <v>25</v>
      </c>
      <c r="E199" s="8" t="s">
        <v>24</v>
      </c>
      <c r="F199" s="9">
        <v>410</v>
      </c>
      <c r="G199" s="9">
        <v>374</v>
      </c>
      <c r="H199" s="9">
        <v>15</v>
      </c>
      <c r="I199" s="9">
        <f t="shared" si="27"/>
        <v>359</v>
      </c>
      <c r="J199" s="9">
        <v>32</v>
      </c>
      <c r="K199" s="10">
        <f t="shared" si="28"/>
        <v>6.6666666666666666E-2</v>
      </c>
      <c r="L199" s="17">
        <v>120</v>
      </c>
      <c r="M199" s="17">
        <v>30800</v>
      </c>
      <c r="N199" s="17">
        <f t="shared" si="29"/>
        <v>43080</v>
      </c>
      <c r="O199" s="17">
        <f t="shared" si="30"/>
        <v>12280</v>
      </c>
      <c r="P199" s="10">
        <f t="shared" si="31"/>
        <v>0.91219512195121955</v>
      </c>
      <c r="Q199" s="10">
        <f t="shared" si="32"/>
        <v>4.0106951871657755E-2</v>
      </c>
      <c r="R199" s="10">
        <f t="shared" si="33"/>
        <v>0.2850510677808728</v>
      </c>
      <c r="S199" s="18">
        <f t="shared" si="34"/>
        <v>85.793871866295262</v>
      </c>
      <c r="T199" s="8">
        <f>480-ProductionData[[#This Row],[Downtime Minutes]]</f>
        <v>448</v>
      </c>
      <c r="U199" s="11">
        <f t="shared" si="35"/>
        <v>0.8348214285714286</v>
      </c>
      <c r="V199" s="18">
        <f>ProductionData[[#This Row],[Profit]]/ProductionData[[#This Row],[Good Units]]</f>
        <v>34.206128133704738</v>
      </c>
      <c r="W199" s="11">
        <f>ProductionData[[#This Row],[Good Units]]/ProductionData[[#This Row],[Operating Minutes]]</f>
        <v>0.8013392857142857</v>
      </c>
    </row>
    <row r="200" spans="1:23">
      <c r="A200" s="7">
        <v>46226</v>
      </c>
      <c r="B200" s="8" t="s">
        <v>19</v>
      </c>
      <c r="C200" s="8" t="s">
        <v>20</v>
      </c>
      <c r="D200" s="8" t="s">
        <v>21</v>
      </c>
      <c r="E200" s="8" t="s">
        <v>24</v>
      </c>
      <c r="F200" s="9">
        <v>400</v>
      </c>
      <c r="G200" s="9">
        <v>375</v>
      </c>
      <c r="H200" s="9">
        <v>11</v>
      </c>
      <c r="I200" s="9">
        <f t="shared" si="27"/>
        <v>364</v>
      </c>
      <c r="J200" s="9">
        <v>36</v>
      </c>
      <c r="K200" s="10">
        <f t="shared" si="28"/>
        <v>7.4999999999999997E-2</v>
      </c>
      <c r="L200" s="17">
        <v>120</v>
      </c>
      <c r="M200" s="17">
        <v>30800</v>
      </c>
      <c r="N200" s="17">
        <f t="shared" si="29"/>
        <v>43680</v>
      </c>
      <c r="O200" s="17">
        <f t="shared" si="30"/>
        <v>12880</v>
      </c>
      <c r="P200" s="10">
        <f t="shared" si="31"/>
        <v>0.9375</v>
      </c>
      <c r="Q200" s="10">
        <f t="shared" si="32"/>
        <v>2.9333333333333333E-2</v>
      </c>
      <c r="R200" s="10">
        <f t="shared" si="33"/>
        <v>0.29487179487179488</v>
      </c>
      <c r="S200" s="18">
        <f t="shared" si="34"/>
        <v>84.615384615384613</v>
      </c>
      <c r="T200" s="8">
        <f>480-ProductionData[[#This Row],[Downtime Minutes]]</f>
        <v>444</v>
      </c>
      <c r="U200" s="11">
        <f t="shared" si="35"/>
        <v>0.84459459459459463</v>
      </c>
      <c r="V200" s="18">
        <f>ProductionData[[#This Row],[Profit]]/ProductionData[[#This Row],[Good Units]]</f>
        <v>35.384615384615387</v>
      </c>
      <c r="W200" s="11">
        <f>ProductionData[[#This Row],[Good Units]]/ProductionData[[#This Row],[Operating Minutes]]</f>
        <v>0.81981981981981977</v>
      </c>
    </row>
    <row r="201" spans="1:23">
      <c r="A201" s="7">
        <v>46226</v>
      </c>
      <c r="B201" s="8" t="s">
        <v>19</v>
      </c>
      <c r="C201" s="8" t="s">
        <v>20</v>
      </c>
      <c r="D201" s="8" t="s">
        <v>23</v>
      </c>
      <c r="E201" s="8" t="s">
        <v>26</v>
      </c>
      <c r="F201" s="9">
        <v>510</v>
      </c>
      <c r="G201" s="9">
        <v>474</v>
      </c>
      <c r="H201" s="9">
        <v>14</v>
      </c>
      <c r="I201" s="9">
        <f t="shared" si="27"/>
        <v>460</v>
      </c>
      <c r="J201" s="9">
        <v>32</v>
      </c>
      <c r="K201" s="10">
        <f t="shared" si="28"/>
        <v>6.6666666666666666E-2</v>
      </c>
      <c r="L201" s="17">
        <v>90</v>
      </c>
      <c r="M201" s="17">
        <v>30800</v>
      </c>
      <c r="N201" s="17">
        <f t="shared" si="29"/>
        <v>41400</v>
      </c>
      <c r="O201" s="17">
        <f t="shared" si="30"/>
        <v>10600</v>
      </c>
      <c r="P201" s="10">
        <f t="shared" si="31"/>
        <v>0.92941176470588238</v>
      </c>
      <c r="Q201" s="10">
        <f t="shared" si="32"/>
        <v>2.9535864978902954E-2</v>
      </c>
      <c r="R201" s="10">
        <f t="shared" si="33"/>
        <v>0.2560386473429952</v>
      </c>
      <c r="S201" s="18">
        <f t="shared" si="34"/>
        <v>66.956521739130437</v>
      </c>
      <c r="T201" s="8">
        <f>480-ProductionData[[#This Row],[Downtime Minutes]]</f>
        <v>448</v>
      </c>
      <c r="U201" s="11">
        <f t="shared" si="35"/>
        <v>1.0580357142857142</v>
      </c>
      <c r="V201" s="18">
        <f>ProductionData[[#This Row],[Profit]]/ProductionData[[#This Row],[Good Units]]</f>
        <v>23.043478260869566</v>
      </c>
      <c r="W201" s="11">
        <f>ProductionData[[#This Row],[Good Units]]/ProductionData[[#This Row],[Operating Minutes]]</f>
        <v>1.0267857142857142</v>
      </c>
    </row>
    <row r="202" spans="1:23">
      <c r="A202" s="7">
        <v>46226</v>
      </c>
      <c r="B202" s="8" t="s">
        <v>19</v>
      </c>
      <c r="C202" s="8" t="s">
        <v>20</v>
      </c>
      <c r="D202" s="8" t="s">
        <v>25</v>
      </c>
      <c r="E202" s="8" t="s">
        <v>22</v>
      </c>
      <c r="F202" s="9">
        <v>460</v>
      </c>
      <c r="G202" s="9">
        <v>423</v>
      </c>
      <c r="H202" s="9">
        <v>25</v>
      </c>
      <c r="I202" s="9">
        <f t="shared" si="27"/>
        <v>398</v>
      </c>
      <c r="J202" s="9">
        <v>43</v>
      </c>
      <c r="K202" s="10">
        <f t="shared" si="28"/>
        <v>8.9583333333333334E-2</v>
      </c>
      <c r="L202" s="17">
        <v>100</v>
      </c>
      <c r="M202" s="17">
        <v>30800</v>
      </c>
      <c r="N202" s="17">
        <f t="shared" si="29"/>
        <v>39800</v>
      </c>
      <c r="O202" s="17">
        <f t="shared" si="30"/>
        <v>9000</v>
      </c>
      <c r="P202" s="10">
        <f t="shared" si="31"/>
        <v>0.91956521739130437</v>
      </c>
      <c r="Q202" s="10">
        <f t="shared" si="32"/>
        <v>5.9101654846335699E-2</v>
      </c>
      <c r="R202" s="10">
        <f t="shared" si="33"/>
        <v>0.22613065326633167</v>
      </c>
      <c r="S202" s="18">
        <f t="shared" si="34"/>
        <v>77.386934673366838</v>
      </c>
      <c r="T202" s="8">
        <f>480-ProductionData[[#This Row],[Downtime Minutes]]</f>
        <v>437</v>
      </c>
      <c r="U202" s="11">
        <f t="shared" si="35"/>
        <v>0.96796338672768878</v>
      </c>
      <c r="V202" s="18">
        <f>ProductionData[[#This Row],[Profit]]/ProductionData[[#This Row],[Good Units]]</f>
        <v>22.613065326633166</v>
      </c>
      <c r="W202" s="11">
        <f>ProductionData[[#This Row],[Good Units]]/ProductionData[[#This Row],[Operating Minutes]]</f>
        <v>0.91075514874141872</v>
      </c>
    </row>
    <row r="203" spans="1:23">
      <c r="A203" s="7">
        <v>46226</v>
      </c>
      <c r="B203" s="8" t="s">
        <v>19</v>
      </c>
      <c r="C203" s="8" t="s">
        <v>27</v>
      </c>
      <c r="D203" s="8" t="s">
        <v>21</v>
      </c>
      <c r="E203" s="8" t="s">
        <v>26</v>
      </c>
      <c r="F203" s="9">
        <v>510</v>
      </c>
      <c r="G203" s="9">
        <v>463</v>
      </c>
      <c r="H203" s="9">
        <v>24</v>
      </c>
      <c r="I203" s="9">
        <f t="shared" si="27"/>
        <v>439</v>
      </c>
      <c r="J203" s="9">
        <v>45</v>
      </c>
      <c r="K203" s="10">
        <f t="shared" si="28"/>
        <v>9.375E-2</v>
      </c>
      <c r="L203" s="17">
        <v>90</v>
      </c>
      <c r="M203" s="17">
        <v>30800</v>
      </c>
      <c r="N203" s="17">
        <f t="shared" si="29"/>
        <v>39510</v>
      </c>
      <c r="O203" s="17">
        <f t="shared" si="30"/>
        <v>8710</v>
      </c>
      <c r="P203" s="10">
        <f t="shared" si="31"/>
        <v>0.90784313725490196</v>
      </c>
      <c r="Q203" s="10">
        <f t="shared" si="32"/>
        <v>5.183585313174946E-2</v>
      </c>
      <c r="R203" s="10">
        <f t="shared" si="33"/>
        <v>0.22045051885598582</v>
      </c>
      <c r="S203" s="18">
        <f t="shared" si="34"/>
        <v>70.159453302961282</v>
      </c>
      <c r="T203" s="8">
        <f>480-ProductionData[[#This Row],[Downtime Minutes]]</f>
        <v>435</v>
      </c>
      <c r="U203" s="11">
        <f t="shared" si="35"/>
        <v>1.0643678160919541</v>
      </c>
      <c r="V203" s="18">
        <f>ProductionData[[#This Row],[Profit]]/ProductionData[[#This Row],[Good Units]]</f>
        <v>19.840546697038725</v>
      </c>
      <c r="W203" s="11">
        <f>ProductionData[[#This Row],[Good Units]]/ProductionData[[#This Row],[Operating Minutes]]</f>
        <v>1.0091954022988505</v>
      </c>
    </row>
    <row r="204" spans="1:23">
      <c r="A204" s="7">
        <v>46226</v>
      </c>
      <c r="B204" s="8" t="s">
        <v>19</v>
      </c>
      <c r="C204" s="8" t="s">
        <v>27</v>
      </c>
      <c r="D204" s="8" t="s">
        <v>23</v>
      </c>
      <c r="E204" s="8" t="s">
        <v>22</v>
      </c>
      <c r="F204" s="9">
        <v>460</v>
      </c>
      <c r="G204" s="9">
        <v>404</v>
      </c>
      <c r="H204" s="9">
        <v>27</v>
      </c>
      <c r="I204" s="9">
        <f t="shared" si="27"/>
        <v>377</v>
      </c>
      <c r="J204" s="9">
        <v>59</v>
      </c>
      <c r="K204" s="10">
        <f t="shared" si="28"/>
        <v>0.12291666666666666</v>
      </c>
      <c r="L204" s="17">
        <v>100</v>
      </c>
      <c r="M204" s="17">
        <v>30800</v>
      </c>
      <c r="N204" s="17">
        <f t="shared" si="29"/>
        <v>37700</v>
      </c>
      <c r="O204" s="17">
        <f t="shared" si="30"/>
        <v>6900</v>
      </c>
      <c r="P204" s="10">
        <f t="shared" si="31"/>
        <v>0.87826086956521743</v>
      </c>
      <c r="Q204" s="10">
        <f t="shared" si="32"/>
        <v>6.6831683168316836E-2</v>
      </c>
      <c r="R204" s="10">
        <f t="shared" si="33"/>
        <v>0.1830238726790451</v>
      </c>
      <c r="S204" s="18">
        <f t="shared" si="34"/>
        <v>81.697612732095493</v>
      </c>
      <c r="T204" s="8">
        <f>480-ProductionData[[#This Row],[Downtime Minutes]]</f>
        <v>421</v>
      </c>
      <c r="U204" s="11">
        <f t="shared" si="35"/>
        <v>0.95961995249406173</v>
      </c>
      <c r="V204" s="18">
        <f>ProductionData[[#This Row],[Profit]]/ProductionData[[#This Row],[Good Units]]</f>
        <v>18.302387267904511</v>
      </c>
      <c r="W204" s="11">
        <f>ProductionData[[#This Row],[Good Units]]/ProductionData[[#This Row],[Operating Minutes]]</f>
        <v>0.89548693586698336</v>
      </c>
    </row>
    <row r="205" spans="1:23">
      <c r="A205" s="7">
        <v>46226</v>
      </c>
      <c r="B205" s="8" t="s">
        <v>19</v>
      </c>
      <c r="C205" s="8" t="s">
        <v>27</v>
      </c>
      <c r="D205" s="8" t="s">
        <v>25</v>
      </c>
      <c r="E205" s="8" t="s">
        <v>24</v>
      </c>
      <c r="F205" s="9">
        <v>390</v>
      </c>
      <c r="G205" s="9">
        <v>350</v>
      </c>
      <c r="H205" s="9">
        <v>22</v>
      </c>
      <c r="I205" s="9">
        <f t="shared" si="27"/>
        <v>328</v>
      </c>
      <c r="J205" s="9">
        <v>63</v>
      </c>
      <c r="K205" s="10">
        <f t="shared" si="28"/>
        <v>0.13125000000000001</v>
      </c>
      <c r="L205" s="17">
        <v>120</v>
      </c>
      <c r="M205" s="17">
        <v>30800</v>
      </c>
      <c r="N205" s="17">
        <f t="shared" si="29"/>
        <v>39360</v>
      </c>
      <c r="O205" s="17">
        <f t="shared" si="30"/>
        <v>8560</v>
      </c>
      <c r="P205" s="10">
        <f t="shared" si="31"/>
        <v>0.89743589743589747</v>
      </c>
      <c r="Q205" s="10">
        <f t="shared" si="32"/>
        <v>6.2857142857142861E-2</v>
      </c>
      <c r="R205" s="10">
        <f t="shared" si="33"/>
        <v>0.21747967479674796</v>
      </c>
      <c r="S205" s="18">
        <f t="shared" si="34"/>
        <v>93.902439024390247</v>
      </c>
      <c r="T205" s="8">
        <f>480-ProductionData[[#This Row],[Downtime Minutes]]</f>
        <v>417</v>
      </c>
      <c r="U205" s="11">
        <f t="shared" si="35"/>
        <v>0.83932853717026379</v>
      </c>
      <c r="V205" s="18">
        <f>ProductionData[[#This Row],[Profit]]/ProductionData[[#This Row],[Good Units]]</f>
        <v>26.097560975609756</v>
      </c>
      <c r="W205" s="11">
        <f>ProductionData[[#This Row],[Good Units]]/ProductionData[[#This Row],[Operating Minutes]]</f>
        <v>0.78657074340527577</v>
      </c>
    </row>
    <row r="206" spans="1:23">
      <c r="A206" s="7">
        <v>46226</v>
      </c>
      <c r="B206" s="8" t="s">
        <v>19</v>
      </c>
      <c r="C206" s="8" t="s">
        <v>28</v>
      </c>
      <c r="D206" s="8" t="s">
        <v>21</v>
      </c>
      <c r="E206" s="8" t="s">
        <v>22</v>
      </c>
      <c r="F206" s="9">
        <v>440</v>
      </c>
      <c r="G206" s="9">
        <v>428</v>
      </c>
      <c r="H206" s="9">
        <v>16</v>
      </c>
      <c r="I206" s="9">
        <f t="shared" si="27"/>
        <v>412</v>
      </c>
      <c r="J206" s="9">
        <v>22</v>
      </c>
      <c r="K206" s="10">
        <f t="shared" si="28"/>
        <v>4.583333333333333E-2</v>
      </c>
      <c r="L206" s="17">
        <v>100</v>
      </c>
      <c r="M206" s="17">
        <v>30800</v>
      </c>
      <c r="N206" s="17">
        <f t="shared" si="29"/>
        <v>41200</v>
      </c>
      <c r="O206" s="17">
        <f t="shared" si="30"/>
        <v>10400</v>
      </c>
      <c r="P206" s="10">
        <f t="shared" si="31"/>
        <v>0.97272727272727277</v>
      </c>
      <c r="Q206" s="10">
        <f t="shared" si="32"/>
        <v>3.7383177570093455E-2</v>
      </c>
      <c r="R206" s="10">
        <f t="shared" si="33"/>
        <v>0.25242718446601942</v>
      </c>
      <c r="S206" s="18">
        <f t="shared" si="34"/>
        <v>74.757281553398059</v>
      </c>
      <c r="T206" s="8">
        <f>480-ProductionData[[#This Row],[Downtime Minutes]]</f>
        <v>458</v>
      </c>
      <c r="U206" s="11">
        <f t="shared" si="35"/>
        <v>0.93449781659388642</v>
      </c>
      <c r="V206" s="18">
        <f>ProductionData[[#This Row],[Profit]]/ProductionData[[#This Row],[Good Units]]</f>
        <v>25.242718446601941</v>
      </c>
      <c r="W206" s="11">
        <f>ProductionData[[#This Row],[Good Units]]/ProductionData[[#This Row],[Operating Minutes]]</f>
        <v>0.89956331877729256</v>
      </c>
    </row>
    <row r="207" spans="1:23">
      <c r="A207" s="7">
        <v>46226</v>
      </c>
      <c r="B207" s="8" t="s">
        <v>19</v>
      </c>
      <c r="C207" s="8" t="s">
        <v>28</v>
      </c>
      <c r="D207" s="8" t="s">
        <v>23</v>
      </c>
      <c r="E207" s="8" t="s">
        <v>24</v>
      </c>
      <c r="F207" s="9">
        <v>400</v>
      </c>
      <c r="G207" s="9">
        <v>390</v>
      </c>
      <c r="H207" s="9">
        <v>14</v>
      </c>
      <c r="I207" s="9">
        <f t="shared" si="27"/>
        <v>376</v>
      </c>
      <c r="J207" s="9">
        <v>26</v>
      </c>
      <c r="K207" s="10">
        <f t="shared" si="28"/>
        <v>5.4166666666666669E-2</v>
      </c>
      <c r="L207" s="17">
        <v>120</v>
      </c>
      <c r="M207" s="17">
        <v>30800</v>
      </c>
      <c r="N207" s="17">
        <f t="shared" si="29"/>
        <v>45120</v>
      </c>
      <c r="O207" s="17">
        <f t="shared" si="30"/>
        <v>14320</v>
      </c>
      <c r="P207" s="10">
        <f t="shared" si="31"/>
        <v>0.97499999999999998</v>
      </c>
      <c r="Q207" s="10">
        <f t="shared" si="32"/>
        <v>3.5897435897435895E-2</v>
      </c>
      <c r="R207" s="10">
        <f t="shared" si="33"/>
        <v>0.31737588652482268</v>
      </c>
      <c r="S207" s="18">
        <f t="shared" si="34"/>
        <v>81.914893617021278</v>
      </c>
      <c r="T207" s="8">
        <f>480-ProductionData[[#This Row],[Downtime Minutes]]</f>
        <v>454</v>
      </c>
      <c r="U207" s="11">
        <f t="shared" si="35"/>
        <v>0.8590308370044053</v>
      </c>
      <c r="V207" s="18">
        <f>ProductionData[[#This Row],[Profit]]/ProductionData[[#This Row],[Good Units]]</f>
        <v>38.085106382978722</v>
      </c>
      <c r="W207" s="11">
        <f>ProductionData[[#This Row],[Good Units]]/ProductionData[[#This Row],[Operating Minutes]]</f>
        <v>0.82819383259911894</v>
      </c>
    </row>
    <row r="208" spans="1:23">
      <c r="A208" s="7">
        <v>46226</v>
      </c>
      <c r="B208" s="8" t="s">
        <v>19</v>
      </c>
      <c r="C208" s="8" t="s">
        <v>28</v>
      </c>
      <c r="D208" s="8" t="s">
        <v>25</v>
      </c>
      <c r="E208" s="8" t="s">
        <v>26</v>
      </c>
      <c r="F208" s="9">
        <v>520</v>
      </c>
      <c r="G208" s="9">
        <v>493</v>
      </c>
      <c r="H208" s="9">
        <v>17</v>
      </c>
      <c r="I208" s="9">
        <f t="shared" si="27"/>
        <v>476</v>
      </c>
      <c r="J208" s="9">
        <v>36</v>
      </c>
      <c r="K208" s="10">
        <f t="shared" si="28"/>
        <v>7.4999999999999997E-2</v>
      </c>
      <c r="L208" s="17">
        <v>90</v>
      </c>
      <c r="M208" s="17">
        <v>30800</v>
      </c>
      <c r="N208" s="17">
        <f t="shared" si="29"/>
        <v>42840</v>
      </c>
      <c r="O208" s="17">
        <f t="shared" si="30"/>
        <v>12040</v>
      </c>
      <c r="P208" s="10">
        <f t="shared" si="31"/>
        <v>0.94807692307692304</v>
      </c>
      <c r="Q208" s="10">
        <f t="shared" si="32"/>
        <v>3.4482758620689655E-2</v>
      </c>
      <c r="R208" s="10">
        <f t="shared" si="33"/>
        <v>0.28104575163398693</v>
      </c>
      <c r="S208" s="18">
        <f t="shared" si="34"/>
        <v>64.705882352941174</v>
      </c>
      <c r="T208" s="8">
        <f>480-ProductionData[[#This Row],[Downtime Minutes]]</f>
        <v>444</v>
      </c>
      <c r="U208" s="11">
        <f t="shared" si="35"/>
        <v>1.1103603603603605</v>
      </c>
      <c r="V208" s="18">
        <f>ProductionData[[#This Row],[Profit]]/ProductionData[[#This Row],[Good Units]]</f>
        <v>25.294117647058822</v>
      </c>
      <c r="W208" s="11">
        <f>ProductionData[[#This Row],[Good Units]]/ProductionData[[#This Row],[Operating Minutes]]</f>
        <v>1.072072072072072</v>
      </c>
    </row>
    <row r="209" spans="1:23">
      <c r="A209" s="7">
        <v>46227</v>
      </c>
      <c r="B209" s="8" t="s">
        <v>19</v>
      </c>
      <c r="C209" s="8" t="s">
        <v>20</v>
      </c>
      <c r="D209" s="8" t="s">
        <v>21</v>
      </c>
      <c r="E209" s="8" t="s">
        <v>26</v>
      </c>
      <c r="F209" s="9">
        <v>520</v>
      </c>
      <c r="G209" s="9">
        <v>506</v>
      </c>
      <c r="H209" s="9">
        <v>19</v>
      </c>
      <c r="I209" s="9">
        <f t="shared" si="27"/>
        <v>487</v>
      </c>
      <c r="J209" s="9">
        <v>22</v>
      </c>
      <c r="K209" s="10">
        <f t="shared" si="28"/>
        <v>4.583333333333333E-2</v>
      </c>
      <c r="L209" s="17">
        <v>90</v>
      </c>
      <c r="M209" s="17">
        <v>30800</v>
      </c>
      <c r="N209" s="17">
        <f t="shared" si="29"/>
        <v>43830</v>
      </c>
      <c r="O209" s="17">
        <f t="shared" si="30"/>
        <v>13030</v>
      </c>
      <c r="P209" s="10">
        <f t="shared" si="31"/>
        <v>0.97307692307692306</v>
      </c>
      <c r="Q209" s="10">
        <f t="shared" si="32"/>
        <v>3.7549407114624504E-2</v>
      </c>
      <c r="R209" s="10">
        <f t="shared" si="33"/>
        <v>0.297284964636094</v>
      </c>
      <c r="S209" s="18">
        <f t="shared" si="34"/>
        <v>63.244353182751539</v>
      </c>
      <c r="T209" s="8">
        <f>480-ProductionData[[#This Row],[Downtime Minutes]]</f>
        <v>458</v>
      </c>
      <c r="U209" s="11">
        <f t="shared" si="35"/>
        <v>1.1048034934497817</v>
      </c>
      <c r="V209" s="18">
        <f>ProductionData[[#This Row],[Profit]]/ProductionData[[#This Row],[Good Units]]</f>
        <v>26.755646817248461</v>
      </c>
      <c r="W209" s="11">
        <f>ProductionData[[#This Row],[Good Units]]/ProductionData[[#This Row],[Operating Minutes]]</f>
        <v>1.0633187772925765</v>
      </c>
    </row>
    <row r="210" spans="1:23">
      <c r="A210" s="7">
        <v>46227</v>
      </c>
      <c r="B210" s="8" t="s">
        <v>19</v>
      </c>
      <c r="C210" s="8" t="s">
        <v>20</v>
      </c>
      <c r="D210" s="8" t="s">
        <v>23</v>
      </c>
      <c r="E210" s="8" t="s">
        <v>22</v>
      </c>
      <c r="F210" s="9">
        <v>450</v>
      </c>
      <c r="G210" s="9">
        <v>423</v>
      </c>
      <c r="H210" s="9">
        <v>22</v>
      </c>
      <c r="I210" s="9">
        <f t="shared" si="27"/>
        <v>401</v>
      </c>
      <c r="J210" s="9">
        <v>49</v>
      </c>
      <c r="K210" s="10">
        <f t="shared" si="28"/>
        <v>0.10208333333333333</v>
      </c>
      <c r="L210" s="17">
        <v>100</v>
      </c>
      <c r="M210" s="17">
        <v>30800</v>
      </c>
      <c r="N210" s="17">
        <f t="shared" si="29"/>
        <v>40100</v>
      </c>
      <c r="O210" s="17">
        <f t="shared" si="30"/>
        <v>9300</v>
      </c>
      <c r="P210" s="10">
        <f t="shared" si="31"/>
        <v>0.94</v>
      </c>
      <c r="Q210" s="10">
        <f t="shared" si="32"/>
        <v>5.2009456264775412E-2</v>
      </c>
      <c r="R210" s="10">
        <f t="shared" si="33"/>
        <v>0.23192019950124687</v>
      </c>
      <c r="S210" s="18">
        <f t="shared" si="34"/>
        <v>76.807980049875312</v>
      </c>
      <c r="T210" s="8">
        <f>480-ProductionData[[#This Row],[Downtime Minutes]]</f>
        <v>431</v>
      </c>
      <c r="U210" s="11">
        <f t="shared" si="35"/>
        <v>0.9814385150812065</v>
      </c>
      <c r="V210" s="18">
        <f>ProductionData[[#This Row],[Profit]]/ProductionData[[#This Row],[Good Units]]</f>
        <v>23.192019950124688</v>
      </c>
      <c r="W210" s="11">
        <f>ProductionData[[#This Row],[Good Units]]/ProductionData[[#This Row],[Operating Minutes]]</f>
        <v>0.93039443155452439</v>
      </c>
    </row>
    <row r="211" spans="1:23">
      <c r="A211" s="7">
        <v>46227</v>
      </c>
      <c r="B211" s="8" t="s">
        <v>19</v>
      </c>
      <c r="C211" s="8" t="s">
        <v>20</v>
      </c>
      <c r="D211" s="8" t="s">
        <v>25</v>
      </c>
      <c r="E211" s="8" t="s">
        <v>24</v>
      </c>
      <c r="F211" s="9">
        <v>410</v>
      </c>
      <c r="G211" s="9">
        <v>382</v>
      </c>
      <c r="H211" s="9">
        <v>17</v>
      </c>
      <c r="I211" s="9">
        <f t="shared" si="27"/>
        <v>365</v>
      </c>
      <c r="J211" s="9">
        <v>35</v>
      </c>
      <c r="K211" s="10">
        <f t="shared" si="28"/>
        <v>7.2916666666666671E-2</v>
      </c>
      <c r="L211" s="17">
        <v>120</v>
      </c>
      <c r="M211" s="17">
        <v>30800</v>
      </c>
      <c r="N211" s="17">
        <f t="shared" si="29"/>
        <v>43800</v>
      </c>
      <c r="O211" s="17">
        <f t="shared" si="30"/>
        <v>13000</v>
      </c>
      <c r="P211" s="10">
        <f t="shared" si="31"/>
        <v>0.93170731707317078</v>
      </c>
      <c r="Q211" s="10">
        <f t="shared" si="32"/>
        <v>4.4502617801047119E-2</v>
      </c>
      <c r="R211" s="10">
        <f t="shared" si="33"/>
        <v>0.29680365296803651</v>
      </c>
      <c r="S211" s="18">
        <f t="shared" si="34"/>
        <v>84.38356164383562</v>
      </c>
      <c r="T211" s="8">
        <f>480-ProductionData[[#This Row],[Downtime Minutes]]</f>
        <v>445</v>
      </c>
      <c r="U211" s="11">
        <f t="shared" si="35"/>
        <v>0.85842696629213489</v>
      </c>
      <c r="V211" s="18">
        <f>ProductionData[[#This Row],[Profit]]/ProductionData[[#This Row],[Good Units]]</f>
        <v>35.61643835616438</v>
      </c>
      <c r="W211" s="11">
        <f>ProductionData[[#This Row],[Good Units]]/ProductionData[[#This Row],[Operating Minutes]]</f>
        <v>0.8202247191011236</v>
      </c>
    </row>
    <row r="212" spans="1:23">
      <c r="A212" s="7">
        <v>46227</v>
      </c>
      <c r="B212" s="8" t="s">
        <v>19</v>
      </c>
      <c r="C212" s="8" t="s">
        <v>27</v>
      </c>
      <c r="D212" s="8" t="s">
        <v>21</v>
      </c>
      <c r="E212" s="8" t="s">
        <v>22</v>
      </c>
      <c r="F212" s="9">
        <v>440</v>
      </c>
      <c r="G212" s="9">
        <v>403</v>
      </c>
      <c r="H212" s="9">
        <v>22</v>
      </c>
      <c r="I212" s="9">
        <f t="shared" si="27"/>
        <v>381</v>
      </c>
      <c r="J212" s="9">
        <v>55</v>
      </c>
      <c r="K212" s="10">
        <f t="shared" si="28"/>
        <v>0.11458333333333333</v>
      </c>
      <c r="L212" s="17">
        <v>100</v>
      </c>
      <c r="M212" s="17">
        <v>30800</v>
      </c>
      <c r="N212" s="17">
        <f t="shared" si="29"/>
        <v>38100</v>
      </c>
      <c r="O212" s="17">
        <f t="shared" si="30"/>
        <v>7300</v>
      </c>
      <c r="P212" s="10">
        <f t="shared" si="31"/>
        <v>0.91590909090909089</v>
      </c>
      <c r="Q212" s="10">
        <f t="shared" si="32"/>
        <v>5.4590570719602979E-2</v>
      </c>
      <c r="R212" s="10">
        <f t="shared" si="33"/>
        <v>0.19160104986876642</v>
      </c>
      <c r="S212" s="18">
        <f t="shared" si="34"/>
        <v>80.839895013123353</v>
      </c>
      <c r="T212" s="8">
        <f>480-ProductionData[[#This Row],[Downtime Minutes]]</f>
        <v>425</v>
      </c>
      <c r="U212" s="11">
        <f t="shared" si="35"/>
        <v>0.94823529411764707</v>
      </c>
      <c r="V212" s="18">
        <f>ProductionData[[#This Row],[Profit]]/ProductionData[[#This Row],[Good Units]]</f>
        <v>19.16010498687664</v>
      </c>
      <c r="W212" s="11">
        <f>ProductionData[[#This Row],[Good Units]]/ProductionData[[#This Row],[Operating Minutes]]</f>
        <v>0.89647058823529413</v>
      </c>
    </row>
    <row r="213" spans="1:23">
      <c r="A213" s="7">
        <v>46227</v>
      </c>
      <c r="B213" s="8" t="s">
        <v>19</v>
      </c>
      <c r="C213" s="8" t="s">
        <v>27</v>
      </c>
      <c r="D213" s="8" t="s">
        <v>23</v>
      </c>
      <c r="E213" s="8" t="s">
        <v>24</v>
      </c>
      <c r="F213" s="9">
        <v>400</v>
      </c>
      <c r="G213" s="9">
        <v>365</v>
      </c>
      <c r="H213" s="9">
        <v>16</v>
      </c>
      <c r="I213" s="9">
        <f t="shared" si="27"/>
        <v>349</v>
      </c>
      <c r="J213" s="9">
        <v>52</v>
      </c>
      <c r="K213" s="10">
        <f t="shared" si="28"/>
        <v>0.10833333333333334</v>
      </c>
      <c r="L213" s="17">
        <v>120</v>
      </c>
      <c r="M213" s="17">
        <v>30800</v>
      </c>
      <c r="N213" s="17">
        <f t="shared" si="29"/>
        <v>41880</v>
      </c>
      <c r="O213" s="17">
        <f t="shared" si="30"/>
        <v>11080</v>
      </c>
      <c r="P213" s="10">
        <f t="shared" si="31"/>
        <v>0.91249999999999998</v>
      </c>
      <c r="Q213" s="10">
        <f t="shared" si="32"/>
        <v>4.3835616438356165E-2</v>
      </c>
      <c r="R213" s="10">
        <f t="shared" si="33"/>
        <v>0.26456542502387775</v>
      </c>
      <c r="S213" s="18">
        <f t="shared" si="34"/>
        <v>88.252148997134668</v>
      </c>
      <c r="T213" s="8">
        <f>480-ProductionData[[#This Row],[Downtime Minutes]]</f>
        <v>428</v>
      </c>
      <c r="U213" s="11">
        <f t="shared" si="35"/>
        <v>0.85280373831775702</v>
      </c>
      <c r="V213" s="18">
        <f>ProductionData[[#This Row],[Profit]]/ProductionData[[#This Row],[Good Units]]</f>
        <v>31.747851002865328</v>
      </c>
      <c r="W213" s="11">
        <f>ProductionData[[#This Row],[Good Units]]/ProductionData[[#This Row],[Operating Minutes]]</f>
        <v>0.81542056074766356</v>
      </c>
    </row>
    <row r="214" spans="1:23">
      <c r="A214" s="7">
        <v>46227</v>
      </c>
      <c r="B214" s="8" t="s">
        <v>19</v>
      </c>
      <c r="C214" s="8" t="s">
        <v>27</v>
      </c>
      <c r="D214" s="8" t="s">
        <v>25</v>
      </c>
      <c r="E214" s="8" t="s">
        <v>26</v>
      </c>
      <c r="F214" s="9">
        <v>510</v>
      </c>
      <c r="G214" s="9">
        <v>433</v>
      </c>
      <c r="H214" s="9">
        <v>25</v>
      </c>
      <c r="I214" s="9">
        <f t="shared" si="27"/>
        <v>408</v>
      </c>
      <c r="J214" s="9">
        <v>61</v>
      </c>
      <c r="K214" s="10">
        <f t="shared" si="28"/>
        <v>0.12708333333333333</v>
      </c>
      <c r="L214" s="17">
        <v>90</v>
      </c>
      <c r="M214" s="17">
        <v>30800</v>
      </c>
      <c r="N214" s="17">
        <f t="shared" si="29"/>
        <v>36720</v>
      </c>
      <c r="O214" s="17">
        <f t="shared" si="30"/>
        <v>5920</v>
      </c>
      <c r="P214" s="10">
        <f t="shared" si="31"/>
        <v>0.84901960784313724</v>
      </c>
      <c r="Q214" s="10">
        <f t="shared" si="32"/>
        <v>5.7736720554272515E-2</v>
      </c>
      <c r="R214" s="10">
        <f t="shared" si="33"/>
        <v>0.16122004357298475</v>
      </c>
      <c r="S214" s="18">
        <f t="shared" si="34"/>
        <v>75.490196078431367</v>
      </c>
      <c r="T214" s="8">
        <f>480-ProductionData[[#This Row],[Downtime Minutes]]</f>
        <v>419</v>
      </c>
      <c r="U214" s="11">
        <f t="shared" si="35"/>
        <v>1.0334128878281623</v>
      </c>
      <c r="V214" s="18">
        <f>ProductionData[[#This Row],[Profit]]/ProductionData[[#This Row],[Good Units]]</f>
        <v>14.509803921568627</v>
      </c>
      <c r="W214" s="11">
        <f>ProductionData[[#This Row],[Good Units]]/ProductionData[[#This Row],[Operating Minutes]]</f>
        <v>0.97374701670644392</v>
      </c>
    </row>
    <row r="215" spans="1:23">
      <c r="A215" s="7">
        <v>46227</v>
      </c>
      <c r="B215" s="8" t="s">
        <v>19</v>
      </c>
      <c r="C215" s="8" t="s">
        <v>28</v>
      </c>
      <c r="D215" s="8" t="s">
        <v>21</v>
      </c>
      <c r="E215" s="8" t="s">
        <v>24</v>
      </c>
      <c r="F215" s="9">
        <v>400</v>
      </c>
      <c r="G215" s="9">
        <v>402</v>
      </c>
      <c r="H215" s="9">
        <v>11</v>
      </c>
      <c r="I215" s="9">
        <f t="shared" si="27"/>
        <v>391</v>
      </c>
      <c r="J215" s="9">
        <v>18</v>
      </c>
      <c r="K215" s="10">
        <f t="shared" si="28"/>
        <v>3.7499999999999999E-2</v>
      </c>
      <c r="L215" s="17">
        <v>120</v>
      </c>
      <c r="M215" s="17">
        <v>30800</v>
      </c>
      <c r="N215" s="17">
        <f t="shared" si="29"/>
        <v>46920</v>
      </c>
      <c r="O215" s="17">
        <f t="shared" si="30"/>
        <v>16120</v>
      </c>
      <c r="P215" s="10">
        <f t="shared" si="31"/>
        <v>1.0049999999999999</v>
      </c>
      <c r="Q215" s="10">
        <f t="shared" si="32"/>
        <v>2.736318407960199E-2</v>
      </c>
      <c r="R215" s="10">
        <f t="shared" si="33"/>
        <v>0.34356351236146632</v>
      </c>
      <c r="S215" s="18">
        <f t="shared" si="34"/>
        <v>78.772378516624045</v>
      </c>
      <c r="T215" s="8">
        <f>480-ProductionData[[#This Row],[Downtime Minutes]]</f>
        <v>462</v>
      </c>
      <c r="U215" s="11">
        <f t="shared" si="35"/>
        <v>0.87012987012987009</v>
      </c>
      <c r="V215" s="18">
        <f>ProductionData[[#This Row],[Profit]]/ProductionData[[#This Row],[Good Units]]</f>
        <v>41.227621483375962</v>
      </c>
      <c r="W215" s="11">
        <f>ProductionData[[#This Row],[Good Units]]/ProductionData[[#This Row],[Operating Minutes]]</f>
        <v>0.84632034632034636</v>
      </c>
    </row>
    <row r="216" spans="1:23">
      <c r="A216" s="7">
        <v>46227</v>
      </c>
      <c r="B216" s="8" t="s">
        <v>19</v>
      </c>
      <c r="C216" s="8" t="s">
        <v>28</v>
      </c>
      <c r="D216" s="8" t="s">
        <v>23</v>
      </c>
      <c r="E216" s="8" t="s">
        <v>26</v>
      </c>
      <c r="F216" s="9">
        <v>520</v>
      </c>
      <c r="G216" s="9">
        <v>498</v>
      </c>
      <c r="H216" s="9">
        <v>18</v>
      </c>
      <c r="I216" s="9">
        <f t="shared" si="27"/>
        <v>480</v>
      </c>
      <c r="J216" s="9">
        <v>15</v>
      </c>
      <c r="K216" s="10">
        <f t="shared" si="28"/>
        <v>3.125E-2</v>
      </c>
      <c r="L216" s="17">
        <v>90</v>
      </c>
      <c r="M216" s="17">
        <v>30800</v>
      </c>
      <c r="N216" s="17">
        <f t="shared" si="29"/>
        <v>43200</v>
      </c>
      <c r="O216" s="17">
        <f t="shared" si="30"/>
        <v>12400</v>
      </c>
      <c r="P216" s="10">
        <f t="shared" si="31"/>
        <v>0.95769230769230773</v>
      </c>
      <c r="Q216" s="10">
        <f t="shared" si="32"/>
        <v>3.614457831325301E-2</v>
      </c>
      <c r="R216" s="10">
        <f t="shared" si="33"/>
        <v>0.28703703703703703</v>
      </c>
      <c r="S216" s="18">
        <f t="shared" si="34"/>
        <v>64.166666666666671</v>
      </c>
      <c r="T216" s="8">
        <f>480-ProductionData[[#This Row],[Downtime Minutes]]</f>
        <v>465</v>
      </c>
      <c r="U216" s="11">
        <f t="shared" si="35"/>
        <v>1.0709677419354839</v>
      </c>
      <c r="V216" s="18">
        <f>ProductionData[[#This Row],[Profit]]/ProductionData[[#This Row],[Good Units]]</f>
        <v>25.833333333333332</v>
      </c>
      <c r="W216" s="11">
        <f>ProductionData[[#This Row],[Good Units]]/ProductionData[[#This Row],[Operating Minutes]]</f>
        <v>1.032258064516129</v>
      </c>
    </row>
    <row r="217" spans="1:23">
      <c r="A217" s="7">
        <v>46227</v>
      </c>
      <c r="B217" s="8" t="s">
        <v>19</v>
      </c>
      <c r="C217" s="8" t="s">
        <v>28</v>
      </c>
      <c r="D217" s="8" t="s">
        <v>25</v>
      </c>
      <c r="E217" s="8" t="s">
        <v>22</v>
      </c>
      <c r="F217" s="9">
        <v>470</v>
      </c>
      <c r="G217" s="9">
        <v>431</v>
      </c>
      <c r="H217" s="9">
        <v>25</v>
      </c>
      <c r="I217" s="9">
        <f t="shared" si="27"/>
        <v>406</v>
      </c>
      <c r="J217" s="9">
        <v>49</v>
      </c>
      <c r="K217" s="10">
        <f t="shared" si="28"/>
        <v>0.10208333333333333</v>
      </c>
      <c r="L217" s="17">
        <v>100</v>
      </c>
      <c r="M217" s="17">
        <v>30800</v>
      </c>
      <c r="N217" s="17">
        <f t="shared" si="29"/>
        <v>40600</v>
      </c>
      <c r="O217" s="17">
        <f t="shared" si="30"/>
        <v>9800</v>
      </c>
      <c r="P217" s="10">
        <f t="shared" si="31"/>
        <v>0.91702127659574473</v>
      </c>
      <c r="Q217" s="10">
        <f t="shared" si="32"/>
        <v>5.8004640371229696E-2</v>
      </c>
      <c r="R217" s="10">
        <f t="shared" si="33"/>
        <v>0.2413793103448276</v>
      </c>
      <c r="S217" s="18">
        <f t="shared" si="34"/>
        <v>75.862068965517238</v>
      </c>
      <c r="T217" s="8">
        <f>480-ProductionData[[#This Row],[Downtime Minutes]]</f>
        <v>431</v>
      </c>
      <c r="U217" s="11">
        <f t="shared" si="35"/>
        <v>1</v>
      </c>
      <c r="V217" s="18">
        <f>ProductionData[[#This Row],[Profit]]/ProductionData[[#This Row],[Good Units]]</f>
        <v>24.137931034482758</v>
      </c>
      <c r="W217" s="11">
        <f>ProductionData[[#This Row],[Good Units]]/ProductionData[[#This Row],[Operating Minutes]]</f>
        <v>0.94199535962877035</v>
      </c>
    </row>
    <row r="218" spans="1:23">
      <c r="A218" s="7">
        <v>46228</v>
      </c>
      <c r="B218" s="8" t="s">
        <v>19</v>
      </c>
      <c r="C218" s="8" t="s">
        <v>20</v>
      </c>
      <c r="D218" s="8" t="s">
        <v>21</v>
      </c>
      <c r="E218" s="8" t="s">
        <v>22</v>
      </c>
      <c r="F218" s="9">
        <v>470</v>
      </c>
      <c r="G218" s="9">
        <v>464</v>
      </c>
      <c r="H218" s="9">
        <v>23</v>
      </c>
      <c r="I218" s="9">
        <f t="shared" si="27"/>
        <v>441</v>
      </c>
      <c r="J218" s="9">
        <v>34</v>
      </c>
      <c r="K218" s="10">
        <f t="shared" si="28"/>
        <v>7.0833333333333331E-2</v>
      </c>
      <c r="L218" s="17">
        <v>100</v>
      </c>
      <c r="M218" s="17">
        <v>30800</v>
      </c>
      <c r="N218" s="17">
        <f t="shared" si="29"/>
        <v>44100</v>
      </c>
      <c r="O218" s="17">
        <f t="shared" si="30"/>
        <v>13300</v>
      </c>
      <c r="P218" s="10">
        <f t="shared" si="31"/>
        <v>0.98723404255319147</v>
      </c>
      <c r="Q218" s="10">
        <f t="shared" si="32"/>
        <v>4.9568965517241381E-2</v>
      </c>
      <c r="R218" s="10">
        <f t="shared" si="33"/>
        <v>0.30158730158730157</v>
      </c>
      <c r="S218" s="18">
        <f t="shared" si="34"/>
        <v>69.841269841269835</v>
      </c>
      <c r="T218" s="8">
        <f>480-ProductionData[[#This Row],[Downtime Minutes]]</f>
        <v>446</v>
      </c>
      <c r="U218" s="11">
        <f t="shared" si="35"/>
        <v>1.0403587443946187</v>
      </c>
      <c r="V218" s="18">
        <f>ProductionData[[#This Row],[Profit]]/ProductionData[[#This Row],[Good Units]]</f>
        <v>30.158730158730158</v>
      </c>
      <c r="W218" s="11">
        <f>ProductionData[[#This Row],[Good Units]]/ProductionData[[#This Row],[Operating Minutes]]</f>
        <v>0.9887892376681614</v>
      </c>
    </row>
    <row r="219" spans="1:23">
      <c r="A219" s="7">
        <v>46228</v>
      </c>
      <c r="B219" s="8" t="s">
        <v>19</v>
      </c>
      <c r="C219" s="8" t="s">
        <v>20</v>
      </c>
      <c r="D219" s="8" t="s">
        <v>23</v>
      </c>
      <c r="E219" s="8" t="s">
        <v>24</v>
      </c>
      <c r="F219" s="9">
        <v>410</v>
      </c>
      <c r="G219" s="9">
        <v>377</v>
      </c>
      <c r="H219" s="9">
        <v>13</v>
      </c>
      <c r="I219" s="9">
        <f t="shared" si="27"/>
        <v>364</v>
      </c>
      <c r="J219" s="9">
        <v>39</v>
      </c>
      <c r="K219" s="10">
        <f t="shared" si="28"/>
        <v>8.1250000000000003E-2</v>
      </c>
      <c r="L219" s="17">
        <v>120</v>
      </c>
      <c r="M219" s="17">
        <v>30800</v>
      </c>
      <c r="N219" s="17">
        <f t="shared" si="29"/>
        <v>43680</v>
      </c>
      <c r="O219" s="17">
        <f t="shared" si="30"/>
        <v>12880</v>
      </c>
      <c r="P219" s="10">
        <f t="shared" si="31"/>
        <v>0.91951219512195126</v>
      </c>
      <c r="Q219" s="10">
        <f t="shared" si="32"/>
        <v>3.4482758620689655E-2</v>
      </c>
      <c r="R219" s="10">
        <f t="shared" si="33"/>
        <v>0.29487179487179488</v>
      </c>
      <c r="S219" s="18">
        <f t="shared" si="34"/>
        <v>84.615384615384613</v>
      </c>
      <c r="T219" s="8">
        <f>480-ProductionData[[#This Row],[Downtime Minutes]]</f>
        <v>441</v>
      </c>
      <c r="U219" s="11">
        <f t="shared" si="35"/>
        <v>0.85487528344671204</v>
      </c>
      <c r="V219" s="18">
        <f>ProductionData[[#This Row],[Profit]]/ProductionData[[#This Row],[Good Units]]</f>
        <v>35.384615384615387</v>
      </c>
      <c r="W219" s="11">
        <f>ProductionData[[#This Row],[Good Units]]/ProductionData[[#This Row],[Operating Minutes]]</f>
        <v>0.82539682539682535</v>
      </c>
    </row>
    <row r="220" spans="1:23">
      <c r="A220" s="7">
        <v>46228</v>
      </c>
      <c r="B220" s="8" t="s">
        <v>19</v>
      </c>
      <c r="C220" s="8" t="s">
        <v>20</v>
      </c>
      <c r="D220" s="8" t="s">
        <v>25</v>
      </c>
      <c r="E220" s="8" t="s">
        <v>26</v>
      </c>
      <c r="F220" s="9">
        <v>510</v>
      </c>
      <c r="G220" s="9">
        <v>474</v>
      </c>
      <c r="H220" s="9">
        <v>22</v>
      </c>
      <c r="I220" s="9">
        <f t="shared" si="27"/>
        <v>452</v>
      </c>
      <c r="J220" s="9">
        <v>46</v>
      </c>
      <c r="K220" s="10">
        <f t="shared" si="28"/>
        <v>9.583333333333334E-2</v>
      </c>
      <c r="L220" s="17">
        <v>90</v>
      </c>
      <c r="M220" s="17">
        <v>30800</v>
      </c>
      <c r="N220" s="17">
        <f t="shared" si="29"/>
        <v>40680</v>
      </c>
      <c r="O220" s="17">
        <f t="shared" si="30"/>
        <v>9880</v>
      </c>
      <c r="P220" s="10">
        <f t="shared" si="31"/>
        <v>0.92941176470588238</v>
      </c>
      <c r="Q220" s="10">
        <f t="shared" si="32"/>
        <v>4.6413502109704644E-2</v>
      </c>
      <c r="R220" s="10">
        <f t="shared" si="33"/>
        <v>0.24287118977384464</v>
      </c>
      <c r="S220" s="18">
        <f t="shared" si="34"/>
        <v>68.141592920353986</v>
      </c>
      <c r="T220" s="8">
        <f>480-ProductionData[[#This Row],[Downtime Minutes]]</f>
        <v>434</v>
      </c>
      <c r="U220" s="11">
        <f t="shared" si="35"/>
        <v>1.0921658986175116</v>
      </c>
      <c r="V220" s="18">
        <f>ProductionData[[#This Row],[Profit]]/ProductionData[[#This Row],[Good Units]]</f>
        <v>21.858407079646017</v>
      </c>
      <c r="W220" s="11">
        <f>ProductionData[[#This Row],[Good Units]]/ProductionData[[#This Row],[Operating Minutes]]</f>
        <v>1.0414746543778801</v>
      </c>
    </row>
    <row r="221" spans="1:23">
      <c r="A221" s="7">
        <v>46228</v>
      </c>
      <c r="B221" s="8" t="s">
        <v>19</v>
      </c>
      <c r="C221" s="8" t="s">
        <v>27</v>
      </c>
      <c r="D221" s="8" t="s">
        <v>21</v>
      </c>
      <c r="E221" s="8" t="s">
        <v>24</v>
      </c>
      <c r="F221" s="9">
        <v>390</v>
      </c>
      <c r="G221" s="9">
        <v>348</v>
      </c>
      <c r="H221" s="9">
        <v>13</v>
      </c>
      <c r="I221" s="9">
        <f t="shared" si="27"/>
        <v>335</v>
      </c>
      <c r="J221" s="9">
        <v>53</v>
      </c>
      <c r="K221" s="10">
        <f t="shared" si="28"/>
        <v>0.11041666666666666</v>
      </c>
      <c r="L221" s="17">
        <v>120</v>
      </c>
      <c r="M221" s="17">
        <v>30800</v>
      </c>
      <c r="N221" s="17">
        <f t="shared" si="29"/>
        <v>40200</v>
      </c>
      <c r="O221" s="17">
        <f t="shared" si="30"/>
        <v>9400</v>
      </c>
      <c r="P221" s="10">
        <f t="shared" si="31"/>
        <v>0.89230769230769236</v>
      </c>
      <c r="Q221" s="10">
        <f t="shared" si="32"/>
        <v>3.7356321839080463E-2</v>
      </c>
      <c r="R221" s="10">
        <f t="shared" si="33"/>
        <v>0.23383084577114427</v>
      </c>
      <c r="S221" s="18">
        <f t="shared" si="34"/>
        <v>91.940298507462686</v>
      </c>
      <c r="T221" s="8">
        <f>480-ProductionData[[#This Row],[Downtime Minutes]]</f>
        <v>427</v>
      </c>
      <c r="U221" s="11">
        <f t="shared" si="35"/>
        <v>0.81498829039812648</v>
      </c>
      <c r="V221" s="18">
        <f>ProductionData[[#This Row],[Profit]]/ProductionData[[#This Row],[Good Units]]</f>
        <v>28.059701492537314</v>
      </c>
      <c r="W221" s="11">
        <f>ProductionData[[#This Row],[Good Units]]/ProductionData[[#This Row],[Operating Minutes]]</f>
        <v>0.78454332552693207</v>
      </c>
    </row>
    <row r="222" spans="1:23">
      <c r="A222" s="7">
        <v>46228</v>
      </c>
      <c r="B222" s="8" t="s">
        <v>19</v>
      </c>
      <c r="C222" s="8" t="s">
        <v>27</v>
      </c>
      <c r="D222" s="8" t="s">
        <v>23</v>
      </c>
      <c r="E222" s="8" t="s">
        <v>26</v>
      </c>
      <c r="F222" s="9">
        <v>520</v>
      </c>
      <c r="G222" s="9">
        <v>459</v>
      </c>
      <c r="H222" s="9">
        <v>22</v>
      </c>
      <c r="I222" s="9">
        <f t="shared" si="27"/>
        <v>437</v>
      </c>
      <c r="J222" s="9">
        <v>52</v>
      </c>
      <c r="K222" s="10">
        <f t="shared" si="28"/>
        <v>0.10833333333333334</v>
      </c>
      <c r="L222" s="17">
        <v>90</v>
      </c>
      <c r="M222" s="17">
        <v>30800</v>
      </c>
      <c r="N222" s="17">
        <f t="shared" si="29"/>
        <v>39330</v>
      </c>
      <c r="O222" s="17">
        <f t="shared" si="30"/>
        <v>8530</v>
      </c>
      <c r="P222" s="10">
        <f t="shared" si="31"/>
        <v>0.88269230769230766</v>
      </c>
      <c r="Q222" s="10">
        <f t="shared" si="32"/>
        <v>4.793028322440087E-2</v>
      </c>
      <c r="R222" s="10">
        <f t="shared" si="33"/>
        <v>0.21688278667683702</v>
      </c>
      <c r="S222" s="18">
        <f t="shared" si="34"/>
        <v>70.480549199084663</v>
      </c>
      <c r="T222" s="8">
        <f>480-ProductionData[[#This Row],[Downtime Minutes]]</f>
        <v>428</v>
      </c>
      <c r="U222" s="11">
        <f t="shared" si="35"/>
        <v>1.0724299065420562</v>
      </c>
      <c r="V222" s="18">
        <f>ProductionData[[#This Row],[Profit]]/ProductionData[[#This Row],[Good Units]]</f>
        <v>19.519450800915333</v>
      </c>
      <c r="W222" s="11">
        <f>ProductionData[[#This Row],[Good Units]]/ProductionData[[#This Row],[Operating Minutes]]</f>
        <v>1.0210280373831775</v>
      </c>
    </row>
    <row r="223" spans="1:23">
      <c r="A223" s="7">
        <v>46228</v>
      </c>
      <c r="B223" s="8" t="s">
        <v>19</v>
      </c>
      <c r="C223" s="8" t="s">
        <v>27</v>
      </c>
      <c r="D223" s="8" t="s">
        <v>25</v>
      </c>
      <c r="E223" s="8" t="s">
        <v>22</v>
      </c>
      <c r="F223" s="9">
        <v>460</v>
      </c>
      <c r="G223" s="9">
        <v>389</v>
      </c>
      <c r="H223" s="9">
        <v>26</v>
      </c>
      <c r="I223" s="9">
        <f t="shared" si="27"/>
        <v>363</v>
      </c>
      <c r="J223" s="9">
        <v>55</v>
      </c>
      <c r="K223" s="10">
        <f t="shared" si="28"/>
        <v>0.11458333333333333</v>
      </c>
      <c r="L223" s="17">
        <v>100</v>
      </c>
      <c r="M223" s="17">
        <v>30800</v>
      </c>
      <c r="N223" s="17">
        <f t="shared" si="29"/>
        <v>36300</v>
      </c>
      <c r="O223" s="17">
        <f t="shared" si="30"/>
        <v>5500</v>
      </c>
      <c r="P223" s="10">
        <f t="shared" si="31"/>
        <v>0.84565217391304348</v>
      </c>
      <c r="Q223" s="10">
        <f t="shared" si="32"/>
        <v>6.6838046272493568E-2</v>
      </c>
      <c r="R223" s="10">
        <f t="shared" si="33"/>
        <v>0.15151515151515152</v>
      </c>
      <c r="S223" s="18">
        <f t="shared" si="34"/>
        <v>84.848484848484844</v>
      </c>
      <c r="T223" s="8">
        <f>480-ProductionData[[#This Row],[Downtime Minutes]]</f>
        <v>425</v>
      </c>
      <c r="U223" s="11">
        <f t="shared" si="35"/>
        <v>0.91529411764705881</v>
      </c>
      <c r="V223" s="18">
        <f>ProductionData[[#This Row],[Profit]]/ProductionData[[#This Row],[Good Units]]</f>
        <v>15.151515151515152</v>
      </c>
      <c r="W223" s="11">
        <f>ProductionData[[#This Row],[Good Units]]/ProductionData[[#This Row],[Operating Minutes]]</f>
        <v>0.85411764705882354</v>
      </c>
    </row>
    <row r="224" spans="1:23">
      <c r="A224" s="7">
        <v>46228</v>
      </c>
      <c r="B224" s="8" t="s">
        <v>19</v>
      </c>
      <c r="C224" s="8" t="s">
        <v>28</v>
      </c>
      <c r="D224" s="8" t="s">
        <v>21</v>
      </c>
      <c r="E224" s="8" t="s">
        <v>26</v>
      </c>
      <c r="F224" s="9">
        <v>520</v>
      </c>
      <c r="G224" s="9">
        <v>497</v>
      </c>
      <c r="H224" s="9">
        <v>11</v>
      </c>
      <c r="I224" s="9">
        <f t="shared" si="27"/>
        <v>486</v>
      </c>
      <c r="J224" s="9">
        <v>22</v>
      </c>
      <c r="K224" s="10">
        <f t="shared" si="28"/>
        <v>4.583333333333333E-2</v>
      </c>
      <c r="L224" s="17">
        <v>90</v>
      </c>
      <c r="M224" s="17">
        <v>30800</v>
      </c>
      <c r="N224" s="17">
        <f t="shared" si="29"/>
        <v>43740</v>
      </c>
      <c r="O224" s="17">
        <f t="shared" si="30"/>
        <v>12940</v>
      </c>
      <c r="P224" s="10">
        <f t="shared" si="31"/>
        <v>0.95576923076923082</v>
      </c>
      <c r="Q224" s="10">
        <f t="shared" si="32"/>
        <v>2.2132796780684104E-2</v>
      </c>
      <c r="R224" s="10">
        <f t="shared" si="33"/>
        <v>0.2958390489254687</v>
      </c>
      <c r="S224" s="18">
        <f t="shared" si="34"/>
        <v>63.374485596707821</v>
      </c>
      <c r="T224" s="8">
        <f>480-ProductionData[[#This Row],[Downtime Minutes]]</f>
        <v>458</v>
      </c>
      <c r="U224" s="11">
        <f t="shared" si="35"/>
        <v>1.0851528384279476</v>
      </c>
      <c r="V224" s="18">
        <f>ProductionData[[#This Row],[Profit]]/ProductionData[[#This Row],[Good Units]]</f>
        <v>26.625514403292183</v>
      </c>
      <c r="W224" s="11">
        <f>ProductionData[[#This Row],[Good Units]]/ProductionData[[#This Row],[Operating Minutes]]</f>
        <v>1.0611353711790392</v>
      </c>
    </row>
    <row r="225" spans="1:23">
      <c r="A225" s="7">
        <v>46228</v>
      </c>
      <c r="B225" s="8" t="s">
        <v>19</v>
      </c>
      <c r="C225" s="8" t="s">
        <v>28</v>
      </c>
      <c r="D225" s="8" t="s">
        <v>23</v>
      </c>
      <c r="E225" s="8" t="s">
        <v>22</v>
      </c>
      <c r="F225" s="9">
        <v>450</v>
      </c>
      <c r="G225" s="9">
        <v>432</v>
      </c>
      <c r="H225" s="9">
        <v>22</v>
      </c>
      <c r="I225" s="9">
        <f t="shared" si="27"/>
        <v>410</v>
      </c>
      <c r="J225" s="9">
        <v>44</v>
      </c>
      <c r="K225" s="10">
        <f t="shared" si="28"/>
        <v>9.166666666666666E-2</v>
      </c>
      <c r="L225" s="17">
        <v>100</v>
      </c>
      <c r="M225" s="17">
        <v>30800</v>
      </c>
      <c r="N225" s="17">
        <f t="shared" si="29"/>
        <v>41000</v>
      </c>
      <c r="O225" s="17">
        <f t="shared" si="30"/>
        <v>10200</v>
      </c>
      <c r="P225" s="10">
        <f t="shared" si="31"/>
        <v>0.96</v>
      </c>
      <c r="Q225" s="10">
        <f t="shared" si="32"/>
        <v>5.0925925925925923E-2</v>
      </c>
      <c r="R225" s="10">
        <f t="shared" si="33"/>
        <v>0.24878048780487805</v>
      </c>
      <c r="S225" s="18">
        <f t="shared" si="34"/>
        <v>75.121951219512198</v>
      </c>
      <c r="T225" s="8">
        <f>480-ProductionData[[#This Row],[Downtime Minutes]]</f>
        <v>436</v>
      </c>
      <c r="U225" s="11">
        <f t="shared" si="35"/>
        <v>0.99082568807339455</v>
      </c>
      <c r="V225" s="18">
        <f>ProductionData[[#This Row],[Profit]]/ProductionData[[#This Row],[Good Units]]</f>
        <v>24.878048780487806</v>
      </c>
      <c r="W225" s="11">
        <f>ProductionData[[#This Row],[Good Units]]/ProductionData[[#This Row],[Operating Minutes]]</f>
        <v>0.94036697247706424</v>
      </c>
    </row>
    <row r="226" spans="1:23">
      <c r="A226" s="7">
        <v>46228</v>
      </c>
      <c r="B226" s="8" t="s">
        <v>19</v>
      </c>
      <c r="C226" s="8" t="s">
        <v>28</v>
      </c>
      <c r="D226" s="8" t="s">
        <v>25</v>
      </c>
      <c r="E226" s="8" t="s">
        <v>24</v>
      </c>
      <c r="F226" s="9">
        <v>400</v>
      </c>
      <c r="G226" s="9">
        <v>381</v>
      </c>
      <c r="H226" s="9">
        <v>11</v>
      </c>
      <c r="I226" s="9">
        <f t="shared" si="27"/>
        <v>370</v>
      </c>
      <c r="J226" s="9">
        <v>36</v>
      </c>
      <c r="K226" s="10">
        <f t="shared" si="28"/>
        <v>7.4999999999999997E-2</v>
      </c>
      <c r="L226" s="17">
        <v>120</v>
      </c>
      <c r="M226" s="17">
        <v>30800</v>
      </c>
      <c r="N226" s="17">
        <f t="shared" si="29"/>
        <v>44400</v>
      </c>
      <c r="O226" s="17">
        <f t="shared" si="30"/>
        <v>13600</v>
      </c>
      <c r="P226" s="10">
        <f t="shared" si="31"/>
        <v>0.95250000000000001</v>
      </c>
      <c r="Q226" s="10">
        <f t="shared" si="32"/>
        <v>2.8871391076115485E-2</v>
      </c>
      <c r="R226" s="10">
        <f t="shared" si="33"/>
        <v>0.30630630630630629</v>
      </c>
      <c r="S226" s="18">
        <f t="shared" si="34"/>
        <v>83.243243243243242</v>
      </c>
      <c r="T226" s="8">
        <f>480-ProductionData[[#This Row],[Downtime Minutes]]</f>
        <v>444</v>
      </c>
      <c r="U226" s="11">
        <f t="shared" si="35"/>
        <v>0.85810810810810811</v>
      </c>
      <c r="V226" s="18">
        <f>ProductionData[[#This Row],[Profit]]/ProductionData[[#This Row],[Good Units]]</f>
        <v>36.756756756756758</v>
      </c>
      <c r="W226" s="11">
        <f>ProductionData[[#This Row],[Good Units]]/ProductionData[[#This Row],[Operating Minutes]]</f>
        <v>0.83333333333333337</v>
      </c>
    </row>
    <row r="227" spans="1:23">
      <c r="A227" s="7">
        <v>46229</v>
      </c>
      <c r="B227" s="8" t="s">
        <v>19</v>
      </c>
      <c r="C227" s="8" t="s">
        <v>20</v>
      </c>
      <c r="D227" s="8" t="s">
        <v>21</v>
      </c>
      <c r="E227" s="8" t="s">
        <v>24</v>
      </c>
      <c r="F227" s="9">
        <v>390</v>
      </c>
      <c r="G227" s="9">
        <v>373</v>
      </c>
      <c r="H227" s="9">
        <v>10</v>
      </c>
      <c r="I227" s="9">
        <f t="shared" si="27"/>
        <v>363</v>
      </c>
      <c r="J227" s="9">
        <v>26</v>
      </c>
      <c r="K227" s="10">
        <f t="shared" si="28"/>
        <v>5.4166666666666669E-2</v>
      </c>
      <c r="L227" s="17">
        <v>120</v>
      </c>
      <c r="M227" s="17">
        <v>30800</v>
      </c>
      <c r="N227" s="17">
        <f t="shared" si="29"/>
        <v>43560</v>
      </c>
      <c r="O227" s="17">
        <f t="shared" si="30"/>
        <v>12760</v>
      </c>
      <c r="P227" s="10">
        <f t="shared" si="31"/>
        <v>0.95641025641025645</v>
      </c>
      <c r="Q227" s="10">
        <f t="shared" si="32"/>
        <v>2.6809651474530832E-2</v>
      </c>
      <c r="R227" s="10">
        <f t="shared" si="33"/>
        <v>0.29292929292929293</v>
      </c>
      <c r="S227" s="18">
        <f t="shared" si="34"/>
        <v>84.848484848484844</v>
      </c>
      <c r="T227" s="8">
        <f>480-ProductionData[[#This Row],[Downtime Minutes]]</f>
        <v>454</v>
      </c>
      <c r="U227" s="11">
        <f t="shared" si="35"/>
        <v>0.82158590308370039</v>
      </c>
      <c r="V227" s="18">
        <f>ProductionData[[#This Row],[Profit]]/ProductionData[[#This Row],[Good Units]]</f>
        <v>35.151515151515149</v>
      </c>
      <c r="W227" s="11">
        <f>ProductionData[[#This Row],[Good Units]]/ProductionData[[#This Row],[Operating Minutes]]</f>
        <v>0.79955947136563876</v>
      </c>
    </row>
    <row r="228" spans="1:23">
      <c r="A228" s="7">
        <v>46229</v>
      </c>
      <c r="B228" s="8" t="s">
        <v>19</v>
      </c>
      <c r="C228" s="8" t="s">
        <v>20</v>
      </c>
      <c r="D228" s="8" t="s">
        <v>23</v>
      </c>
      <c r="E228" s="8" t="s">
        <v>26</v>
      </c>
      <c r="F228" s="9">
        <v>510</v>
      </c>
      <c r="G228" s="9">
        <v>475</v>
      </c>
      <c r="H228" s="9">
        <v>17</v>
      </c>
      <c r="I228" s="9">
        <f t="shared" si="27"/>
        <v>458</v>
      </c>
      <c r="J228" s="9">
        <v>27</v>
      </c>
      <c r="K228" s="10">
        <f t="shared" si="28"/>
        <v>5.6250000000000001E-2</v>
      </c>
      <c r="L228" s="17">
        <v>90</v>
      </c>
      <c r="M228" s="17">
        <v>30800</v>
      </c>
      <c r="N228" s="17">
        <f t="shared" si="29"/>
        <v>41220</v>
      </c>
      <c r="O228" s="17">
        <f t="shared" si="30"/>
        <v>10420</v>
      </c>
      <c r="P228" s="10">
        <f t="shared" si="31"/>
        <v>0.93137254901960786</v>
      </c>
      <c r="Q228" s="10">
        <f t="shared" si="32"/>
        <v>3.5789473684210524E-2</v>
      </c>
      <c r="R228" s="10">
        <f t="shared" si="33"/>
        <v>0.25278990781174188</v>
      </c>
      <c r="S228" s="18">
        <f t="shared" si="34"/>
        <v>67.248908296943227</v>
      </c>
      <c r="T228" s="8">
        <f>480-ProductionData[[#This Row],[Downtime Minutes]]</f>
        <v>453</v>
      </c>
      <c r="U228" s="11">
        <f t="shared" si="35"/>
        <v>1.0485651214128036</v>
      </c>
      <c r="V228" s="18">
        <f>ProductionData[[#This Row],[Profit]]/ProductionData[[#This Row],[Good Units]]</f>
        <v>22.751091703056769</v>
      </c>
      <c r="W228" s="11">
        <f>ProductionData[[#This Row],[Good Units]]/ProductionData[[#This Row],[Operating Minutes]]</f>
        <v>1.011037527593819</v>
      </c>
    </row>
    <row r="229" spans="1:23">
      <c r="A229" s="7">
        <v>46229</v>
      </c>
      <c r="B229" s="8" t="s">
        <v>19</v>
      </c>
      <c r="C229" s="8" t="s">
        <v>20</v>
      </c>
      <c r="D229" s="8" t="s">
        <v>25</v>
      </c>
      <c r="E229" s="8" t="s">
        <v>22</v>
      </c>
      <c r="F229" s="9">
        <v>440</v>
      </c>
      <c r="G229" s="9">
        <v>409</v>
      </c>
      <c r="H229" s="9">
        <v>24</v>
      </c>
      <c r="I229" s="9">
        <f t="shared" si="27"/>
        <v>385</v>
      </c>
      <c r="J229" s="9">
        <v>56</v>
      </c>
      <c r="K229" s="10">
        <f t="shared" si="28"/>
        <v>0.11666666666666667</v>
      </c>
      <c r="L229" s="17">
        <v>100</v>
      </c>
      <c r="M229" s="17">
        <v>30800</v>
      </c>
      <c r="N229" s="17">
        <f t="shared" si="29"/>
        <v>38500</v>
      </c>
      <c r="O229" s="17">
        <f t="shared" si="30"/>
        <v>7700</v>
      </c>
      <c r="P229" s="10">
        <f t="shared" si="31"/>
        <v>0.92954545454545456</v>
      </c>
      <c r="Q229" s="10">
        <f t="shared" si="32"/>
        <v>5.8679706601466992E-2</v>
      </c>
      <c r="R229" s="10">
        <f t="shared" si="33"/>
        <v>0.2</v>
      </c>
      <c r="S229" s="18">
        <f t="shared" si="34"/>
        <v>80</v>
      </c>
      <c r="T229" s="8">
        <f>480-ProductionData[[#This Row],[Downtime Minutes]]</f>
        <v>424</v>
      </c>
      <c r="U229" s="11">
        <f t="shared" si="35"/>
        <v>0.964622641509434</v>
      </c>
      <c r="V229" s="18">
        <f>ProductionData[[#This Row],[Profit]]/ProductionData[[#This Row],[Good Units]]</f>
        <v>20</v>
      </c>
      <c r="W229" s="11">
        <f>ProductionData[[#This Row],[Good Units]]/ProductionData[[#This Row],[Operating Minutes]]</f>
        <v>0.90801886792452835</v>
      </c>
    </row>
    <row r="230" spans="1:23">
      <c r="A230" s="7">
        <v>46229</v>
      </c>
      <c r="B230" s="8" t="s">
        <v>19</v>
      </c>
      <c r="C230" s="8" t="s">
        <v>27</v>
      </c>
      <c r="D230" s="8" t="s">
        <v>21</v>
      </c>
      <c r="E230" s="8" t="s">
        <v>26</v>
      </c>
      <c r="F230" s="9">
        <v>480</v>
      </c>
      <c r="G230" s="9">
        <v>429</v>
      </c>
      <c r="H230" s="9">
        <v>25</v>
      </c>
      <c r="I230" s="9">
        <f t="shared" si="27"/>
        <v>404</v>
      </c>
      <c r="J230" s="9">
        <v>45</v>
      </c>
      <c r="K230" s="10">
        <f t="shared" si="28"/>
        <v>9.375E-2</v>
      </c>
      <c r="L230" s="17">
        <v>90</v>
      </c>
      <c r="M230" s="17">
        <v>30800</v>
      </c>
      <c r="N230" s="17">
        <f t="shared" si="29"/>
        <v>36360</v>
      </c>
      <c r="O230" s="17">
        <f t="shared" si="30"/>
        <v>5560</v>
      </c>
      <c r="P230" s="10">
        <f t="shared" si="31"/>
        <v>0.89375000000000004</v>
      </c>
      <c r="Q230" s="10">
        <f t="shared" si="32"/>
        <v>5.8275058275058272E-2</v>
      </c>
      <c r="R230" s="10">
        <f t="shared" si="33"/>
        <v>0.15291529152915292</v>
      </c>
      <c r="S230" s="18">
        <f t="shared" si="34"/>
        <v>76.237623762376231</v>
      </c>
      <c r="T230" s="8">
        <f>480-ProductionData[[#This Row],[Downtime Minutes]]</f>
        <v>435</v>
      </c>
      <c r="U230" s="11">
        <f t="shared" si="35"/>
        <v>0.98620689655172411</v>
      </c>
      <c r="V230" s="18">
        <f>ProductionData[[#This Row],[Profit]]/ProductionData[[#This Row],[Good Units]]</f>
        <v>13.762376237623762</v>
      </c>
      <c r="W230" s="11">
        <f>ProductionData[[#This Row],[Good Units]]/ProductionData[[#This Row],[Operating Minutes]]</f>
        <v>0.92873563218390809</v>
      </c>
    </row>
    <row r="231" spans="1:23">
      <c r="A231" s="7">
        <v>46229</v>
      </c>
      <c r="B231" s="8" t="s">
        <v>19</v>
      </c>
      <c r="C231" s="8" t="s">
        <v>27</v>
      </c>
      <c r="D231" s="8" t="s">
        <v>23</v>
      </c>
      <c r="E231" s="8" t="s">
        <v>22</v>
      </c>
      <c r="F231" s="9">
        <v>460</v>
      </c>
      <c r="G231" s="9">
        <v>417</v>
      </c>
      <c r="H231" s="9">
        <v>29</v>
      </c>
      <c r="I231" s="9">
        <f t="shared" si="27"/>
        <v>388</v>
      </c>
      <c r="J231" s="9">
        <v>48</v>
      </c>
      <c r="K231" s="10">
        <f t="shared" si="28"/>
        <v>0.1</v>
      </c>
      <c r="L231" s="17">
        <v>100</v>
      </c>
      <c r="M231" s="17">
        <v>30800</v>
      </c>
      <c r="N231" s="17">
        <f t="shared" si="29"/>
        <v>38800</v>
      </c>
      <c r="O231" s="17">
        <f t="shared" si="30"/>
        <v>8000</v>
      </c>
      <c r="P231" s="10">
        <f t="shared" si="31"/>
        <v>0.90652173913043477</v>
      </c>
      <c r="Q231" s="10">
        <f t="shared" si="32"/>
        <v>6.9544364508393283E-2</v>
      </c>
      <c r="R231" s="10">
        <f t="shared" si="33"/>
        <v>0.20618556701030927</v>
      </c>
      <c r="S231" s="18">
        <f t="shared" si="34"/>
        <v>79.381443298969074</v>
      </c>
      <c r="T231" s="8">
        <f>480-ProductionData[[#This Row],[Downtime Minutes]]</f>
        <v>432</v>
      </c>
      <c r="U231" s="11">
        <f t="shared" si="35"/>
        <v>0.96527777777777779</v>
      </c>
      <c r="V231" s="18">
        <f>ProductionData[[#This Row],[Profit]]/ProductionData[[#This Row],[Good Units]]</f>
        <v>20.618556701030929</v>
      </c>
      <c r="W231" s="11">
        <f>ProductionData[[#This Row],[Good Units]]/ProductionData[[#This Row],[Operating Minutes]]</f>
        <v>0.89814814814814814</v>
      </c>
    </row>
    <row r="232" spans="1:23">
      <c r="A232" s="7">
        <v>46229</v>
      </c>
      <c r="B232" s="8" t="s">
        <v>19</v>
      </c>
      <c r="C232" s="8" t="s">
        <v>27</v>
      </c>
      <c r="D232" s="8" t="s">
        <v>25</v>
      </c>
      <c r="E232" s="8" t="s">
        <v>24</v>
      </c>
      <c r="F232" s="9">
        <v>410</v>
      </c>
      <c r="G232" s="9">
        <v>350</v>
      </c>
      <c r="H232" s="9">
        <v>19</v>
      </c>
      <c r="I232" s="9">
        <f t="shared" si="27"/>
        <v>331</v>
      </c>
      <c r="J232" s="9">
        <v>67</v>
      </c>
      <c r="K232" s="10">
        <f t="shared" si="28"/>
        <v>0.13958333333333334</v>
      </c>
      <c r="L232" s="17">
        <v>120</v>
      </c>
      <c r="M232" s="17">
        <v>30800</v>
      </c>
      <c r="N232" s="17">
        <f t="shared" si="29"/>
        <v>39720</v>
      </c>
      <c r="O232" s="17">
        <f t="shared" si="30"/>
        <v>8920</v>
      </c>
      <c r="P232" s="10">
        <f t="shared" si="31"/>
        <v>0.85365853658536583</v>
      </c>
      <c r="Q232" s="10">
        <f t="shared" si="32"/>
        <v>5.4285714285714284E-2</v>
      </c>
      <c r="R232" s="10">
        <f t="shared" si="33"/>
        <v>0.22457200402819738</v>
      </c>
      <c r="S232" s="18">
        <f t="shared" si="34"/>
        <v>93.051359516616316</v>
      </c>
      <c r="T232" s="8">
        <f>480-ProductionData[[#This Row],[Downtime Minutes]]</f>
        <v>413</v>
      </c>
      <c r="U232" s="11">
        <f t="shared" si="35"/>
        <v>0.84745762711864403</v>
      </c>
      <c r="V232" s="18">
        <f>ProductionData[[#This Row],[Profit]]/ProductionData[[#This Row],[Good Units]]</f>
        <v>26.948640483383684</v>
      </c>
      <c r="W232" s="11">
        <f>ProductionData[[#This Row],[Good Units]]/ProductionData[[#This Row],[Operating Minutes]]</f>
        <v>0.801452784503632</v>
      </c>
    </row>
    <row r="233" spans="1:23">
      <c r="A233" s="7">
        <v>46229</v>
      </c>
      <c r="B233" s="8" t="s">
        <v>19</v>
      </c>
      <c r="C233" s="8" t="s">
        <v>28</v>
      </c>
      <c r="D233" s="8" t="s">
        <v>21</v>
      </c>
      <c r="E233" s="8" t="s">
        <v>22</v>
      </c>
      <c r="F233" s="9">
        <v>430</v>
      </c>
      <c r="G233" s="9">
        <v>427</v>
      </c>
      <c r="H233" s="9">
        <v>14</v>
      </c>
      <c r="I233" s="9">
        <f t="shared" si="27"/>
        <v>413</v>
      </c>
      <c r="J233" s="9">
        <v>21</v>
      </c>
      <c r="K233" s="10">
        <f t="shared" si="28"/>
        <v>4.3749999999999997E-2</v>
      </c>
      <c r="L233" s="17">
        <v>100</v>
      </c>
      <c r="M233" s="17">
        <v>30800</v>
      </c>
      <c r="N233" s="17">
        <f t="shared" si="29"/>
        <v>41300</v>
      </c>
      <c r="O233" s="17">
        <f t="shared" si="30"/>
        <v>10500</v>
      </c>
      <c r="P233" s="10">
        <f t="shared" si="31"/>
        <v>0.99302325581395345</v>
      </c>
      <c r="Q233" s="10">
        <f t="shared" si="32"/>
        <v>3.2786885245901641E-2</v>
      </c>
      <c r="R233" s="10">
        <f t="shared" si="33"/>
        <v>0.25423728813559321</v>
      </c>
      <c r="S233" s="18">
        <f t="shared" si="34"/>
        <v>74.576271186440678</v>
      </c>
      <c r="T233" s="8">
        <f>480-ProductionData[[#This Row],[Downtime Minutes]]</f>
        <v>459</v>
      </c>
      <c r="U233" s="11">
        <f t="shared" si="35"/>
        <v>0.93028322440087141</v>
      </c>
      <c r="V233" s="18">
        <f>ProductionData[[#This Row],[Profit]]/ProductionData[[#This Row],[Good Units]]</f>
        <v>25.423728813559322</v>
      </c>
      <c r="W233" s="11">
        <f>ProductionData[[#This Row],[Good Units]]/ProductionData[[#This Row],[Operating Minutes]]</f>
        <v>0.89978213507625271</v>
      </c>
    </row>
    <row r="234" spans="1:23">
      <c r="A234" s="7">
        <v>46229</v>
      </c>
      <c r="B234" s="8" t="s">
        <v>19</v>
      </c>
      <c r="C234" s="8" t="s">
        <v>28</v>
      </c>
      <c r="D234" s="8" t="s">
        <v>23</v>
      </c>
      <c r="E234" s="8" t="s">
        <v>24</v>
      </c>
      <c r="F234" s="9">
        <v>390</v>
      </c>
      <c r="G234" s="9">
        <v>369</v>
      </c>
      <c r="H234" s="9">
        <v>12</v>
      </c>
      <c r="I234" s="9">
        <f t="shared" si="27"/>
        <v>357</v>
      </c>
      <c r="J234" s="9">
        <v>17</v>
      </c>
      <c r="K234" s="10">
        <f t="shared" si="28"/>
        <v>3.5416666666666666E-2</v>
      </c>
      <c r="L234" s="17">
        <v>120</v>
      </c>
      <c r="M234" s="17">
        <v>30800</v>
      </c>
      <c r="N234" s="17">
        <f t="shared" si="29"/>
        <v>42840</v>
      </c>
      <c r="O234" s="17">
        <f t="shared" si="30"/>
        <v>12040</v>
      </c>
      <c r="P234" s="10">
        <f t="shared" si="31"/>
        <v>0.94615384615384612</v>
      </c>
      <c r="Q234" s="10">
        <f t="shared" si="32"/>
        <v>3.2520325203252036E-2</v>
      </c>
      <c r="R234" s="10">
        <f t="shared" si="33"/>
        <v>0.28104575163398693</v>
      </c>
      <c r="S234" s="18">
        <f t="shared" si="34"/>
        <v>86.274509803921575</v>
      </c>
      <c r="T234" s="8">
        <f>480-ProductionData[[#This Row],[Downtime Minutes]]</f>
        <v>463</v>
      </c>
      <c r="U234" s="11">
        <f t="shared" si="35"/>
        <v>0.79697624190064797</v>
      </c>
      <c r="V234" s="18">
        <f>ProductionData[[#This Row],[Profit]]/ProductionData[[#This Row],[Good Units]]</f>
        <v>33.725490196078432</v>
      </c>
      <c r="W234" s="11">
        <f>ProductionData[[#This Row],[Good Units]]/ProductionData[[#This Row],[Operating Minutes]]</f>
        <v>0.7710583153347732</v>
      </c>
    </row>
    <row r="235" spans="1:23">
      <c r="A235" s="7">
        <v>46229</v>
      </c>
      <c r="B235" s="8" t="s">
        <v>19</v>
      </c>
      <c r="C235" s="8" t="s">
        <v>28</v>
      </c>
      <c r="D235" s="8" t="s">
        <v>25</v>
      </c>
      <c r="E235" s="8" t="s">
        <v>26</v>
      </c>
      <c r="F235" s="9">
        <v>510</v>
      </c>
      <c r="G235" s="9">
        <v>468</v>
      </c>
      <c r="H235" s="9">
        <v>15</v>
      </c>
      <c r="I235" s="9">
        <f t="shared" si="27"/>
        <v>453</v>
      </c>
      <c r="J235" s="9">
        <v>26</v>
      </c>
      <c r="K235" s="10">
        <f t="shared" si="28"/>
        <v>5.4166666666666669E-2</v>
      </c>
      <c r="L235" s="17">
        <v>90</v>
      </c>
      <c r="M235" s="17">
        <v>30800</v>
      </c>
      <c r="N235" s="17">
        <f t="shared" si="29"/>
        <v>40770</v>
      </c>
      <c r="O235" s="17">
        <f t="shared" si="30"/>
        <v>9970</v>
      </c>
      <c r="P235" s="10">
        <f t="shared" si="31"/>
        <v>0.91764705882352937</v>
      </c>
      <c r="Q235" s="10">
        <f t="shared" si="32"/>
        <v>3.2051282051282048E-2</v>
      </c>
      <c r="R235" s="10">
        <f t="shared" si="33"/>
        <v>0.24454255580083395</v>
      </c>
      <c r="S235" s="18">
        <f t="shared" si="34"/>
        <v>67.99116997792494</v>
      </c>
      <c r="T235" s="8">
        <f>480-ProductionData[[#This Row],[Downtime Minutes]]</f>
        <v>454</v>
      </c>
      <c r="U235" s="11">
        <f t="shared" si="35"/>
        <v>1.0308370044052864</v>
      </c>
      <c r="V235" s="18">
        <f>ProductionData[[#This Row],[Profit]]/ProductionData[[#This Row],[Good Units]]</f>
        <v>22.008830022075056</v>
      </c>
      <c r="W235" s="11">
        <f>ProductionData[[#This Row],[Good Units]]/ProductionData[[#This Row],[Operating Minutes]]</f>
        <v>0.99779735682819382</v>
      </c>
    </row>
    <row r="236" spans="1:23">
      <c r="A236" s="7">
        <v>46230</v>
      </c>
      <c r="B236" s="8" t="s">
        <v>19</v>
      </c>
      <c r="C236" s="8" t="s">
        <v>20</v>
      </c>
      <c r="D236" s="8" t="s">
        <v>21</v>
      </c>
      <c r="E236" s="8" t="s">
        <v>26</v>
      </c>
      <c r="F236" s="9">
        <v>480</v>
      </c>
      <c r="G236" s="9">
        <v>470</v>
      </c>
      <c r="H236" s="9">
        <v>12</v>
      </c>
      <c r="I236" s="9">
        <f t="shared" si="27"/>
        <v>458</v>
      </c>
      <c r="J236" s="9">
        <v>24</v>
      </c>
      <c r="K236" s="10">
        <f t="shared" si="28"/>
        <v>0.05</v>
      </c>
      <c r="L236" s="17">
        <v>90</v>
      </c>
      <c r="M236" s="17">
        <v>30800</v>
      </c>
      <c r="N236" s="17">
        <f t="shared" si="29"/>
        <v>41220</v>
      </c>
      <c r="O236" s="17">
        <f t="shared" si="30"/>
        <v>10420</v>
      </c>
      <c r="P236" s="10">
        <f t="shared" si="31"/>
        <v>0.97916666666666663</v>
      </c>
      <c r="Q236" s="10">
        <f t="shared" si="32"/>
        <v>2.553191489361702E-2</v>
      </c>
      <c r="R236" s="10">
        <f t="shared" si="33"/>
        <v>0.25278990781174188</v>
      </c>
      <c r="S236" s="18">
        <f t="shared" si="34"/>
        <v>67.248908296943227</v>
      </c>
      <c r="T236" s="8">
        <f>480-ProductionData[[#This Row],[Downtime Minutes]]</f>
        <v>456</v>
      </c>
      <c r="U236" s="11">
        <f t="shared" si="35"/>
        <v>1.0307017543859649</v>
      </c>
      <c r="V236" s="18">
        <f>ProductionData[[#This Row],[Profit]]/ProductionData[[#This Row],[Good Units]]</f>
        <v>22.751091703056769</v>
      </c>
      <c r="W236" s="11">
        <f>ProductionData[[#This Row],[Good Units]]/ProductionData[[#This Row],[Operating Minutes]]</f>
        <v>1.0043859649122806</v>
      </c>
    </row>
    <row r="237" spans="1:23">
      <c r="A237" s="7">
        <v>46230</v>
      </c>
      <c r="B237" s="8" t="s">
        <v>19</v>
      </c>
      <c r="C237" s="8" t="s">
        <v>20</v>
      </c>
      <c r="D237" s="8" t="s">
        <v>23</v>
      </c>
      <c r="E237" s="8" t="s">
        <v>22</v>
      </c>
      <c r="F237" s="9">
        <v>450</v>
      </c>
      <c r="G237" s="9">
        <v>413</v>
      </c>
      <c r="H237" s="9">
        <v>19</v>
      </c>
      <c r="I237" s="9">
        <f t="shared" si="27"/>
        <v>394</v>
      </c>
      <c r="J237" s="9">
        <v>34</v>
      </c>
      <c r="K237" s="10">
        <f t="shared" si="28"/>
        <v>7.0833333333333331E-2</v>
      </c>
      <c r="L237" s="17">
        <v>100</v>
      </c>
      <c r="M237" s="17">
        <v>30800</v>
      </c>
      <c r="N237" s="17">
        <f t="shared" si="29"/>
        <v>39400</v>
      </c>
      <c r="O237" s="17">
        <f t="shared" si="30"/>
        <v>8600</v>
      </c>
      <c r="P237" s="10">
        <f t="shared" si="31"/>
        <v>0.9177777777777778</v>
      </c>
      <c r="Q237" s="10">
        <f t="shared" si="32"/>
        <v>4.6004842615012108E-2</v>
      </c>
      <c r="R237" s="10">
        <f t="shared" si="33"/>
        <v>0.21827411167512689</v>
      </c>
      <c r="S237" s="18">
        <f t="shared" si="34"/>
        <v>78.172588832487307</v>
      </c>
      <c r="T237" s="8">
        <f>480-ProductionData[[#This Row],[Downtime Minutes]]</f>
        <v>446</v>
      </c>
      <c r="U237" s="11">
        <f t="shared" si="35"/>
        <v>0.92600896860986548</v>
      </c>
      <c r="V237" s="18">
        <f>ProductionData[[#This Row],[Profit]]/ProductionData[[#This Row],[Good Units]]</f>
        <v>21.82741116751269</v>
      </c>
      <c r="W237" s="11">
        <f>ProductionData[[#This Row],[Good Units]]/ProductionData[[#This Row],[Operating Minutes]]</f>
        <v>0.88340807174887892</v>
      </c>
    </row>
    <row r="238" spans="1:23">
      <c r="A238" s="7">
        <v>46230</v>
      </c>
      <c r="B238" s="8" t="s">
        <v>19</v>
      </c>
      <c r="C238" s="8" t="s">
        <v>20</v>
      </c>
      <c r="D238" s="8" t="s">
        <v>25</v>
      </c>
      <c r="E238" s="8" t="s">
        <v>24</v>
      </c>
      <c r="F238" s="9">
        <v>400</v>
      </c>
      <c r="G238" s="9">
        <v>373</v>
      </c>
      <c r="H238" s="9">
        <v>15</v>
      </c>
      <c r="I238" s="9">
        <f t="shared" si="27"/>
        <v>358</v>
      </c>
      <c r="J238" s="9">
        <v>55</v>
      </c>
      <c r="K238" s="10">
        <f t="shared" si="28"/>
        <v>0.11458333333333333</v>
      </c>
      <c r="L238" s="17">
        <v>120</v>
      </c>
      <c r="M238" s="17">
        <v>30800</v>
      </c>
      <c r="N238" s="17">
        <f t="shared" si="29"/>
        <v>42960</v>
      </c>
      <c r="O238" s="17">
        <f t="shared" si="30"/>
        <v>12160</v>
      </c>
      <c r="P238" s="10">
        <f t="shared" si="31"/>
        <v>0.9325</v>
      </c>
      <c r="Q238" s="10">
        <f t="shared" si="32"/>
        <v>4.0214477211796246E-2</v>
      </c>
      <c r="R238" s="10">
        <f t="shared" si="33"/>
        <v>0.28305400372439476</v>
      </c>
      <c r="S238" s="18">
        <f t="shared" si="34"/>
        <v>86.033519553072622</v>
      </c>
      <c r="T238" s="8">
        <f>480-ProductionData[[#This Row],[Downtime Minutes]]</f>
        <v>425</v>
      </c>
      <c r="U238" s="11">
        <f t="shared" si="35"/>
        <v>0.87764705882352945</v>
      </c>
      <c r="V238" s="18">
        <f>ProductionData[[#This Row],[Profit]]/ProductionData[[#This Row],[Good Units]]</f>
        <v>33.966480446927378</v>
      </c>
      <c r="W238" s="11">
        <f>ProductionData[[#This Row],[Good Units]]/ProductionData[[#This Row],[Operating Minutes]]</f>
        <v>0.84235294117647064</v>
      </c>
    </row>
    <row r="239" spans="1:23">
      <c r="A239" s="7">
        <v>46230</v>
      </c>
      <c r="B239" s="8" t="s">
        <v>19</v>
      </c>
      <c r="C239" s="8" t="s">
        <v>27</v>
      </c>
      <c r="D239" s="8" t="s">
        <v>21</v>
      </c>
      <c r="E239" s="8" t="s">
        <v>22</v>
      </c>
      <c r="F239" s="9">
        <v>450</v>
      </c>
      <c r="G239" s="9">
        <v>398</v>
      </c>
      <c r="H239" s="9">
        <v>25</v>
      </c>
      <c r="I239" s="9">
        <f t="shared" si="27"/>
        <v>373</v>
      </c>
      <c r="J239" s="9">
        <v>60</v>
      </c>
      <c r="K239" s="10">
        <f t="shared" si="28"/>
        <v>0.125</v>
      </c>
      <c r="L239" s="17">
        <v>100</v>
      </c>
      <c r="M239" s="17">
        <v>30800</v>
      </c>
      <c r="N239" s="17">
        <f t="shared" si="29"/>
        <v>37300</v>
      </c>
      <c r="O239" s="17">
        <f t="shared" si="30"/>
        <v>6500</v>
      </c>
      <c r="P239" s="10">
        <f t="shared" si="31"/>
        <v>0.88444444444444448</v>
      </c>
      <c r="Q239" s="10">
        <f t="shared" si="32"/>
        <v>6.2814070351758788E-2</v>
      </c>
      <c r="R239" s="10">
        <f t="shared" si="33"/>
        <v>0.17426273458445041</v>
      </c>
      <c r="S239" s="18">
        <f t="shared" si="34"/>
        <v>82.573726541554961</v>
      </c>
      <c r="T239" s="8">
        <f>480-ProductionData[[#This Row],[Downtime Minutes]]</f>
        <v>420</v>
      </c>
      <c r="U239" s="11">
        <f t="shared" si="35"/>
        <v>0.94761904761904758</v>
      </c>
      <c r="V239" s="18">
        <f>ProductionData[[#This Row],[Profit]]/ProductionData[[#This Row],[Good Units]]</f>
        <v>17.426273458445039</v>
      </c>
      <c r="W239" s="11">
        <f>ProductionData[[#This Row],[Good Units]]/ProductionData[[#This Row],[Operating Minutes]]</f>
        <v>0.88809523809523805</v>
      </c>
    </row>
    <row r="240" spans="1:23">
      <c r="A240" s="7">
        <v>46230</v>
      </c>
      <c r="B240" s="8" t="s">
        <v>19</v>
      </c>
      <c r="C240" s="8" t="s">
        <v>27</v>
      </c>
      <c r="D240" s="8" t="s">
        <v>23</v>
      </c>
      <c r="E240" s="8" t="s">
        <v>24</v>
      </c>
      <c r="F240" s="9">
        <v>410</v>
      </c>
      <c r="G240" s="9">
        <v>378</v>
      </c>
      <c r="H240" s="9">
        <v>20</v>
      </c>
      <c r="I240" s="9">
        <f t="shared" si="27"/>
        <v>358</v>
      </c>
      <c r="J240" s="9">
        <v>52</v>
      </c>
      <c r="K240" s="10">
        <f t="shared" si="28"/>
        <v>0.10833333333333334</v>
      </c>
      <c r="L240" s="17">
        <v>120</v>
      </c>
      <c r="M240" s="17">
        <v>30800</v>
      </c>
      <c r="N240" s="17">
        <f t="shared" si="29"/>
        <v>42960</v>
      </c>
      <c r="O240" s="17">
        <f t="shared" si="30"/>
        <v>12160</v>
      </c>
      <c r="P240" s="10">
        <f t="shared" si="31"/>
        <v>0.92195121951219516</v>
      </c>
      <c r="Q240" s="10">
        <f t="shared" si="32"/>
        <v>5.2910052910052907E-2</v>
      </c>
      <c r="R240" s="10">
        <f t="shared" si="33"/>
        <v>0.28305400372439476</v>
      </c>
      <c r="S240" s="18">
        <f t="shared" si="34"/>
        <v>86.033519553072622</v>
      </c>
      <c r="T240" s="8">
        <f>480-ProductionData[[#This Row],[Downtime Minutes]]</f>
        <v>428</v>
      </c>
      <c r="U240" s="11">
        <f t="shared" si="35"/>
        <v>0.88317757009345799</v>
      </c>
      <c r="V240" s="18">
        <f>ProductionData[[#This Row],[Profit]]/ProductionData[[#This Row],[Good Units]]</f>
        <v>33.966480446927378</v>
      </c>
      <c r="W240" s="11">
        <f>ProductionData[[#This Row],[Good Units]]/ProductionData[[#This Row],[Operating Minutes]]</f>
        <v>0.83644859813084116</v>
      </c>
    </row>
    <row r="241" spans="1:23">
      <c r="A241" s="7">
        <v>46230</v>
      </c>
      <c r="B241" s="8" t="s">
        <v>19</v>
      </c>
      <c r="C241" s="8" t="s">
        <v>27</v>
      </c>
      <c r="D241" s="8" t="s">
        <v>25</v>
      </c>
      <c r="E241" s="8" t="s">
        <v>26</v>
      </c>
      <c r="F241" s="9">
        <v>510</v>
      </c>
      <c r="G241" s="9">
        <v>428</v>
      </c>
      <c r="H241" s="9">
        <v>30</v>
      </c>
      <c r="I241" s="9">
        <f t="shared" si="27"/>
        <v>398</v>
      </c>
      <c r="J241" s="9">
        <v>56</v>
      </c>
      <c r="K241" s="10">
        <f t="shared" si="28"/>
        <v>0.11666666666666667</v>
      </c>
      <c r="L241" s="17">
        <v>90</v>
      </c>
      <c r="M241" s="17">
        <v>30800</v>
      </c>
      <c r="N241" s="17">
        <f t="shared" si="29"/>
        <v>35820</v>
      </c>
      <c r="O241" s="17">
        <f t="shared" si="30"/>
        <v>5020</v>
      </c>
      <c r="P241" s="10">
        <f t="shared" si="31"/>
        <v>0.83921568627450982</v>
      </c>
      <c r="Q241" s="10">
        <f t="shared" si="32"/>
        <v>7.0093457943925228E-2</v>
      </c>
      <c r="R241" s="10">
        <f t="shared" si="33"/>
        <v>0.14014517029592408</v>
      </c>
      <c r="S241" s="18">
        <f t="shared" si="34"/>
        <v>77.386934673366838</v>
      </c>
      <c r="T241" s="8">
        <f>480-ProductionData[[#This Row],[Downtime Minutes]]</f>
        <v>424</v>
      </c>
      <c r="U241" s="11">
        <f t="shared" si="35"/>
        <v>1.0094339622641511</v>
      </c>
      <c r="V241" s="18">
        <f>ProductionData[[#This Row],[Profit]]/ProductionData[[#This Row],[Good Units]]</f>
        <v>12.613065326633166</v>
      </c>
      <c r="W241" s="11">
        <f>ProductionData[[#This Row],[Good Units]]/ProductionData[[#This Row],[Operating Minutes]]</f>
        <v>0.93867924528301883</v>
      </c>
    </row>
    <row r="242" spans="1:23">
      <c r="A242" s="7">
        <v>46230</v>
      </c>
      <c r="B242" s="8" t="s">
        <v>19</v>
      </c>
      <c r="C242" s="8" t="s">
        <v>28</v>
      </c>
      <c r="D242" s="8" t="s">
        <v>21</v>
      </c>
      <c r="E242" s="8" t="s">
        <v>24</v>
      </c>
      <c r="F242" s="9">
        <v>410</v>
      </c>
      <c r="G242" s="9">
        <v>401</v>
      </c>
      <c r="H242" s="9">
        <v>11</v>
      </c>
      <c r="I242" s="9">
        <f t="shared" si="27"/>
        <v>390</v>
      </c>
      <c r="J242" s="9">
        <v>12</v>
      </c>
      <c r="K242" s="10">
        <f t="shared" si="28"/>
        <v>2.5000000000000001E-2</v>
      </c>
      <c r="L242" s="17">
        <v>120</v>
      </c>
      <c r="M242" s="17">
        <v>30800</v>
      </c>
      <c r="N242" s="17">
        <f t="shared" si="29"/>
        <v>46800</v>
      </c>
      <c r="O242" s="17">
        <f t="shared" si="30"/>
        <v>16000</v>
      </c>
      <c r="P242" s="10">
        <f t="shared" si="31"/>
        <v>0.97804878048780486</v>
      </c>
      <c r="Q242" s="10">
        <f t="shared" si="32"/>
        <v>2.7431421446384038E-2</v>
      </c>
      <c r="R242" s="10">
        <f t="shared" si="33"/>
        <v>0.34188034188034189</v>
      </c>
      <c r="S242" s="18">
        <f t="shared" si="34"/>
        <v>78.974358974358978</v>
      </c>
      <c r="T242" s="8">
        <f>480-ProductionData[[#This Row],[Downtime Minutes]]</f>
        <v>468</v>
      </c>
      <c r="U242" s="11">
        <f t="shared" si="35"/>
        <v>0.85683760683760679</v>
      </c>
      <c r="V242" s="18">
        <f>ProductionData[[#This Row],[Profit]]/ProductionData[[#This Row],[Good Units]]</f>
        <v>41.025641025641029</v>
      </c>
      <c r="W242" s="11">
        <f>ProductionData[[#This Row],[Good Units]]/ProductionData[[#This Row],[Operating Minutes]]</f>
        <v>0.83333333333333337</v>
      </c>
    </row>
    <row r="243" spans="1:23">
      <c r="A243" s="7">
        <v>46230</v>
      </c>
      <c r="B243" s="8" t="s">
        <v>19</v>
      </c>
      <c r="C243" s="8" t="s">
        <v>28</v>
      </c>
      <c r="D243" s="8" t="s">
        <v>23</v>
      </c>
      <c r="E243" s="8" t="s">
        <v>26</v>
      </c>
      <c r="F243" s="9">
        <v>490</v>
      </c>
      <c r="G243" s="9">
        <v>464</v>
      </c>
      <c r="H243" s="9">
        <v>12</v>
      </c>
      <c r="I243" s="9">
        <f t="shared" si="27"/>
        <v>452</v>
      </c>
      <c r="J243" s="9">
        <v>31</v>
      </c>
      <c r="K243" s="10">
        <f t="shared" si="28"/>
        <v>6.458333333333334E-2</v>
      </c>
      <c r="L243" s="17">
        <v>90</v>
      </c>
      <c r="M243" s="17">
        <v>30800</v>
      </c>
      <c r="N243" s="17">
        <f t="shared" si="29"/>
        <v>40680</v>
      </c>
      <c r="O243" s="17">
        <f t="shared" si="30"/>
        <v>9880</v>
      </c>
      <c r="P243" s="10">
        <f t="shared" si="31"/>
        <v>0.94693877551020411</v>
      </c>
      <c r="Q243" s="10">
        <f t="shared" si="32"/>
        <v>2.5862068965517241E-2</v>
      </c>
      <c r="R243" s="10">
        <f t="shared" si="33"/>
        <v>0.24287118977384464</v>
      </c>
      <c r="S243" s="18">
        <f t="shared" si="34"/>
        <v>68.141592920353986</v>
      </c>
      <c r="T243" s="8">
        <f>480-ProductionData[[#This Row],[Downtime Minutes]]</f>
        <v>449</v>
      </c>
      <c r="U243" s="11">
        <f t="shared" si="35"/>
        <v>1.0334075723830736</v>
      </c>
      <c r="V243" s="18">
        <f>ProductionData[[#This Row],[Profit]]/ProductionData[[#This Row],[Good Units]]</f>
        <v>21.858407079646017</v>
      </c>
      <c r="W243" s="11">
        <f>ProductionData[[#This Row],[Good Units]]/ProductionData[[#This Row],[Operating Minutes]]</f>
        <v>1.0066815144766148</v>
      </c>
    </row>
    <row r="244" spans="1:23">
      <c r="A244" s="7">
        <v>46230</v>
      </c>
      <c r="B244" s="8" t="s">
        <v>19</v>
      </c>
      <c r="C244" s="8" t="s">
        <v>28</v>
      </c>
      <c r="D244" s="8" t="s">
        <v>25</v>
      </c>
      <c r="E244" s="8" t="s">
        <v>22</v>
      </c>
      <c r="F244" s="9">
        <v>450</v>
      </c>
      <c r="G244" s="9">
        <v>428</v>
      </c>
      <c r="H244" s="9">
        <v>21</v>
      </c>
      <c r="I244" s="9">
        <f t="shared" si="27"/>
        <v>407</v>
      </c>
      <c r="J244" s="9">
        <v>47</v>
      </c>
      <c r="K244" s="10">
        <f t="shared" si="28"/>
        <v>9.7916666666666666E-2</v>
      </c>
      <c r="L244" s="17">
        <v>100</v>
      </c>
      <c r="M244" s="17">
        <v>30800</v>
      </c>
      <c r="N244" s="17">
        <f t="shared" si="29"/>
        <v>40700</v>
      </c>
      <c r="O244" s="17">
        <f t="shared" si="30"/>
        <v>9900</v>
      </c>
      <c r="P244" s="10">
        <f t="shared" si="31"/>
        <v>0.95111111111111113</v>
      </c>
      <c r="Q244" s="10">
        <f t="shared" si="32"/>
        <v>4.9065420560747662E-2</v>
      </c>
      <c r="R244" s="10">
        <f t="shared" si="33"/>
        <v>0.24324324324324326</v>
      </c>
      <c r="S244" s="18">
        <f t="shared" si="34"/>
        <v>75.675675675675677</v>
      </c>
      <c r="T244" s="8">
        <f>480-ProductionData[[#This Row],[Downtime Minutes]]</f>
        <v>433</v>
      </c>
      <c r="U244" s="11">
        <f t="shared" si="35"/>
        <v>0.98845265588914555</v>
      </c>
      <c r="V244" s="18">
        <f>ProductionData[[#This Row],[Profit]]/ProductionData[[#This Row],[Good Units]]</f>
        <v>24.324324324324323</v>
      </c>
      <c r="W244" s="11">
        <f>ProductionData[[#This Row],[Good Units]]/ProductionData[[#This Row],[Operating Minutes]]</f>
        <v>0.93995381062355654</v>
      </c>
    </row>
    <row r="245" spans="1:23">
      <c r="A245" s="7">
        <v>46231</v>
      </c>
      <c r="B245" s="8" t="s">
        <v>19</v>
      </c>
      <c r="C245" s="8" t="s">
        <v>20</v>
      </c>
      <c r="D245" s="8" t="s">
        <v>21</v>
      </c>
      <c r="E245" s="8" t="s">
        <v>22</v>
      </c>
      <c r="F245" s="9">
        <v>440</v>
      </c>
      <c r="G245" s="9">
        <v>421</v>
      </c>
      <c r="H245" s="9">
        <v>18</v>
      </c>
      <c r="I245" s="9">
        <f t="shared" si="27"/>
        <v>403</v>
      </c>
      <c r="J245" s="9">
        <v>45</v>
      </c>
      <c r="K245" s="10">
        <f t="shared" si="28"/>
        <v>9.375E-2</v>
      </c>
      <c r="L245" s="17">
        <v>100</v>
      </c>
      <c r="M245" s="17">
        <v>30800</v>
      </c>
      <c r="N245" s="17">
        <f t="shared" si="29"/>
        <v>40300</v>
      </c>
      <c r="O245" s="17">
        <f t="shared" si="30"/>
        <v>9500</v>
      </c>
      <c r="P245" s="10">
        <f t="shared" si="31"/>
        <v>0.95681818181818179</v>
      </c>
      <c r="Q245" s="10">
        <f t="shared" si="32"/>
        <v>4.2755344418052253E-2</v>
      </c>
      <c r="R245" s="10">
        <f t="shared" si="33"/>
        <v>0.23573200992555832</v>
      </c>
      <c r="S245" s="18">
        <f t="shared" si="34"/>
        <v>76.426799007444174</v>
      </c>
      <c r="T245" s="8">
        <f>480-ProductionData[[#This Row],[Downtime Minutes]]</f>
        <v>435</v>
      </c>
      <c r="U245" s="11">
        <f t="shared" si="35"/>
        <v>0.96781609195402296</v>
      </c>
      <c r="V245" s="18">
        <f>ProductionData[[#This Row],[Profit]]/ProductionData[[#This Row],[Good Units]]</f>
        <v>23.573200992555833</v>
      </c>
      <c r="W245" s="11">
        <f>ProductionData[[#This Row],[Good Units]]/ProductionData[[#This Row],[Operating Minutes]]</f>
        <v>0.9264367816091954</v>
      </c>
    </row>
    <row r="246" spans="1:23">
      <c r="A246" s="7">
        <v>46231</v>
      </c>
      <c r="B246" s="8" t="s">
        <v>19</v>
      </c>
      <c r="C246" s="8" t="s">
        <v>20</v>
      </c>
      <c r="D246" s="8" t="s">
        <v>23</v>
      </c>
      <c r="E246" s="8" t="s">
        <v>24</v>
      </c>
      <c r="F246" s="9">
        <v>410</v>
      </c>
      <c r="G246" s="9">
        <v>392</v>
      </c>
      <c r="H246" s="9">
        <v>15</v>
      </c>
      <c r="I246" s="9">
        <f t="shared" si="27"/>
        <v>377</v>
      </c>
      <c r="J246" s="9">
        <v>48</v>
      </c>
      <c r="K246" s="10">
        <f t="shared" si="28"/>
        <v>0.1</v>
      </c>
      <c r="L246" s="17">
        <v>120</v>
      </c>
      <c r="M246" s="17">
        <v>30800</v>
      </c>
      <c r="N246" s="17">
        <f t="shared" si="29"/>
        <v>45240</v>
      </c>
      <c r="O246" s="17">
        <f t="shared" si="30"/>
        <v>14440</v>
      </c>
      <c r="P246" s="10">
        <f t="shared" si="31"/>
        <v>0.95609756097560972</v>
      </c>
      <c r="Q246" s="10">
        <f t="shared" si="32"/>
        <v>3.826530612244898E-2</v>
      </c>
      <c r="R246" s="10">
        <f t="shared" si="33"/>
        <v>0.31918656056587091</v>
      </c>
      <c r="S246" s="18">
        <f t="shared" si="34"/>
        <v>81.697612732095493</v>
      </c>
      <c r="T246" s="8">
        <f>480-ProductionData[[#This Row],[Downtime Minutes]]</f>
        <v>432</v>
      </c>
      <c r="U246" s="11">
        <f t="shared" si="35"/>
        <v>0.90740740740740744</v>
      </c>
      <c r="V246" s="18">
        <f>ProductionData[[#This Row],[Profit]]/ProductionData[[#This Row],[Good Units]]</f>
        <v>38.302387267904507</v>
      </c>
      <c r="W246" s="11">
        <f>ProductionData[[#This Row],[Good Units]]/ProductionData[[#This Row],[Operating Minutes]]</f>
        <v>0.87268518518518523</v>
      </c>
    </row>
    <row r="247" spans="1:23">
      <c r="A247" s="7">
        <v>46231</v>
      </c>
      <c r="B247" s="8" t="s">
        <v>19</v>
      </c>
      <c r="C247" s="8" t="s">
        <v>20</v>
      </c>
      <c r="D247" s="8" t="s">
        <v>25</v>
      </c>
      <c r="E247" s="8" t="s">
        <v>26</v>
      </c>
      <c r="F247" s="9">
        <v>500</v>
      </c>
      <c r="G247" s="9">
        <v>470</v>
      </c>
      <c r="H247" s="9">
        <v>21</v>
      </c>
      <c r="I247" s="9">
        <f t="shared" si="27"/>
        <v>449</v>
      </c>
      <c r="J247" s="9">
        <v>40</v>
      </c>
      <c r="K247" s="10">
        <f t="shared" si="28"/>
        <v>8.3333333333333329E-2</v>
      </c>
      <c r="L247" s="17">
        <v>90</v>
      </c>
      <c r="M247" s="17">
        <v>30800</v>
      </c>
      <c r="N247" s="17">
        <f t="shared" si="29"/>
        <v>40410</v>
      </c>
      <c r="O247" s="17">
        <f t="shared" si="30"/>
        <v>9610</v>
      </c>
      <c r="P247" s="10">
        <f t="shared" si="31"/>
        <v>0.94</v>
      </c>
      <c r="Q247" s="10">
        <f t="shared" si="32"/>
        <v>4.4680851063829789E-2</v>
      </c>
      <c r="R247" s="10">
        <f t="shared" si="33"/>
        <v>0.23781242266765651</v>
      </c>
      <c r="S247" s="18">
        <f t="shared" si="34"/>
        <v>68.596881959910917</v>
      </c>
      <c r="T247" s="8">
        <f>480-ProductionData[[#This Row],[Downtime Minutes]]</f>
        <v>440</v>
      </c>
      <c r="U247" s="11">
        <f t="shared" si="35"/>
        <v>1.0681818181818181</v>
      </c>
      <c r="V247" s="18">
        <f>ProductionData[[#This Row],[Profit]]/ProductionData[[#This Row],[Good Units]]</f>
        <v>21.403118040089087</v>
      </c>
      <c r="W247" s="11">
        <f>ProductionData[[#This Row],[Good Units]]/ProductionData[[#This Row],[Operating Minutes]]</f>
        <v>1.0204545454545455</v>
      </c>
    </row>
    <row r="248" spans="1:23">
      <c r="A248" s="7">
        <v>46231</v>
      </c>
      <c r="B248" s="8" t="s">
        <v>19</v>
      </c>
      <c r="C248" s="8" t="s">
        <v>27</v>
      </c>
      <c r="D248" s="8" t="s">
        <v>21</v>
      </c>
      <c r="E248" s="8" t="s">
        <v>24</v>
      </c>
      <c r="F248" s="9">
        <v>400</v>
      </c>
      <c r="G248" s="9">
        <v>353</v>
      </c>
      <c r="H248" s="9">
        <v>16</v>
      </c>
      <c r="I248" s="9">
        <f t="shared" si="27"/>
        <v>337</v>
      </c>
      <c r="J248" s="9">
        <v>57</v>
      </c>
      <c r="K248" s="10">
        <f t="shared" si="28"/>
        <v>0.11874999999999999</v>
      </c>
      <c r="L248" s="17">
        <v>120</v>
      </c>
      <c r="M248" s="17">
        <v>30800</v>
      </c>
      <c r="N248" s="17">
        <f t="shared" si="29"/>
        <v>40440</v>
      </c>
      <c r="O248" s="17">
        <f t="shared" si="30"/>
        <v>9640</v>
      </c>
      <c r="P248" s="10">
        <f t="shared" si="31"/>
        <v>0.88249999999999995</v>
      </c>
      <c r="Q248" s="10">
        <f t="shared" si="32"/>
        <v>4.5325779036827198E-2</v>
      </c>
      <c r="R248" s="10">
        <f t="shared" si="33"/>
        <v>0.23837784371909002</v>
      </c>
      <c r="S248" s="18">
        <f t="shared" si="34"/>
        <v>91.394658753709194</v>
      </c>
      <c r="T248" s="8">
        <f>480-ProductionData[[#This Row],[Downtime Minutes]]</f>
        <v>423</v>
      </c>
      <c r="U248" s="11">
        <f t="shared" si="35"/>
        <v>0.83451536643026003</v>
      </c>
      <c r="V248" s="18">
        <f>ProductionData[[#This Row],[Profit]]/ProductionData[[#This Row],[Good Units]]</f>
        <v>28.605341246290802</v>
      </c>
      <c r="W248" s="11">
        <f>ProductionData[[#This Row],[Good Units]]/ProductionData[[#This Row],[Operating Minutes]]</f>
        <v>0.79669030732860524</v>
      </c>
    </row>
    <row r="249" spans="1:23">
      <c r="A249" s="7">
        <v>46231</v>
      </c>
      <c r="B249" s="8" t="s">
        <v>19</v>
      </c>
      <c r="C249" s="8" t="s">
        <v>27</v>
      </c>
      <c r="D249" s="8" t="s">
        <v>23</v>
      </c>
      <c r="E249" s="8" t="s">
        <v>26</v>
      </c>
      <c r="F249" s="9">
        <v>490</v>
      </c>
      <c r="G249" s="9">
        <v>429</v>
      </c>
      <c r="H249" s="9">
        <v>26</v>
      </c>
      <c r="I249" s="9">
        <f t="shared" si="27"/>
        <v>403</v>
      </c>
      <c r="J249" s="9">
        <v>40</v>
      </c>
      <c r="K249" s="10">
        <f t="shared" si="28"/>
        <v>8.3333333333333329E-2</v>
      </c>
      <c r="L249" s="17">
        <v>90</v>
      </c>
      <c r="M249" s="17">
        <v>30800</v>
      </c>
      <c r="N249" s="17">
        <f t="shared" si="29"/>
        <v>36270</v>
      </c>
      <c r="O249" s="17">
        <f t="shared" si="30"/>
        <v>5470</v>
      </c>
      <c r="P249" s="10">
        <f t="shared" si="31"/>
        <v>0.8755102040816326</v>
      </c>
      <c r="Q249" s="10">
        <f t="shared" si="32"/>
        <v>6.0606060606060608E-2</v>
      </c>
      <c r="R249" s="10">
        <f t="shared" si="33"/>
        <v>0.15081334436173147</v>
      </c>
      <c r="S249" s="18">
        <f t="shared" si="34"/>
        <v>76.426799007444174</v>
      </c>
      <c r="T249" s="8">
        <f>480-ProductionData[[#This Row],[Downtime Minutes]]</f>
        <v>440</v>
      </c>
      <c r="U249" s="11">
        <f t="shared" si="35"/>
        <v>0.97499999999999998</v>
      </c>
      <c r="V249" s="18">
        <f>ProductionData[[#This Row],[Profit]]/ProductionData[[#This Row],[Good Units]]</f>
        <v>13.573200992555831</v>
      </c>
      <c r="W249" s="11">
        <f>ProductionData[[#This Row],[Good Units]]/ProductionData[[#This Row],[Operating Minutes]]</f>
        <v>0.91590909090909089</v>
      </c>
    </row>
    <row r="250" spans="1:23">
      <c r="A250" s="7">
        <v>46231</v>
      </c>
      <c r="B250" s="8" t="s">
        <v>19</v>
      </c>
      <c r="C250" s="8" t="s">
        <v>27</v>
      </c>
      <c r="D250" s="8" t="s">
        <v>25</v>
      </c>
      <c r="E250" s="8" t="s">
        <v>22</v>
      </c>
      <c r="F250" s="9">
        <v>460</v>
      </c>
      <c r="G250" s="9">
        <v>387</v>
      </c>
      <c r="H250" s="9">
        <v>27</v>
      </c>
      <c r="I250" s="9">
        <f t="shared" si="27"/>
        <v>360</v>
      </c>
      <c r="J250" s="9">
        <v>77</v>
      </c>
      <c r="K250" s="10">
        <f t="shared" si="28"/>
        <v>0.16041666666666668</v>
      </c>
      <c r="L250" s="17">
        <v>100</v>
      </c>
      <c r="M250" s="17">
        <v>30800</v>
      </c>
      <c r="N250" s="17">
        <f t="shared" si="29"/>
        <v>36000</v>
      </c>
      <c r="O250" s="17">
        <f t="shared" si="30"/>
        <v>5200</v>
      </c>
      <c r="P250" s="10">
        <f t="shared" si="31"/>
        <v>0.84130434782608698</v>
      </c>
      <c r="Q250" s="10">
        <f t="shared" si="32"/>
        <v>6.9767441860465115E-2</v>
      </c>
      <c r="R250" s="10">
        <f t="shared" si="33"/>
        <v>0.14444444444444443</v>
      </c>
      <c r="S250" s="18">
        <f t="shared" si="34"/>
        <v>85.555555555555557</v>
      </c>
      <c r="T250" s="8">
        <f>480-ProductionData[[#This Row],[Downtime Minutes]]</f>
        <v>403</v>
      </c>
      <c r="U250" s="11">
        <f t="shared" si="35"/>
        <v>0.96029776674937961</v>
      </c>
      <c r="V250" s="18">
        <f>ProductionData[[#This Row],[Profit]]/ProductionData[[#This Row],[Good Units]]</f>
        <v>14.444444444444445</v>
      </c>
      <c r="W250" s="11">
        <f>ProductionData[[#This Row],[Good Units]]/ProductionData[[#This Row],[Operating Minutes]]</f>
        <v>0.89330024813895781</v>
      </c>
    </row>
    <row r="251" spans="1:23">
      <c r="A251" s="7">
        <v>46231</v>
      </c>
      <c r="B251" s="8" t="s">
        <v>19</v>
      </c>
      <c r="C251" s="8" t="s">
        <v>28</v>
      </c>
      <c r="D251" s="8" t="s">
        <v>21</v>
      </c>
      <c r="E251" s="8" t="s">
        <v>26</v>
      </c>
      <c r="F251" s="9">
        <v>510</v>
      </c>
      <c r="G251" s="9">
        <v>500</v>
      </c>
      <c r="H251" s="9">
        <v>14</v>
      </c>
      <c r="I251" s="9">
        <f t="shared" si="27"/>
        <v>486</v>
      </c>
      <c r="J251" s="9">
        <v>22</v>
      </c>
      <c r="K251" s="10">
        <f t="shared" si="28"/>
        <v>4.583333333333333E-2</v>
      </c>
      <c r="L251" s="17">
        <v>90</v>
      </c>
      <c r="M251" s="17">
        <v>30800</v>
      </c>
      <c r="N251" s="17">
        <f t="shared" si="29"/>
        <v>43740</v>
      </c>
      <c r="O251" s="17">
        <f t="shared" si="30"/>
        <v>12940</v>
      </c>
      <c r="P251" s="10">
        <f t="shared" si="31"/>
        <v>0.98039215686274506</v>
      </c>
      <c r="Q251" s="10">
        <f t="shared" si="32"/>
        <v>2.8000000000000001E-2</v>
      </c>
      <c r="R251" s="10">
        <f t="shared" si="33"/>
        <v>0.2958390489254687</v>
      </c>
      <c r="S251" s="18">
        <f t="shared" si="34"/>
        <v>63.374485596707821</v>
      </c>
      <c r="T251" s="8">
        <f>480-ProductionData[[#This Row],[Downtime Minutes]]</f>
        <v>458</v>
      </c>
      <c r="U251" s="11">
        <f t="shared" si="35"/>
        <v>1.0917030567685591</v>
      </c>
      <c r="V251" s="18">
        <f>ProductionData[[#This Row],[Profit]]/ProductionData[[#This Row],[Good Units]]</f>
        <v>26.625514403292183</v>
      </c>
      <c r="W251" s="11">
        <f>ProductionData[[#This Row],[Good Units]]/ProductionData[[#This Row],[Operating Minutes]]</f>
        <v>1.0611353711790392</v>
      </c>
    </row>
    <row r="252" spans="1:23">
      <c r="A252" s="7">
        <v>46231</v>
      </c>
      <c r="B252" s="8" t="s">
        <v>19</v>
      </c>
      <c r="C252" s="8" t="s">
        <v>28</v>
      </c>
      <c r="D252" s="8" t="s">
        <v>23</v>
      </c>
      <c r="E252" s="8" t="s">
        <v>22</v>
      </c>
      <c r="F252" s="9">
        <v>440</v>
      </c>
      <c r="G252" s="9">
        <v>415</v>
      </c>
      <c r="H252" s="9">
        <v>17</v>
      </c>
      <c r="I252" s="9">
        <f t="shared" si="27"/>
        <v>398</v>
      </c>
      <c r="J252" s="9">
        <v>43</v>
      </c>
      <c r="K252" s="10">
        <f t="shared" si="28"/>
        <v>8.9583333333333334E-2</v>
      </c>
      <c r="L252" s="17">
        <v>100</v>
      </c>
      <c r="M252" s="17">
        <v>30800</v>
      </c>
      <c r="N252" s="17">
        <f t="shared" si="29"/>
        <v>39800</v>
      </c>
      <c r="O252" s="17">
        <f t="shared" si="30"/>
        <v>9000</v>
      </c>
      <c r="P252" s="10">
        <f t="shared" si="31"/>
        <v>0.94318181818181823</v>
      </c>
      <c r="Q252" s="10">
        <f t="shared" si="32"/>
        <v>4.0963855421686748E-2</v>
      </c>
      <c r="R252" s="10">
        <f t="shared" si="33"/>
        <v>0.22613065326633167</v>
      </c>
      <c r="S252" s="18">
        <f t="shared" si="34"/>
        <v>77.386934673366838</v>
      </c>
      <c r="T252" s="8">
        <f>480-ProductionData[[#This Row],[Downtime Minutes]]</f>
        <v>437</v>
      </c>
      <c r="U252" s="11">
        <f t="shared" si="35"/>
        <v>0.94965675057208243</v>
      </c>
      <c r="V252" s="18">
        <f>ProductionData[[#This Row],[Profit]]/ProductionData[[#This Row],[Good Units]]</f>
        <v>22.613065326633166</v>
      </c>
      <c r="W252" s="11">
        <f>ProductionData[[#This Row],[Good Units]]/ProductionData[[#This Row],[Operating Minutes]]</f>
        <v>0.91075514874141872</v>
      </c>
    </row>
    <row r="253" spans="1:23">
      <c r="A253" s="7">
        <v>46231</v>
      </c>
      <c r="B253" s="8" t="s">
        <v>19</v>
      </c>
      <c r="C253" s="8" t="s">
        <v>28</v>
      </c>
      <c r="D253" s="8" t="s">
        <v>25</v>
      </c>
      <c r="E253" s="8" t="s">
        <v>24</v>
      </c>
      <c r="F253" s="9">
        <v>410</v>
      </c>
      <c r="G253" s="9">
        <v>389</v>
      </c>
      <c r="H253" s="9">
        <v>17</v>
      </c>
      <c r="I253" s="9">
        <f t="shared" si="27"/>
        <v>372</v>
      </c>
      <c r="J253" s="9">
        <v>42</v>
      </c>
      <c r="K253" s="10">
        <f t="shared" si="28"/>
        <v>8.7499999999999994E-2</v>
      </c>
      <c r="L253" s="17">
        <v>120</v>
      </c>
      <c r="M253" s="17">
        <v>30800</v>
      </c>
      <c r="N253" s="17">
        <f t="shared" si="29"/>
        <v>44640</v>
      </c>
      <c r="O253" s="17">
        <f t="shared" si="30"/>
        <v>13840</v>
      </c>
      <c r="P253" s="10">
        <f t="shared" si="31"/>
        <v>0.948780487804878</v>
      </c>
      <c r="Q253" s="10">
        <f t="shared" si="32"/>
        <v>4.3701799485861184E-2</v>
      </c>
      <c r="R253" s="10">
        <f t="shared" si="33"/>
        <v>0.31003584229390679</v>
      </c>
      <c r="S253" s="18">
        <f t="shared" si="34"/>
        <v>82.795698924731184</v>
      </c>
      <c r="T253" s="8">
        <f>480-ProductionData[[#This Row],[Downtime Minutes]]</f>
        <v>438</v>
      </c>
      <c r="U253" s="11">
        <f t="shared" si="35"/>
        <v>0.88812785388127857</v>
      </c>
      <c r="V253" s="18">
        <f>ProductionData[[#This Row],[Profit]]/ProductionData[[#This Row],[Good Units]]</f>
        <v>37.204301075268816</v>
      </c>
      <c r="W253" s="11">
        <f>ProductionData[[#This Row],[Good Units]]/ProductionData[[#This Row],[Operating Minutes]]</f>
        <v>0.84931506849315064</v>
      </c>
    </row>
    <row r="254" spans="1:23">
      <c r="A254" s="7">
        <v>46232</v>
      </c>
      <c r="B254" s="8" t="s">
        <v>19</v>
      </c>
      <c r="C254" s="8" t="s">
        <v>20</v>
      </c>
      <c r="D254" s="8" t="s">
        <v>21</v>
      </c>
      <c r="E254" s="8" t="s">
        <v>24</v>
      </c>
      <c r="F254" s="9">
        <v>400</v>
      </c>
      <c r="G254" s="9">
        <v>384</v>
      </c>
      <c r="H254" s="9">
        <v>9</v>
      </c>
      <c r="I254" s="9">
        <f t="shared" si="27"/>
        <v>375</v>
      </c>
      <c r="J254" s="9">
        <v>39</v>
      </c>
      <c r="K254" s="10">
        <f t="shared" si="28"/>
        <v>8.1250000000000003E-2</v>
      </c>
      <c r="L254" s="17">
        <v>120</v>
      </c>
      <c r="M254" s="17">
        <v>30800</v>
      </c>
      <c r="N254" s="17">
        <f t="shared" si="29"/>
        <v>45000</v>
      </c>
      <c r="O254" s="17">
        <f t="shared" si="30"/>
        <v>14200</v>
      </c>
      <c r="P254" s="10">
        <f t="shared" si="31"/>
        <v>0.96</v>
      </c>
      <c r="Q254" s="10">
        <f t="shared" si="32"/>
        <v>2.34375E-2</v>
      </c>
      <c r="R254" s="10">
        <f t="shared" si="33"/>
        <v>0.31555555555555553</v>
      </c>
      <c r="S254" s="18">
        <f t="shared" si="34"/>
        <v>82.13333333333334</v>
      </c>
      <c r="T254" s="8">
        <f>480-ProductionData[[#This Row],[Downtime Minutes]]</f>
        <v>441</v>
      </c>
      <c r="U254" s="11">
        <f t="shared" si="35"/>
        <v>0.87074829931972786</v>
      </c>
      <c r="V254" s="18">
        <f>ProductionData[[#This Row],[Profit]]/ProductionData[[#This Row],[Good Units]]</f>
        <v>37.866666666666667</v>
      </c>
      <c r="W254" s="11">
        <f>ProductionData[[#This Row],[Good Units]]/ProductionData[[#This Row],[Operating Minutes]]</f>
        <v>0.85034013605442171</v>
      </c>
    </row>
    <row r="255" spans="1:23">
      <c r="A255" s="7">
        <v>46232</v>
      </c>
      <c r="B255" s="8" t="s">
        <v>19</v>
      </c>
      <c r="C255" s="8" t="s">
        <v>20</v>
      </c>
      <c r="D255" s="8" t="s">
        <v>23</v>
      </c>
      <c r="E255" s="8" t="s">
        <v>26</v>
      </c>
      <c r="F255" s="9">
        <v>490</v>
      </c>
      <c r="G255" s="9">
        <v>452</v>
      </c>
      <c r="H255" s="9">
        <v>19</v>
      </c>
      <c r="I255" s="9">
        <f t="shared" si="27"/>
        <v>433</v>
      </c>
      <c r="J255" s="9">
        <v>31</v>
      </c>
      <c r="K255" s="10">
        <f t="shared" si="28"/>
        <v>6.458333333333334E-2</v>
      </c>
      <c r="L255" s="17">
        <v>90</v>
      </c>
      <c r="M255" s="17">
        <v>30800</v>
      </c>
      <c r="N255" s="17">
        <f t="shared" si="29"/>
        <v>38970</v>
      </c>
      <c r="O255" s="17">
        <f t="shared" si="30"/>
        <v>8170</v>
      </c>
      <c r="P255" s="10">
        <f t="shared" si="31"/>
        <v>0.92244897959183669</v>
      </c>
      <c r="Q255" s="10">
        <f t="shared" si="32"/>
        <v>4.2035398230088498E-2</v>
      </c>
      <c r="R255" s="10">
        <f t="shared" si="33"/>
        <v>0.20964844752373621</v>
      </c>
      <c r="S255" s="18">
        <f t="shared" si="34"/>
        <v>71.131639722863738</v>
      </c>
      <c r="T255" s="8">
        <f>480-ProductionData[[#This Row],[Downtime Minutes]]</f>
        <v>449</v>
      </c>
      <c r="U255" s="11">
        <f t="shared" si="35"/>
        <v>1.0066815144766148</v>
      </c>
      <c r="V255" s="18">
        <f>ProductionData[[#This Row],[Profit]]/ProductionData[[#This Row],[Good Units]]</f>
        <v>18.868360277136258</v>
      </c>
      <c r="W255" s="11">
        <f>ProductionData[[#This Row],[Good Units]]/ProductionData[[#This Row],[Operating Minutes]]</f>
        <v>0.96436525612472157</v>
      </c>
    </row>
    <row r="256" spans="1:23">
      <c r="A256" s="7">
        <v>46232</v>
      </c>
      <c r="B256" s="8" t="s">
        <v>19</v>
      </c>
      <c r="C256" s="8" t="s">
        <v>20</v>
      </c>
      <c r="D256" s="8" t="s">
        <v>25</v>
      </c>
      <c r="E256" s="8" t="s">
        <v>22</v>
      </c>
      <c r="F256" s="9">
        <v>460</v>
      </c>
      <c r="G256" s="9">
        <v>423</v>
      </c>
      <c r="H256" s="9">
        <v>26</v>
      </c>
      <c r="I256" s="9">
        <f t="shared" si="27"/>
        <v>397</v>
      </c>
      <c r="J256" s="9">
        <v>53</v>
      </c>
      <c r="K256" s="10">
        <f t="shared" si="28"/>
        <v>0.11041666666666666</v>
      </c>
      <c r="L256" s="17">
        <v>100</v>
      </c>
      <c r="M256" s="17">
        <v>30800</v>
      </c>
      <c r="N256" s="17">
        <f t="shared" si="29"/>
        <v>39700</v>
      </c>
      <c r="O256" s="17">
        <f t="shared" si="30"/>
        <v>8900</v>
      </c>
      <c r="P256" s="10">
        <f t="shared" si="31"/>
        <v>0.91956521739130437</v>
      </c>
      <c r="Q256" s="10">
        <f t="shared" si="32"/>
        <v>6.1465721040189124E-2</v>
      </c>
      <c r="R256" s="10">
        <f t="shared" si="33"/>
        <v>0.22418136020151133</v>
      </c>
      <c r="S256" s="18">
        <f t="shared" si="34"/>
        <v>77.581863979848862</v>
      </c>
      <c r="T256" s="8">
        <f>480-ProductionData[[#This Row],[Downtime Minutes]]</f>
        <v>427</v>
      </c>
      <c r="U256" s="11">
        <f t="shared" si="35"/>
        <v>0.99063231850117095</v>
      </c>
      <c r="V256" s="18">
        <f>ProductionData[[#This Row],[Profit]]/ProductionData[[#This Row],[Good Units]]</f>
        <v>22.418136020151135</v>
      </c>
      <c r="W256" s="11">
        <f>ProductionData[[#This Row],[Good Units]]/ProductionData[[#This Row],[Operating Minutes]]</f>
        <v>0.92974238875878223</v>
      </c>
    </row>
    <row r="257" spans="1:23">
      <c r="A257" s="7">
        <v>46232</v>
      </c>
      <c r="B257" s="8" t="s">
        <v>19</v>
      </c>
      <c r="C257" s="8" t="s">
        <v>27</v>
      </c>
      <c r="D257" s="8" t="s">
        <v>21</v>
      </c>
      <c r="E257" s="8" t="s">
        <v>26</v>
      </c>
      <c r="F257" s="9">
        <v>500</v>
      </c>
      <c r="G257" s="9">
        <v>457</v>
      </c>
      <c r="H257" s="9">
        <v>19</v>
      </c>
      <c r="I257" s="9">
        <f t="shared" si="27"/>
        <v>438</v>
      </c>
      <c r="J257" s="9">
        <v>52</v>
      </c>
      <c r="K257" s="10">
        <f t="shared" si="28"/>
        <v>0.10833333333333334</v>
      </c>
      <c r="L257" s="17">
        <v>90</v>
      </c>
      <c r="M257" s="17">
        <v>30800</v>
      </c>
      <c r="N257" s="17">
        <f t="shared" si="29"/>
        <v>39420</v>
      </c>
      <c r="O257" s="17">
        <f t="shared" si="30"/>
        <v>8620</v>
      </c>
      <c r="P257" s="10">
        <f t="shared" si="31"/>
        <v>0.91400000000000003</v>
      </c>
      <c r="Q257" s="10">
        <f t="shared" si="32"/>
        <v>4.1575492341356671E-2</v>
      </c>
      <c r="R257" s="10">
        <f t="shared" si="33"/>
        <v>0.21867072552004058</v>
      </c>
      <c r="S257" s="18">
        <f t="shared" si="34"/>
        <v>70.319634703196343</v>
      </c>
      <c r="T257" s="8">
        <f>480-ProductionData[[#This Row],[Downtime Minutes]]</f>
        <v>428</v>
      </c>
      <c r="U257" s="11">
        <f t="shared" si="35"/>
        <v>1.0677570093457944</v>
      </c>
      <c r="V257" s="18">
        <f>ProductionData[[#This Row],[Profit]]/ProductionData[[#This Row],[Good Units]]</f>
        <v>19.680365296803654</v>
      </c>
      <c r="W257" s="11">
        <f>ProductionData[[#This Row],[Good Units]]/ProductionData[[#This Row],[Operating Minutes]]</f>
        <v>1.0233644859813085</v>
      </c>
    </row>
    <row r="258" spans="1:23">
      <c r="A258" s="7">
        <v>46232</v>
      </c>
      <c r="B258" s="8" t="s">
        <v>19</v>
      </c>
      <c r="C258" s="8" t="s">
        <v>27</v>
      </c>
      <c r="D258" s="8" t="s">
        <v>23</v>
      </c>
      <c r="E258" s="8" t="s">
        <v>22</v>
      </c>
      <c r="F258" s="9">
        <v>430</v>
      </c>
      <c r="G258" s="9">
        <v>379</v>
      </c>
      <c r="H258" s="9">
        <v>27</v>
      </c>
      <c r="I258" s="9">
        <f t="shared" ref="I258:I321" si="36">G258-H258</f>
        <v>352</v>
      </c>
      <c r="J258" s="9">
        <v>58</v>
      </c>
      <c r="K258" s="10">
        <f t="shared" ref="K258:K321" si="37">J258/480</f>
        <v>0.12083333333333333</v>
      </c>
      <c r="L258" s="17">
        <v>100</v>
      </c>
      <c r="M258" s="17">
        <v>30800</v>
      </c>
      <c r="N258" s="17">
        <f t="shared" ref="N258:N321" si="38">I258*L258</f>
        <v>35200</v>
      </c>
      <c r="O258" s="17">
        <f t="shared" ref="O258:O321" si="39">N258-M258</f>
        <v>4400</v>
      </c>
      <c r="P258" s="10">
        <f t="shared" ref="P258:P321" si="40">G258/F258</f>
        <v>0.88139534883720927</v>
      </c>
      <c r="Q258" s="10">
        <f t="shared" ref="Q258:Q321" si="41">H258/G258</f>
        <v>7.1240105540897103E-2</v>
      </c>
      <c r="R258" s="10">
        <f t="shared" ref="R258:R321" si="42">O258/N258</f>
        <v>0.125</v>
      </c>
      <c r="S258" s="18">
        <f t="shared" ref="S258:S321" si="43">M258/I258</f>
        <v>87.5</v>
      </c>
      <c r="T258" s="8">
        <f>480-ProductionData[[#This Row],[Downtime Minutes]]</f>
        <v>422</v>
      </c>
      <c r="U258" s="11">
        <f t="shared" ref="U258:U321" si="44">G258/T258</f>
        <v>0.8981042654028436</v>
      </c>
      <c r="V258" s="18">
        <f>ProductionData[[#This Row],[Profit]]/ProductionData[[#This Row],[Good Units]]</f>
        <v>12.5</v>
      </c>
      <c r="W258" s="11">
        <f>ProductionData[[#This Row],[Good Units]]/ProductionData[[#This Row],[Operating Minutes]]</f>
        <v>0.83412322274881512</v>
      </c>
    </row>
    <row r="259" spans="1:23">
      <c r="A259" s="7">
        <v>46232</v>
      </c>
      <c r="B259" s="8" t="s">
        <v>19</v>
      </c>
      <c r="C259" s="8" t="s">
        <v>27</v>
      </c>
      <c r="D259" s="8" t="s">
        <v>25</v>
      </c>
      <c r="E259" s="8" t="s">
        <v>24</v>
      </c>
      <c r="F259" s="9">
        <v>380</v>
      </c>
      <c r="G259" s="9">
        <v>337</v>
      </c>
      <c r="H259" s="9">
        <v>20</v>
      </c>
      <c r="I259" s="9">
        <f t="shared" si="36"/>
        <v>317</v>
      </c>
      <c r="J259" s="9">
        <v>61</v>
      </c>
      <c r="K259" s="10">
        <f t="shared" si="37"/>
        <v>0.12708333333333333</v>
      </c>
      <c r="L259" s="17">
        <v>120</v>
      </c>
      <c r="M259" s="17">
        <v>30800</v>
      </c>
      <c r="N259" s="17">
        <f t="shared" si="38"/>
        <v>38040</v>
      </c>
      <c r="O259" s="17">
        <f t="shared" si="39"/>
        <v>7240</v>
      </c>
      <c r="P259" s="10">
        <f t="shared" si="40"/>
        <v>0.88684210526315788</v>
      </c>
      <c r="Q259" s="10">
        <f t="shared" si="41"/>
        <v>5.9347181008902079E-2</v>
      </c>
      <c r="R259" s="10">
        <f t="shared" si="42"/>
        <v>0.19032597266035753</v>
      </c>
      <c r="S259" s="18">
        <f t="shared" si="43"/>
        <v>97.160883280757105</v>
      </c>
      <c r="T259" s="8">
        <f>480-ProductionData[[#This Row],[Downtime Minutes]]</f>
        <v>419</v>
      </c>
      <c r="U259" s="11">
        <f t="shared" si="44"/>
        <v>0.80429594272076377</v>
      </c>
      <c r="V259" s="18">
        <f>ProductionData[[#This Row],[Profit]]/ProductionData[[#This Row],[Good Units]]</f>
        <v>22.839116719242902</v>
      </c>
      <c r="W259" s="11">
        <f>ProductionData[[#This Row],[Good Units]]/ProductionData[[#This Row],[Operating Minutes]]</f>
        <v>0.75656324582338907</v>
      </c>
    </row>
    <row r="260" spans="1:23">
      <c r="A260" s="7">
        <v>46232</v>
      </c>
      <c r="B260" s="8" t="s">
        <v>19</v>
      </c>
      <c r="C260" s="8" t="s">
        <v>28</v>
      </c>
      <c r="D260" s="8" t="s">
        <v>21</v>
      </c>
      <c r="E260" s="8" t="s">
        <v>22</v>
      </c>
      <c r="F260" s="9">
        <v>440</v>
      </c>
      <c r="G260" s="9">
        <v>433</v>
      </c>
      <c r="H260" s="9">
        <v>13</v>
      </c>
      <c r="I260" s="9">
        <f t="shared" si="36"/>
        <v>420</v>
      </c>
      <c r="J260" s="9">
        <v>38</v>
      </c>
      <c r="K260" s="10">
        <f t="shared" si="37"/>
        <v>7.9166666666666663E-2</v>
      </c>
      <c r="L260" s="17">
        <v>100</v>
      </c>
      <c r="M260" s="17">
        <v>30800</v>
      </c>
      <c r="N260" s="17">
        <f t="shared" si="38"/>
        <v>42000</v>
      </c>
      <c r="O260" s="17">
        <f t="shared" si="39"/>
        <v>11200</v>
      </c>
      <c r="P260" s="10">
        <f t="shared" si="40"/>
        <v>0.98409090909090913</v>
      </c>
      <c r="Q260" s="10">
        <f t="shared" si="41"/>
        <v>3.0023094688221709E-2</v>
      </c>
      <c r="R260" s="10">
        <f t="shared" si="42"/>
        <v>0.26666666666666666</v>
      </c>
      <c r="S260" s="18">
        <f t="shared" si="43"/>
        <v>73.333333333333329</v>
      </c>
      <c r="T260" s="8">
        <f>480-ProductionData[[#This Row],[Downtime Minutes]]</f>
        <v>442</v>
      </c>
      <c r="U260" s="11">
        <f t="shared" si="44"/>
        <v>0.97963800904977372</v>
      </c>
      <c r="V260" s="18">
        <f>ProductionData[[#This Row],[Profit]]/ProductionData[[#This Row],[Good Units]]</f>
        <v>26.666666666666668</v>
      </c>
      <c r="W260" s="11">
        <f>ProductionData[[#This Row],[Good Units]]/ProductionData[[#This Row],[Operating Minutes]]</f>
        <v>0.95022624434389136</v>
      </c>
    </row>
    <row r="261" spans="1:23">
      <c r="A261" s="7">
        <v>46232</v>
      </c>
      <c r="B261" s="8" t="s">
        <v>19</v>
      </c>
      <c r="C261" s="8" t="s">
        <v>28</v>
      </c>
      <c r="D261" s="8" t="s">
        <v>23</v>
      </c>
      <c r="E261" s="8" t="s">
        <v>24</v>
      </c>
      <c r="F261" s="9">
        <v>390</v>
      </c>
      <c r="G261" s="9">
        <v>375</v>
      </c>
      <c r="H261" s="9">
        <v>9</v>
      </c>
      <c r="I261" s="9">
        <f t="shared" si="36"/>
        <v>366</v>
      </c>
      <c r="J261" s="9">
        <v>28</v>
      </c>
      <c r="K261" s="10">
        <f t="shared" si="37"/>
        <v>5.8333333333333334E-2</v>
      </c>
      <c r="L261" s="17">
        <v>120</v>
      </c>
      <c r="M261" s="17">
        <v>30800</v>
      </c>
      <c r="N261" s="17">
        <f t="shared" si="38"/>
        <v>43920</v>
      </c>
      <c r="O261" s="17">
        <f t="shared" si="39"/>
        <v>13120</v>
      </c>
      <c r="P261" s="10">
        <f t="shared" si="40"/>
        <v>0.96153846153846156</v>
      </c>
      <c r="Q261" s="10">
        <f t="shared" si="41"/>
        <v>2.4E-2</v>
      </c>
      <c r="R261" s="10">
        <f t="shared" si="42"/>
        <v>0.2987249544626594</v>
      </c>
      <c r="S261" s="18">
        <f t="shared" si="43"/>
        <v>84.15300546448087</v>
      </c>
      <c r="T261" s="8">
        <f>480-ProductionData[[#This Row],[Downtime Minutes]]</f>
        <v>452</v>
      </c>
      <c r="U261" s="11">
        <f t="shared" si="44"/>
        <v>0.82964601769911506</v>
      </c>
      <c r="V261" s="18">
        <f>ProductionData[[#This Row],[Profit]]/ProductionData[[#This Row],[Good Units]]</f>
        <v>35.846994535519123</v>
      </c>
      <c r="W261" s="11">
        <f>ProductionData[[#This Row],[Good Units]]/ProductionData[[#This Row],[Operating Minutes]]</f>
        <v>0.80973451327433632</v>
      </c>
    </row>
    <row r="262" spans="1:23">
      <c r="A262" s="7">
        <v>46232</v>
      </c>
      <c r="B262" s="8" t="s">
        <v>19</v>
      </c>
      <c r="C262" s="8" t="s">
        <v>28</v>
      </c>
      <c r="D262" s="8" t="s">
        <v>25</v>
      </c>
      <c r="E262" s="8" t="s">
        <v>26</v>
      </c>
      <c r="F262" s="9">
        <v>510</v>
      </c>
      <c r="G262" s="9">
        <v>486</v>
      </c>
      <c r="H262" s="9">
        <v>19</v>
      </c>
      <c r="I262" s="9">
        <f t="shared" si="36"/>
        <v>467</v>
      </c>
      <c r="J262" s="9">
        <v>20</v>
      </c>
      <c r="K262" s="10">
        <f t="shared" si="37"/>
        <v>4.1666666666666664E-2</v>
      </c>
      <c r="L262" s="17">
        <v>90</v>
      </c>
      <c r="M262" s="17">
        <v>30800</v>
      </c>
      <c r="N262" s="17">
        <f t="shared" si="38"/>
        <v>42030</v>
      </c>
      <c r="O262" s="17">
        <f t="shared" si="39"/>
        <v>11230</v>
      </c>
      <c r="P262" s="10">
        <f t="shared" si="40"/>
        <v>0.95294117647058818</v>
      </c>
      <c r="Q262" s="10">
        <f t="shared" si="41"/>
        <v>3.9094650205761319E-2</v>
      </c>
      <c r="R262" s="10">
        <f t="shared" si="42"/>
        <v>0.26719010230787532</v>
      </c>
      <c r="S262" s="18">
        <f t="shared" si="43"/>
        <v>65.952890792291214</v>
      </c>
      <c r="T262" s="8">
        <f>480-ProductionData[[#This Row],[Downtime Minutes]]</f>
        <v>460</v>
      </c>
      <c r="U262" s="11">
        <f t="shared" si="44"/>
        <v>1.0565217391304347</v>
      </c>
      <c r="V262" s="18">
        <f>ProductionData[[#This Row],[Profit]]/ProductionData[[#This Row],[Good Units]]</f>
        <v>24.047109207708779</v>
      </c>
      <c r="W262" s="11">
        <f>ProductionData[[#This Row],[Good Units]]/ProductionData[[#This Row],[Operating Minutes]]</f>
        <v>1.0152173913043478</v>
      </c>
    </row>
    <row r="263" spans="1:23">
      <c r="A263" s="7">
        <v>46233</v>
      </c>
      <c r="B263" s="8" t="s">
        <v>19</v>
      </c>
      <c r="C263" s="8" t="s">
        <v>20</v>
      </c>
      <c r="D263" s="8" t="s">
        <v>21</v>
      </c>
      <c r="E263" s="8" t="s">
        <v>26</v>
      </c>
      <c r="F263" s="9">
        <v>490</v>
      </c>
      <c r="G263" s="9">
        <v>475</v>
      </c>
      <c r="H263" s="9">
        <v>12</v>
      </c>
      <c r="I263" s="9">
        <f t="shared" si="36"/>
        <v>463</v>
      </c>
      <c r="J263" s="9">
        <v>15</v>
      </c>
      <c r="K263" s="10">
        <f t="shared" si="37"/>
        <v>3.125E-2</v>
      </c>
      <c r="L263" s="17">
        <v>90</v>
      </c>
      <c r="M263" s="17">
        <v>30800</v>
      </c>
      <c r="N263" s="17">
        <f t="shared" si="38"/>
        <v>41670</v>
      </c>
      <c r="O263" s="17">
        <f t="shared" si="39"/>
        <v>10870</v>
      </c>
      <c r="P263" s="10">
        <f t="shared" si="40"/>
        <v>0.96938775510204078</v>
      </c>
      <c r="Q263" s="10">
        <f t="shared" si="41"/>
        <v>2.5263157894736842E-2</v>
      </c>
      <c r="R263" s="10">
        <f t="shared" si="42"/>
        <v>0.26085913126949845</v>
      </c>
      <c r="S263" s="18">
        <f t="shared" si="43"/>
        <v>66.522678185745136</v>
      </c>
      <c r="T263" s="8">
        <f>480-ProductionData[[#This Row],[Downtime Minutes]]</f>
        <v>465</v>
      </c>
      <c r="U263" s="11">
        <f t="shared" si="44"/>
        <v>1.021505376344086</v>
      </c>
      <c r="V263" s="18">
        <f>ProductionData[[#This Row],[Profit]]/ProductionData[[#This Row],[Good Units]]</f>
        <v>23.477321814254861</v>
      </c>
      <c r="W263" s="11">
        <f>ProductionData[[#This Row],[Good Units]]/ProductionData[[#This Row],[Operating Minutes]]</f>
        <v>0.99569892473118282</v>
      </c>
    </row>
    <row r="264" spans="1:23">
      <c r="A264" s="7">
        <v>46233</v>
      </c>
      <c r="B264" s="8" t="s">
        <v>19</v>
      </c>
      <c r="C264" s="8" t="s">
        <v>20</v>
      </c>
      <c r="D264" s="8" t="s">
        <v>23</v>
      </c>
      <c r="E264" s="8" t="s">
        <v>22</v>
      </c>
      <c r="F264" s="9">
        <v>450</v>
      </c>
      <c r="G264" s="9">
        <v>423</v>
      </c>
      <c r="H264" s="9">
        <v>21</v>
      </c>
      <c r="I264" s="9">
        <f t="shared" si="36"/>
        <v>402</v>
      </c>
      <c r="J264" s="9">
        <v>43</v>
      </c>
      <c r="K264" s="10">
        <f t="shared" si="37"/>
        <v>8.9583333333333334E-2</v>
      </c>
      <c r="L264" s="17">
        <v>100</v>
      </c>
      <c r="M264" s="17">
        <v>30800</v>
      </c>
      <c r="N264" s="17">
        <f t="shared" si="38"/>
        <v>40200</v>
      </c>
      <c r="O264" s="17">
        <f t="shared" si="39"/>
        <v>9400</v>
      </c>
      <c r="P264" s="10">
        <f t="shared" si="40"/>
        <v>0.94</v>
      </c>
      <c r="Q264" s="10">
        <f t="shared" si="41"/>
        <v>4.9645390070921988E-2</v>
      </c>
      <c r="R264" s="10">
        <f t="shared" si="42"/>
        <v>0.23383084577114427</v>
      </c>
      <c r="S264" s="18">
        <f t="shared" si="43"/>
        <v>76.616915422885569</v>
      </c>
      <c r="T264" s="8">
        <f>480-ProductionData[[#This Row],[Downtime Minutes]]</f>
        <v>437</v>
      </c>
      <c r="U264" s="11">
        <f t="shared" si="44"/>
        <v>0.96796338672768878</v>
      </c>
      <c r="V264" s="18">
        <f>ProductionData[[#This Row],[Profit]]/ProductionData[[#This Row],[Good Units]]</f>
        <v>23.383084577114428</v>
      </c>
      <c r="W264" s="11">
        <f>ProductionData[[#This Row],[Good Units]]/ProductionData[[#This Row],[Operating Minutes]]</f>
        <v>0.919908466819222</v>
      </c>
    </row>
    <row r="265" spans="1:23">
      <c r="A265" s="7">
        <v>46233</v>
      </c>
      <c r="B265" s="8" t="s">
        <v>19</v>
      </c>
      <c r="C265" s="8" t="s">
        <v>20</v>
      </c>
      <c r="D265" s="8" t="s">
        <v>25</v>
      </c>
      <c r="E265" s="8" t="s">
        <v>24</v>
      </c>
      <c r="F265" s="9">
        <v>390</v>
      </c>
      <c r="G265" s="9">
        <v>357</v>
      </c>
      <c r="H265" s="9">
        <v>14</v>
      </c>
      <c r="I265" s="9">
        <f t="shared" si="36"/>
        <v>343</v>
      </c>
      <c r="J265" s="9">
        <v>34</v>
      </c>
      <c r="K265" s="10">
        <f t="shared" si="37"/>
        <v>7.0833333333333331E-2</v>
      </c>
      <c r="L265" s="17">
        <v>120</v>
      </c>
      <c r="M265" s="17">
        <v>30800</v>
      </c>
      <c r="N265" s="17">
        <f t="shared" si="38"/>
        <v>41160</v>
      </c>
      <c r="O265" s="17">
        <f t="shared" si="39"/>
        <v>10360</v>
      </c>
      <c r="P265" s="10">
        <f t="shared" si="40"/>
        <v>0.91538461538461535</v>
      </c>
      <c r="Q265" s="10">
        <f t="shared" si="41"/>
        <v>3.9215686274509803E-2</v>
      </c>
      <c r="R265" s="10">
        <f t="shared" si="42"/>
        <v>0.25170068027210885</v>
      </c>
      <c r="S265" s="18">
        <f t="shared" si="43"/>
        <v>89.795918367346943</v>
      </c>
      <c r="T265" s="8">
        <f>480-ProductionData[[#This Row],[Downtime Minutes]]</f>
        <v>446</v>
      </c>
      <c r="U265" s="11">
        <f t="shared" si="44"/>
        <v>0.80044843049327352</v>
      </c>
      <c r="V265" s="18">
        <f>ProductionData[[#This Row],[Profit]]/ProductionData[[#This Row],[Good Units]]</f>
        <v>30.204081632653061</v>
      </c>
      <c r="W265" s="11">
        <f>ProductionData[[#This Row],[Good Units]]/ProductionData[[#This Row],[Operating Minutes]]</f>
        <v>0.76905829596412556</v>
      </c>
    </row>
    <row r="266" spans="1:23">
      <c r="A266" s="7">
        <v>46233</v>
      </c>
      <c r="B266" s="8" t="s">
        <v>19</v>
      </c>
      <c r="C266" s="8" t="s">
        <v>27</v>
      </c>
      <c r="D266" s="8" t="s">
        <v>21</v>
      </c>
      <c r="E266" s="8" t="s">
        <v>22</v>
      </c>
      <c r="F266" s="9">
        <v>460</v>
      </c>
      <c r="G266" s="9">
        <v>419</v>
      </c>
      <c r="H266" s="9">
        <v>26</v>
      </c>
      <c r="I266" s="9">
        <f t="shared" si="36"/>
        <v>393</v>
      </c>
      <c r="J266" s="9">
        <v>50</v>
      </c>
      <c r="K266" s="10">
        <f t="shared" si="37"/>
        <v>0.10416666666666667</v>
      </c>
      <c r="L266" s="17">
        <v>100</v>
      </c>
      <c r="M266" s="17">
        <v>30800</v>
      </c>
      <c r="N266" s="17">
        <f t="shared" si="38"/>
        <v>39300</v>
      </c>
      <c r="O266" s="17">
        <f t="shared" si="39"/>
        <v>8500</v>
      </c>
      <c r="P266" s="10">
        <f t="shared" si="40"/>
        <v>0.91086956521739126</v>
      </c>
      <c r="Q266" s="10">
        <f t="shared" si="41"/>
        <v>6.205250596658711E-2</v>
      </c>
      <c r="R266" s="10">
        <f t="shared" si="42"/>
        <v>0.21628498727735368</v>
      </c>
      <c r="S266" s="18">
        <f t="shared" si="43"/>
        <v>78.371501272264638</v>
      </c>
      <c r="T266" s="8">
        <f>480-ProductionData[[#This Row],[Downtime Minutes]]</f>
        <v>430</v>
      </c>
      <c r="U266" s="11">
        <f t="shared" si="44"/>
        <v>0.97441860465116281</v>
      </c>
      <c r="V266" s="18">
        <f>ProductionData[[#This Row],[Profit]]/ProductionData[[#This Row],[Good Units]]</f>
        <v>21.628498727735369</v>
      </c>
      <c r="W266" s="11">
        <f>ProductionData[[#This Row],[Good Units]]/ProductionData[[#This Row],[Operating Minutes]]</f>
        <v>0.913953488372093</v>
      </c>
    </row>
    <row r="267" spans="1:23">
      <c r="A267" s="7">
        <v>46233</v>
      </c>
      <c r="B267" s="8" t="s">
        <v>19</v>
      </c>
      <c r="C267" s="8" t="s">
        <v>27</v>
      </c>
      <c r="D267" s="8" t="s">
        <v>23</v>
      </c>
      <c r="E267" s="8" t="s">
        <v>24</v>
      </c>
      <c r="F267" s="9">
        <v>390</v>
      </c>
      <c r="G267" s="9">
        <v>360</v>
      </c>
      <c r="H267" s="9">
        <v>16</v>
      </c>
      <c r="I267" s="9">
        <f t="shared" si="36"/>
        <v>344</v>
      </c>
      <c r="J267" s="9">
        <v>49</v>
      </c>
      <c r="K267" s="10">
        <f t="shared" si="37"/>
        <v>0.10208333333333333</v>
      </c>
      <c r="L267" s="17">
        <v>120</v>
      </c>
      <c r="M267" s="17">
        <v>30800</v>
      </c>
      <c r="N267" s="17">
        <f t="shared" si="38"/>
        <v>41280</v>
      </c>
      <c r="O267" s="17">
        <f t="shared" si="39"/>
        <v>10480</v>
      </c>
      <c r="P267" s="10">
        <f t="shared" si="40"/>
        <v>0.92307692307692313</v>
      </c>
      <c r="Q267" s="10">
        <f t="shared" si="41"/>
        <v>4.4444444444444446E-2</v>
      </c>
      <c r="R267" s="10">
        <f t="shared" si="42"/>
        <v>0.25387596899224807</v>
      </c>
      <c r="S267" s="18">
        <f t="shared" si="43"/>
        <v>89.534883720930239</v>
      </c>
      <c r="T267" s="8">
        <f>480-ProductionData[[#This Row],[Downtime Minutes]]</f>
        <v>431</v>
      </c>
      <c r="U267" s="11">
        <f t="shared" si="44"/>
        <v>0.83526682134570762</v>
      </c>
      <c r="V267" s="18">
        <f>ProductionData[[#This Row],[Profit]]/ProductionData[[#This Row],[Good Units]]</f>
        <v>30.465116279069768</v>
      </c>
      <c r="W267" s="11">
        <f>ProductionData[[#This Row],[Good Units]]/ProductionData[[#This Row],[Operating Minutes]]</f>
        <v>0.79814385150812062</v>
      </c>
    </row>
    <row r="268" spans="1:23">
      <c r="A268" s="7">
        <v>46233</v>
      </c>
      <c r="B268" s="8" t="s">
        <v>19</v>
      </c>
      <c r="C268" s="8" t="s">
        <v>27</v>
      </c>
      <c r="D268" s="8" t="s">
        <v>25</v>
      </c>
      <c r="E268" s="8" t="s">
        <v>26</v>
      </c>
      <c r="F268" s="9">
        <v>520</v>
      </c>
      <c r="G268" s="9">
        <v>458</v>
      </c>
      <c r="H268" s="9">
        <v>31</v>
      </c>
      <c r="I268" s="9">
        <f t="shared" si="36"/>
        <v>427</v>
      </c>
      <c r="J268" s="9">
        <v>53</v>
      </c>
      <c r="K268" s="10">
        <f t="shared" si="37"/>
        <v>0.11041666666666666</v>
      </c>
      <c r="L268" s="17">
        <v>90</v>
      </c>
      <c r="M268" s="17">
        <v>30800</v>
      </c>
      <c r="N268" s="17">
        <f t="shared" si="38"/>
        <v>38430</v>
      </c>
      <c r="O268" s="17">
        <f t="shared" si="39"/>
        <v>7630</v>
      </c>
      <c r="P268" s="10">
        <f t="shared" si="40"/>
        <v>0.88076923076923075</v>
      </c>
      <c r="Q268" s="10">
        <f t="shared" si="41"/>
        <v>6.768558951965066E-2</v>
      </c>
      <c r="R268" s="10">
        <f t="shared" si="42"/>
        <v>0.19854280510018216</v>
      </c>
      <c r="S268" s="18">
        <f t="shared" si="43"/>
        <v>72.131147540983605</v>
      </c>
      <c r="T268" s="8">
        <f>480-ProductionData[[#This Row],[Downtime Minutes]]</f>
        <v>427</v>
      </c>
      <c r="U268" s="11">
        <f t="shared" si="44"/>
        <v>1.0725995316159251</v>
      </c>
      <c r="V268" s="18">
        <f>ProductionData[[#This Row],[Profit]]/ProductionData[[#This Row],[Good Units]]</f>
        <v>17.868852459016395</v>
      </c>
      <c r="W268" s="11">
        <f>ProductionData[[#This Row],[Good Units]]/ProductionData[[#This Row],[Operating Minutes]]</f>
        <v>1</v>
      </c>
    </row>
    <row r="269" spans="1:23">
      <c r="A269" s="7">
        <v>46233</v>
      </c>
      <c r="B269" s="8" t="s">
        <v>19</v>
      </c>
      <c r="C269" s="8" t="s">
        <v>28</v>
      </c>
      <c r="D269" s="8" t="s">
        <v>21</v>
      </c>
      <c r="E269" s="8" t="s">
        <v>24</v>
      </c>
      <c r="F269" s="9">
        <v>390</v>
      </c>
      <c r="G269" s="9">
        <v>380</v>
      </c>
      <c r="H269" s="9">
        <v>8</v>
      </c>
      <c r="I269" s="9">
        <f t="shared" si="36"/>
        <v>372</v>
      </c>
      <c r="J269" s="9">
        <v>14</v>
      </c>
      <c r="K269" s="10">
        <f t="shared" si="37"/>
        <v>2.9166666666666667E-2</v>
      </c>
      <c r="L269" s="17">
        <v>120</v>
      </c>
      <c r="M269" s="17">
        <v>30800</v>
      </c>
      <c r="N269" s="17">
        <f t="shared" si="38"/>
        <v>44640</v>
      </c>
      <c r="O269" s="17">
        <f t="shared" si="39"/>
        <v>13840</v>
      </c>
      <c r="P269" s="10">
        <f t="shared" si="40"/>
        <v>0.97435897435897434</v>
      </c>
      <c r="Q269" s="10">
        <f t="shared" si="41"/>
        <v>2.1052631578947368E-2</v>
      </c>
      <c r="R269" s="10">
        <f t="shared" si="42"/>
        <v>0.31003584229390679</v>
      </c>
      <c r="S269" s="18">
        <f t="shared" si="43"/>
        <v>82.795698924731184</v>
      </c>
      <c r="T269" s="8">
        <f>480-ProductionData[[#This Row],[Downtime Minutes]]</f>
        <v>466</v>
      </c>
      <c r="U269" s="11">
        <f t="shared" si="44"/>
        <v>0.81545064377682408</v>
      </c>
      <c r="V269" s="18">
        <f>ProductionData[[#This Row],[Profit]]/ProductionData[[#This Row],[Good Units]]</f>
        <v>37.204301075268816</v>
      </c>
      <c r="W269" s="11">
        <f>ProductionData[[#This Row],[Good Units]]/ProductionData[[#This Row],[Operating Minutes]]</f>
        <v>0.79828326180257514</v>
      </c>
    </row>
    <row r="270" spans="1:23">
      <c r="A270" s="7">
        <v>46233</v>
      </c>
      <c r="B270" s="8" t="s">
        <v>19</v>
      </c>
      <c r="C270" s="8" t="s">
        <v>28</v>
      </c>
      <c r="D270" s="8" t="s">
        <v>23</v>
      </c>
      <c r="E270" s="8" t="s">
        <v>26</v>
      </c>
      <c r="F270" s="9">
        <v>500</v>
      </c>
      <c r="G270" s="9">
        <v>474</v>
      </c>
      <c r="H270" s="9">
        <v>15</v>
      </c>
      <c r="I270" s="9">
        <f t="shared" si="36"/>
        <v>459</v>
      </c>
      <c r="J270" s="9">
        <v>33</v>
      </c>
      <c r="K270" s="10">
        <f t="shared" si="37"/>
        <v>6.8750000000000006E-2</v>
      </c>
      <c r="L270" s="17">
        <v>90</v>
      </c>
      <c r="M270" s="17">
        <v>30800</v>
      </c>
      <c r="N270" s="17">
        <f t="shared" si="38"/>
        <v>41310</v>
      </c>
      <c r="O270" s="17">
        <f t="shared" si="39"/>
        <v>10510</v>
      </c>
      <c r="P270" s="10">
        <f t="shared" si="40"/>
        <v>0.94799999999999995</v>
      </c>
      <c r="Q270" s="10">
        <f t="shared" si="41"/>
        <v>3.1645569620253167E-2</v>
      </c>
      <c r="R270" s="10">
        <f t="shared" si="42"/>
        <v>0.25441781650931977</v>
      </c>
      <c r="S270" s="18">
        <f t="shared" si="43"/>
        <v>67.102396514161214</v>
      </c>
      <c r="T270" s="8">
        <f>480-ProductionData[[#This Row],[Downtime Minutes]]</f>
        <v>447</v>
      </c>
      <c r="U270" s="11">
        <f t="shared" si="44"/>
        <v>1.0604026845637584</v>
      </c>
      <c r="V270" s="18">
        <f>ProductionData[[#This Row],[Profit]]/ProductionData[[#This Row],[Good Units]]</f>
        <v>22.897603485838779</v>
      </c>
      <c r="W270" s="11">
        <f>ProductionData[[#This Row],[Good Units]]/ProductionData[[#This Row],[Operating Minutes]]</f>
        <v>1.0268456375838926</v>
      </c>
    </row>
    <row r="271" spans="1:23">
      <c r="A271" s="7">
        <v>46233</v>
      </c>
      <c r="B271" s="8" t="s">
        <v>19</v>
      </c>
      <c r="C271" s="8" t="s">
        <v>28</v>
      </c>
      <c r="D271" s="8" t="s">
        <v>25</v>
      </c>
      <c r="E271" s="8" t="s">
        <v>22</v>
      </c>
      <c r="F271" s="9">
        <v>430</v>
      </c>
      <c r="G271" s="9">
        <v>411</v>
      </c>
      <c r="H271" s="9">
        <v>18</v>
      </c>
      <c r="I271" s="9">
        <f t="shared" si="36"/>
        <v>393</v>
      </c>
      <c r="J271" s="9">
        <v>28</v>
      </c>
      <c r="K271" s="10">
        <f t="shared" si="37"/>
        <v>5.8333333333333334E-2</v>
      </c>
      <c r="L271" s="17">
        <v>100</v>
      </c>
      <c r="M271" s="17">
        <v>30800</v>
      </c>
      <c r="N271" s="17">
        <f t="shared" si="38"/>
        <v>39300</v>
      </c>
      <c r="O271" s="17">
        <f t="shared" si="39"/>
        <v>8500</v>
      </c>
      <c r="P271" s="10">
        <f t="shared" si="40"/>
        <v>0.95581395348837206</v>
      </c>
      <c r="Q271" s="10">
        <f t="shared" si="41"/>
        <v>4.3795620437956206E-2</v>
      </c>
      <c r="R271" s="10">
        <f t="shared" si="42"/>
        <v>0.21628498727735368</v>
      </c>
      <c r="S271" s="18">
        <f t="shared" si="43"/>
        <v>78.371501272264638</v>
      </c>
      <c r="T271" s="8">
        <f>480-ProductionData[[#This Row],[Downtime Minutes]]</f>
        <v>452</v>
      </c>
      <c r="U271" s="11">
        <f t="shared" si="44"/>
        <v>0.90929203539823011</v>
      </c>
      <c r="V271" s="18">
        <f>ProductionData[[#This Row],[Profit]]/ProductionData[[#This Row],[Good Units]]</f>
        <v>21.628498727735369</v>
      </c>
      <c r="W271" s="11">
        <f>ProductionData[[#This Row],[Good Units]]/ProductionData[[#This Row],[Operating Minutes]]</f>
        <v>0.86946902654867253</v>
      </c>
    </row>
    <row r="272" spans="1:23">
      <c r="A272" s="7">
        <v>46234</v>
      </c>
      <c r="B272" s="8" t="s">
        <v>19</v>
      </c>
      <c r="C272" s="8" t="s">
        <v>20</v>
      </c>
      <c r="D272" s="8" t="s">
        <v>21</v>
      </c>
      <c r="E272" s="8" t="s">
        <v>22</v>
      </c>
      <c r="F272" s="9">
        <v>470</v>
      </c>
      <c r="G272" s="9">
        <v>459</v>
      </c>
      <c r="H272" s="9">
        <v>21</v>
      </c>
      <c r="I272" s="9">
        <f t="shared" si="36"/>
        <v>438</v>
      </c>
      <c r="J272" s="9">
        <v>41</v>
      </c>
      <c r="K272" s="10">
        <f t="shared" si="37"/>
        <v>8.5416666666666669E-2</v>
      </c>
      <c r="L272" s="17">
        <v>100</v>
      </c>
      <c r="M272" s="17">
        <v>30800</v>
      </c>
      <c r="N272" s="17">
        <f t="shared" si="38"/>
        <v>43800</v>
      </c>
      <c r="O272" s="17">
        <f t="shared" si="39"/>
        <v>13000</v>
      </c>
      <c r="P272" s="10">
        <f t="shared" si="40"/>
        <v>0.97659574468085109</v>
      </c>
      <c r="Q272" s="10">
        <f t="shared" si="41"/>
        <v>4.5751633986928102E-2</v>
      </c>
      <c r="R272" s="10">
        <f t="shared" si="42"/>
        <v>0.29680365296803651</v>
      </c>
      <c r="S272" s="18">
        <f t="shared" si="43"/>
        <v>70.319634703196343</v>
      </c>
      <c r="T272" s="8">
        <f>480-ProductionData[[#This Row],[Downtime Minutes]]</f>
        <v>439</v>
      </c>
      <c r="U272" s="11">
        <f t="shared" si="44"/>
        <v>1.0455580865603644</v>
      </c>
      <c r="V272" s="18">
        <f>ProductionData[[#This Row],[Profit]]/ProductionData[[#This Row],[Good Units]]</f>
        <v>29.680365296803654</v>
      </c>
      <c r="W272" s="11">
        <f>ProductionData[[#This Row],[Good Units]]/ProductionData[[#This Row],[Operating Minutes]]</f>
        <v>0.99772209567198178</v>
      </c>
    </row>
    <row r="273" spans="1:23">
      <c r="A273" s="7">
        <v>46234</v>
      </c>
      <c r="B273" s="8" t="s">
        <v>19</v>
      </c>
      <c r="C273" s="8" t="s">
        <v>20</v>
      </c>
      <c r="D273" s="8" t="s">
        <v>23</v>
      </c>
      <c r="E273" s="8" t="s">
        <v>24</v>
      </c>
      <c r="F273" s="9">
        <v>410</v>
      </c>
      <c r="G273" s="9">
        <v>385</v>
      </c>
      <c r="H273" s="9">
        <v>10</v>
      </c>
      <c r="I273" s="9">
        <f t="shared" si="36"/>
        <v>375</v>
      </c>
      <c r="J273" s="9">
        <v>25</v>
      </c>
      <c r="K273" s="10">
        <f t="shared" si="37"/>
        <v>5.2083333333333336E-2</v>
      </c>
      <c r="L273" s="17">
        <v>120</v>
      </c>
      <c r="M273" s="17">
        <v>30800</v>
      </c>
      <c r="N273" s="17">
        <f t="shared" si="38"/>
        <v>45000</v>
      </c>
      <c r="O273" s="17">
        <f t="shared" si="39"/>
        <v>14200</v>
      </c>
      <c r="P273" s="10">
        <f t="shared" si="40"/>
        <v>0.93902439024390238</v>
      </c>
      <c r="Q273" s="10">
        <f t="shared" si="41"/>
        <v>2.5974025974025976E-2</v>
      </c>
      <c r="R273" s="10">
        <f t="shared" si="42"/>
        <v>0.31555555555555553</v>
      </c>
      <c r="S273" s="18">
        <f t="shared" si="43"/>
        <v>82.13333333333334</v>
      </c>
      <c r="T273" s="8">
        <f>480-ProductionData[[#This Row],[Downtime Minutes]]</f>
        <v>455</v>
      </c>
      <c r="U273" s="11">
        <f t="shared" si="44"/>
        <v>0.84615384615384615</v>
      </c>
      <c r="V273" s="18">
        <f>ProductionData[[#This Row],[Profit]]/ProductionData[[#This Row],[Good Units]]</f>
        <v>37.866666666666667</v>
      </c>
      <c r="W273" s="11">
        <f>ProductionData[[#This Row],[Good Units]]/ProductionData[[#This Row],[Operating Minutes]]</f>
        <v>0.82417582417582413</v>
      </c>
    </row>
    <row r="274" spans="1:23">
      <c r="A274" s="7">
        <v>46234</v>
      </c>
      <c r="B274" s="8" t="s">
        <v>19</v>
      </c>
      <c r="C274" s="8" t="s">
        <v>20</v>
      </c>
      <c r="D274" s="8" t="s">
        <v>25</v>
      </c>
      <c r="E274" s="8" t="s">
        <v>26</v>
      </c>
      <c r="F274" s="9">
        <v>490</v>
      </c>
      <c r="G274" s="9">
        <v>461</v>
      </c>
      <c r="H274" s="9">
        <v>20</v>
      </c>
      <c r="I274" s="9">
        <f t="shared" si="36"/>
        <v>441</v>
      </c>
      <c r="J274" s="9">
        <v>48</v>
      </c>
      <c r="K274" s="10">
        <f t="shared" si="37"/>
        <v>0.1</v>
      </c>
      <c r="L274" s="17">
        <v>90</v>
      </c>
      <c r="M274" s="17">
        <v>30800</v>
      </c>
      <c r="N274" s="17">
        <f t="shared" si="38"/>
        <v>39690</v>
      </c>
      <c r="O274" s="17">
        <f t="shared" si="39"/>
        <v>8890</v>
      </c>
      <c r="P274" s="10">
        <f t="shared" si="40"/>
        <v>0.9408163265306122</v>
      </c>
      <c r="Q274" s="10">
        <f t="shared" si="41"/>
        <v>4.3383947939262472E-2</v>
      </c>
      <c r="R274" s="10">
        <f t="shared" si="42"/>
        <v>0.22398589065255731</v>
      </c>
      <c r="S274" s="18">
        <f t="shared" si="43"/>
        <v>69.841269841269835</v>
      </c>
      <c r="T274" s="8">
        <f>480-ProductionData[[#This Row],[Downtime Minutes]]</f>
        <v>432</v>
      </c>
      <c r="U274" s="11">
        <f t="shared" si="44"/>
        <v>1.0671296296296295</v>
      </c>
      <c r="V274" s="18">
        <f>ProductionData[[#This Row],[Profit]]/ProductionData[[#This Row],[Good Units]]</f>
        <v>20.158730158730158</v>
      </c>
      <c r="W274" s="11">
        <f>ProductionData[[#This Row],[Good Units]]/ProductionData[[#This Row],[Operating Minutes]]</f>
        <v>1.0208333333333333</v>
      </c>
    </row>
    <row r="275" spans="1:23">
      <c r="A275" s="7">
        <v>46234</v>
      </c>
      <c r="B275" s="8" t="s">
        <v>19</v>
      </c>
      <c r="C275" s="8" t="s">
        <v>27</v>
      </c>
      <c r="D275" s="8" t="s">
        <v>21</v>
      </c>
      <c r="E275" s="8" t="s">
        <v>24</v>
      </c>
      <c r="F275" s="9">
        <v>390</v>
      </c>
      <c r="G275" s="9">
        <v>361</v>
      </c>
      <c r="H275" s="9">
        <v>15</v>
      </c>
      <c r="I275" s="9">
        <f t="shared" si="36"/>
        <v>346</v>
      </c>
      <c r="J275" s="9">
        <v>54</v>
      </c>
      <c r="K275" s="10">
        <f t="shared" si="37"/>
        <v>0.1125</v>
      </c>
      <c r="L275" s="17">
        <v>120</v>
      </c>
      <c r="M275" s="17">
        <v>30800</v>
      </c>
      <c r="N275" s="17">
        <f t="shared" si="38"/>
        <v>41520</v>
      </c>
      <c r="O275" s="17">
        <f t="shared" si="39"/>
        <v>10720</v>
      </c>
      <c r="P275" s="10">
        <f t="shared" si="40"/>
        <v>0.92564102564102568</v>
      </c>
      <c r="Q275" s="10">
        <f t="shared" si="41"/>
        <v>4.1551246537396121E-2</v>
      </c>
      <c r="R275" s="10">
        <f t="shared" si="42"/>
        <v>0.25818882466281312</v>
      </c>
      <c r="S275" s="18">
        <f t="shared" si="43"/>
        <v>89.017341040462426</v>
      </c>
      <c r="T275" s="8">
        <f>480-ProductionData[[#This Row],[Downtime Minutes]]</f>
        <v>426</v>
      </c>
      <c r="U275" s="11">
        <f t="shared" si="44"/>
        <v>0.84741784037558687</v>
      </c>
      <c r="V275" s="18">
        <f>ProductionData[[#This Row],[Profit]]/ProductionData[[#This Row],[Good Units]]</f>
        <v>30.982658959537574</v>
      </c>
      <c r="W275" s="11">
        <f>ProductionData[[#This Row],[Good Units]]/ProductionData[[#This Row],[Operating Minutes]]</f>
        <v>0.81220657276995301</v>
      </c>
    </row>
    <row r="276" spans="1:23">
      <c r="A276" s="7">
        <v>46234</v>
      </c>
      <c r="B276" s="8" t="s">
        <v>19</v>
      </c>
      <c r="C276" s="8" t="s">
        <v>27</v>
      </c>
      <c r="D276" s="8" t="s">
        <v>23</v>
      </c>
      <c r="E276" s="8" t="s">
        <v>26</v>
      </c>
      <c r="F276" s="9">
        <v>500</v>
      </c>
      <c r="G276" s="9">
        <v>444</v>
      </c>
      <c r="H276" s="9">
        <v>23</v>
      </c>
      <c r="I276" s="9">
        <f t="shared" si="36"/>
        <v>421</v>
      </c>
      <c r="J276" s="9">
        <v>48</v>
      </c>
      <c r="K276" s="10">
        <f t="shared" si="37"/>
        <v>0.1</v>
      </c>
      <c r="L276" s="17">
        <v>90</v>
      </c>
      <c r="M276" s="17">
        <v>30800</v>
      </c>
      <c r="N276" s="17">
        <f t="shared" si="38"/>
        <v>37890</v>
      </c>
      <c r="O276" s="17">
        <f t="shared" si="39"/>
        <v>7090</v>
      </c>
      <c r="P276" s="10">
        <f t="shared" si="40"/>
        <v>0.88800000000000001</v>
      </c>
      <c r="Q276" s="10">
        <f t="shared" si="41"/>
        <v>5.18018018018018E-2</v>
      </c>
      <c r="R276" s="10">
        <f t="shared" si="42"/>
        <v>0.18712061229875956</v>
      </c>
      <c r="S276" s="18">
        <f t="shared" si="43"/>
        <v>73.159144893111645</v>
      </c>
      <c r="T276" s="8">
        <f>480-ProductionData[[#This Row],[Downtime Minutes]]</f>
        <v>432</v>
      </c>
      <c r="U276" s="11">
        <f t="shared" si="44"/>
        <v>1.0277777777777777</v>
      </c>
      <c r="V276" s="18">
        <f>ProductionData[[#This Row],[Profit]]/ProductionData[[#This Row],[Good Units]]</f>
        <v>16.840855106888363</v>
      </c>
      <c r="W276" s="11">
        <f>ProductionData[[#This Row],[Good Units]]/ProductionData[[#This Row],[Operating Minutes]]</f>
        <v>0.97453703703703709</v>
      </c>
    </row>
    <row r="277" spans="1:23">
      <c r="A277" s="7">
        <v>46234</v>
      </c>
      <c r="B277" s="8" t="s">
        <v>19</v>
      </c>
      <c r="C277" s="8" t="s">
        <v>27</v>
      </c>
      <c r="D277" s="8" t="s">
        <v>25</v>
      </c>
      <c r="E277" s="8" t="s">
        <v>22</v>
      </c>
      <c r="F277" s="9">
        <v>440</v>
      </c>
      <c r="G277" s="9">
        <v>371</v>
      </c>
      <c r="H277" s="9">
        <v>28</v>
      </c>
      <c r="I277" s="9">
        <f t="shared" si="36"/>
        <v>343</v>
      </c>
      <c r="J277" s="9">
        <v>57</v>
      </c>
      <c r="K277" s="10">
        <f t="shared" si="37"/>
        <v>0.11874999999999999</v>
      </c>
      <c r="L277" s="17">
        <v>100</v>
      </c>
      <c r="M277" s="17">
        <v>30800</v>
      </c>
      <c r="N277" s="17">
        <f t="shared" si="38"/>
        <v>34300</v>
      </c>
      <c r="O277" s="17">
        <f t="shared" si="39"/>
        <v>3500</v>
      </c>
      <c r="P277" s="10">
        <f t="shared" si="40"/>
        <v>0.84318181818181814</v>
      </c>
      <c r="Q277" s="10">
        <f t="shared" si="41"/>
        <v>7.5471698113207544E-2</v>
      </c>
      <c r="R277" s="10">
        <f t="shared" si="42"/>
        <v>0.10204081632653061</v>
      </c>
      <c r="S277" s="18">
        <f t="shared" si="43"/>
        <v>89.795918367346943</v>
      </c>
      <c r="T277" s="8">
        <f>480-ProductionData[[#This Row],[Downtime Minutes]]</f>
        <v>423</v>
      </c>
      <c r="U277" s="11">
        <f t="shared" si="44"/>
        <v>0.87706855791962179</v>
      </c>
      <c r="V277" s="18">
        <f>ProductionData[[#This Row],[Profit]]/ProductionData[[#This Row],[Good Units]]</f>
        <v>10.204081632653061</v>
      </c>
      <c r="W277" s="11">
        <f>ProductionData[[#This Row],[Good Units]]/ProductionData[[#This Row],[Operating Minutes]]</f>
        <v>0.81087470449172572</v>
      </c>
    </row>
    <row r="278" spans="1:23">
      <c r="A278" s="7">
        <v>46234</v>
      </c>
      <c r="B278" s="8" t="s">
        <v>19</v>
      </c>
      <c r="C278" s="8" t="s">
        <v>28</v>
      </c>
      <c r="D278" s="8" t="s">
        <v>21</v>
      </c>
      <c r="E278" s="8" t="s">
        <v>26</v>
      </c>
      <c r="F278" s="9">
        <v>500</v>
      </c>
      <c r="G278" s="9">
        <v>499</v>
      </c>
      <c r="H278" s="9">
        <v>12</v>
      </c>
      <c r="I278" s="9">
        <f t="shared" si="36"/>
        <v>487</v>
      </c>
      <c r="J278" s="9">
        <v>28</v>
      </c>
      <c r="K278" s="10">
        <f t="shared" si="37"/>
        <v>5.8333333333333334E-2</v>
      </c>
      <c r="L278" s="17">
        <v>90</v>
      </c>
      <c r="M278" s="17">
        <v>30800</v>
      </c>
      <c r="N278" s="17">
        <f t="shared" si="38"/>
        <v>43830</v>
      </c>
      <c r="O278" s="17">
        <f t="shared" si="39"/>
        <v>13030</v>
      </c>
      <c r="P278" s="10">
        <f t="shared" si="40"/>
        <v>0.998</v>
      </c>
      <c r="Q278" s="10">
        <f t="shared" si="41"/>
        <v>2.4048096192384769E-2</v>
      </c>
      <c r="R278" s="10">
        <f t="shared" si="42"/>
        <v>0.297284964636094</v>
      </c>
      <c r="S278" s="18">
        <f t="shared" si="43"/>
        <v>63.244353182751539</v>
      </c>
      <c r="T278" s="8">
        <f>480-ProductionData[[#This Row],[Downtime Minutes]]</f>
        <v>452</v>
      </c>
      <c r="U278" s="11">
        <f t="shared" si="44"/>
        <v>1.1039823008849559</v>
      </c>
      <c r="V278" s="18">
        <f>ProductionData[[#This Row],[Profit]]/ProductionData[[#This Row],[Good Units]]</f>
        <v>26.755646817248461</v>
      </c>
      <c r="W278" s="11">
        <f>ProductionData[[#This Row],[Good Units]]/ProductionData[[#This Row],[Operating Minutes]]</f>
        <v>1.0774336283185841</v>
      </c>
    </row>
    <row r="279" spans="1:23">
      <c r="A279" s="7">
        <v>46234</v>
      </c>
      <c r="B279" s="8" t="s">
        <v>19</v>
      </c>
      <c r="C279" s="8" t="s">
        <v>28</v>
      </c>
      <c r="D279" s="8" t="s">
        <v>23</v>
      </c>
      <c r="E279" s="8" t="s">
        <v>22</v>
      </c>
      <c r="F279" s="9">
        <v>460</v>
      </c>
      <c r="G279" s="9">
        <v>436</v>
      </c>
      <c r="H279" s="9">
        <v>16</v>
      </c>
      <c r="I279" s="9">
        <f t="shared" si="36"/>
        <v>420</v>
      </c>
      <c r="J279" s="9">
        <v>28</v>
      </c>
      <c r="K279" s="10">
        <f t="shared" si="37"/>
        <v>5.8333333333333334E-2</v>
      </c>
      <c r="L279" s="17">
        <v>100</v>
      </c>
      <c r="M279" s="17">
        <v>30800</v>
      </c>
      <c r="N279" s="17">
        <f t="shared" si="38"/>
        <v>42000</v>
      </c>
      <c r="O279" s="17">
        <f t="shared" si="39"/>
        <v>11200</v>
      </c>
      <c r="P279" s="10">
        <f t="shared" si="40"/>
        <v>0.94782608695652171</v>
      </c>
      <c r="Q279" s="10">
        <f t="shared" si="41"/>
        <v>3.669724770642202E-2</v>
      </c>
      <c r="R279" s="10">
        <f t="shared" si="42"/>
        <v>0.26666666666666666</v>
      </c>
      <c r="S279" s="18">
        <f t="shared" si="43"/>
        <v>73.333333333333329</v>
      </c>
      <c r="T279" s="8">
        <f>480-ProductionData[[#This Row],[Downtime Minutes]]</f>
        <v>452</v>
      </c>
      <c r="U279" s="11">
        <f t="shared" si="44"/>
        <v>0.96460176991150437</v>
      </c>
      <c r="V279" s="18">
        <f>ProductionData[[#This Row],[Profit]]/ProductionData[[#This Row],[Good Units]]</f>
        <v>26.666666666666668</v>
      </c>
      <c r="W279" s="11">
        <f>ProductionData[[#This Row],[Good Units]]/ProductionData[[#This Row],[Operating Minutes]]</f>
        <v>0.92920353982300885</v>
      </c>
    </row>
    <row r="280" spans="1:23">
      <c r="A280" s="7">
        <v>46234</v>
      </c>
      <c r="B280" s="8" t="s">
        <v>19</v>
      </c>
      <c r="C280" s="8" t="s">
        <v>28</v>
      </c>
      <c r="D280" s="8" t="s">
        <v>25</v>
      </c>
      <c r="E280" s="8" t="s">
        <v>24</v>
      </c>
      <c r="F280" s="9">
        <v>400</v>
      </c>
      <c r="G280" s="9">
        <v>380</v>
      </c>
      <c r="H280" s="9">
        <v>14</v>
      </c>
      <c r="I280" s="9">
        <f t="shared" si="36"/>
        <v>366</v>
      </c>
      <c r="J280" s="9">
        <v>28</v>
      </c>
      <c r="K280" s="10">
        <f t="shared" si="37"/>
        <v>5.8333333333333334E-2</v>
      </c>
      <c r="L280" s="17">
        <v>120</v>
      </c>
      <c r="M280" s="17">
        <v>30800</v>
      </c>
      <c r="N280" s="17">
        <f t="shared" si="38"/>
        <v>43920</v>
      </c>
      <c r="O280" s="17">
        <f t="shared" si="39"/>
        <v>13120</v>
      </c>
      <c r="P280" s="10">
        <f t="shared" si="40"/>
        <v>0.95</v>
      </c>
      <c r="Q280" s="10">
        <f t="shared" si="41"/>
        <v>3.6842105263157891E-2</v>
      </c>
      <c r="R280" s="10">
        <f t="shared" si="42"/>
        <v>0.2987249544626594</v>
      </c>
      <c r="S280" s="18">
        <f t="shared" si="43"/>
        <v>84.15300546448087</v>
      </c>
      <c r="T280" s="8">
        <f>480-ProductionData[[#This Row],[Downtime Minutes]]</f>
        <v>452</v>
      </c>
      <c r="U280" s="11">
        <f t="shared" si="44"/>
        <v>0.84070796460176989</v>
      </c>
      <c r="V280" s="18">
        <f>ProductionData[[#This Row],[Profit]]/ProductionData[[#This Row],[Good Units]]</f>
        <v>35.846994535519123</v>
      </c>
      <c r="W280" s="11">
        <f>ProductionData[[#This Row],[Good Units]]/ProductionData[[#This Row],[Operating Minutes]]</f>
        <v>0.80973451327433632</v>
      </c>
    </row>
    <row r="281" spans="1:23">
      <c r="A281" s="7">
        <v>46235</v>
      </c>
      <c r="B281" s="8" t="s">
        <v>29</v>
      </c>
      <c r="C281" s="8" t="s">
        <v>20</v>
      </c>
      <c r="D281" s="8" t="s">
        <v>21</v>
      </c>
      <c r="E281" s="8" t="s">
        <v>22</v>
      </c>
      <c r="F281" s="9">
        <v>450</v>
      </c>
      <c r="G281" s="9">
        <v>436</v>
      </c>
      <c r="H281" s="9">
        <v>21</v>
      </c>
      <c r="I281" s="9">
        <f t="shared" si="36"/>
        <v>415</v>
      </c>
      <c r="J281" s="9">
        <v>37</v>
      </c>
      <c r="K281" s="10">
        <f t="shared" si="37"/>
        <v>7.7083333333333337E-2</v>
      </c>
      <c r="L281" s="17">
        <v>100</v>
      </c>
      <c r="M281" s="17">
        <v>30800</v>
      </c>
      <c r="N281" s="17">
        <f t="shared" si="38"/>
        <v>41500</v>
      </c>
      <c r="O281" s="17">
        <f t="shared" si="39"/>
        <v>10700</v>
      </c>
      <c r="P281" s="10">
        <f t="shared" si="40"/>
        <v>0.96888888888888891</v>
      </c>
      <c r="Q281" s="10">
        <f t="shared" si="41"/>
        <v>4.8165137614678902E-2</v>
      </c>
      <c r="R281" s="10">
        <f t="shared" si="42"/>
        <v>0.25783132530120484</v>
      </c>
      <c r="S281" s="18">
        <f t="shared" si="43"/>
        <v>74.216867469879517</v>
      </c>
      <c r="T281" s="8">
        <f>480-ProductionData[[#This Row],[Downtime Minutes]]</f>
        <v>443</v>
      </c>
      <c r="U281" s="11">
        <f t="shared" si="44"/>
        <v>0.98419864559819414</v>
      </c>
      <c r="V281" s="18">
        <f>ProductionData[[#This Row],[Profit]]/ProductionData[[#This Row],[Good Units]]</f>
        <v>25.783132530120483</v>
      </c>
      <c r="W281" s="11">
        <f>ProductionData[[#This Row],[Good Units]]/ProductionData[[#This Row],[Operating Minutes]]</f>
        <v>0.93679458239277658</v>
      </c>
    </row>
    <row r="282" spans="1:23">
      <c r="A282" s="7">
        <v>46235</v>
      </c>
      <c r="B282" s="8" t="s">
        <v>29</v>
      </c>
      <c r="C282" s="8" t="s">
        <v>20</v>
      </c>
      <c r="D282" s="8" t="s">
        <v>23</v>
      </c>
      <c r="E282" s="8" t="s">
        <v>24</v>
      </c>
      <c r="F282" s="9">
        <v>410</v>
      </c>
      <c r="G282" s="9">
        <v>388</v>
      </c>
      <c r="H282" s="9">
        <v>14</v>
      </c>
      <c r="I282" s="9">
        <f t="shared" si="36"/>
        <v>374</v>
      </c>
      <c r="J282" s="9">
        <v>44</v>
      </c>
      <c r="K282" s="10">
        <f t="shared" si="37"/>
        <v>9.166666666666666E-2</v>
      </c>
      <c r="L282" s="17">
        <v>120</v>
      </c>
      <c r="M282" s="17">
        <v>30800</v>
      </c>
      <c r="N282" s="17">
        <f t="shared" si="38"/>
        <v>44880</v>
      </c>
      <c r="O282" s="17">
        <f t="shared" si="39"/>
        <v>14080</v>
      </c>
      <c r="P282" s="10">
        <f t="shared" si="40"/>
        <v>0.9463414634146341</v>
      </c>
      <c r="Q282" s="10">
        <f t="shared" si="41"/>
        <v>3.608247422680412E-2</v>
      </c>
      <c r="R282" s="10">
        <f t="shared" si="42"/>
        <v>0.31372549019607843</v>
      </c>
      <c r="S282" s="18">
        <f t="shared" si="43"/>
        <v>82.352941176470594</v>
      </c>
      <c r="T282" s="8">
        <f>480-ProductionData[[#This Row],[Downtime Minutes]]</f>
        <v>436</v>
      </c>
      <c r="U282" s="11">
        <f t="shared" si="44"/>
        <v>0.88990825688073394</v>
      </c>
      <c r="V282" s="18">
        <f>ProductionData[[#This Row],[Profit]]/ProductionData[[#This Row],[Good Units]]</f>
        <v>37.647058823529413</v>
      </c>
      <c r="W282" s="11">
        <f>ProductionData[[#This Row],[Good Units]]/ProductionData[[#This Row],[Operating Minutes]]</f>
        <v>0.85779816513761464</v>
      </c>
    </row>
    <row r="283" spans="1:23">
      <c r="A283" s="7">
        <v>46235</v>
      </c>
      <c r="B283" s="8" t="s">
        <v>29</v>
      </c>
      <c r="C283" s="8" t="s">
        <v>20</v>
      </c>
      <c r="D283" s="8" t="s">
        <v>25</v>
      </c>
      <c r="E283" s="8" t="s">
        <v>26</v>
      </c>
      <c r="F283" s="9">
        <v>510</v>
      </c>
      <c r="G283" s="9">
        <v>469</v>
      </c>
      <c r="H283" s="9">
        <v>18</v>
      </c>
      <c r="I283" s="9">
        <f t="shared" si="36"/>
        <v>451</v>
      </c>
      <c r="J283" s="9">
        <v>28</v>
      </c>
      <c r="K283" s="10">
        <f t="shared" si="37"/>
        <v>5.8333333333333334E-2</v>
      </c>
      <c r="L283" s="17">
        <v>90</v>
      </c>
      <c r="M283" s="17">
        <v>30800</v>
      </c>
      <c r="N283" s="17">
        <f t="shared" si="38"/>
        <v>40590</v>
      </c>
      <c r="O283" s="17">
        <f t="shared" si="39"/>
        <v>9790</v>
      </c>
      <c r="P283" s="10">
        <f t="shared" si="40"/>
        <v>0.91960784313725485</v>
      </c>
      <c r="Q283" s="10">
        <f t="shared" si="41"/>
        <v>3.8379530916844352E-2</v>
      </c>
      <c r="R283" s="10">
        <f t="shared" si="42"/>
        <v>0.24119241192411925</v>
      </c>
      <c r="S283" s="18">
        <f t="shared" si="43"/>
        <v>68.292682926829272</v>
      </c>
      <c r="T283" s="8">
        <f>480-ProductionData[[#This Row],[Downtime Minutes]]</f>
        <v>452</v>
      </c>
      <c r="U283" s="11">
        <f t="shared" si="44"/>
        <v>1.0376106194690264</v>
      </c>
      <c r="V283" s="18">
        <f>ProductionData[[#This Row],[Profit]]/ProductionData[[#This Row],[Good Units]]</f>
        <v>21.707317073170731</v>
      </c>
      <c r="W283" s="11">
        <f>ProductionData[[#This Row],[Good Units]]/ProductionData[[#This Row],[Operating Minutes]]</f>
        <v>0.99778761061946908</v>
      </c>
    </row>
    <row r="284" spans="1:23">
      <c r="A284" s="7">
        <v>46235</v>
      </c>
      <c r="B284" s="8" t="s">
        <v>29</v>
      </c>
      <c r="C284" s="8" t="s">
        <v>27</v>
      </c>
      <c r="D284" s="8" t="s">
        <v>21</v>
      </c>
      <c r="E284" s="8" t="s">
        <v>24</v>
      </c>
      <c r="F284" s="9">
        <v>400</v>
      </c>
      <c r="G284" s="9">
        <v>356</v>
      </c>
      <c r="H284" s="9">
        <v>15</v>
      </c>
      <c r="I284" s="9">
        <f t="shared" si="36"/>
        <v>341</v>
      </c>
      <c r="J284" s="9">
        <v>37</v>
      </c>
      <c r="K284" s="10">
        <f t="shared" si="37"/>
        <v>7.7083333333333337E-2</v>
      </c>
      <c r="L284" s="17">
        <v>120</v>
      </c>
      <c r="M284" s="17">
        <v>30800</v>
      </c>
      <c r="N284" s="17">
        <f t="shared" si="38"/>
        <v>40920</v>
      </c>
      <c r="O284" s="17">
        <f t="shared" si="39"/>
        <v>10120</v>
      </c>
      <c r="P284" s="10">
        <f t="shared" si="40"/>
        <v>0.89</v>
      </c>
      <c r="Q284" s="10">
        <f t="shared" si="41"/>
        <v>4.2134831460674156E-2</v>
      </c>
      <c r="R284" s="10">
        <f t="shared" si="42"/>
        <v>0.24731182795698925</v>
      </c>
      <c r="S284" s="18">
        <f t="shared" si="43"/>
        <v>90.322580645161295</v>
      </c>
      <c r="T284" s="8">
        <f>480-ProductionData[[#This Row],[Downtime Minutes]]</f>
        <v>443</v>
      </c>
      <c r="U284" s="11">
        <f t="shared" si="44"/>
        <v>0.80361173814898423</v>
      </c>
      <c r="V284" s="18">
        <f>ProductionData[[#This Row],[Profit]]/ProductionData[[#This Row],[Good Units]]</f>
        <v>29.677419354838708</v>
      </c>
      <c r="W284" s="11">
        <f>ProductionData[[#This Row],[Good Units]]/ProductionData[[#This Row],[Operating Minutes]]</f>
        <v>0.76975169300225732</v>
      </c>
    </row>
    <row r="285" spans="1:23">
      <c r="A285" s="7">
        <v>46235</v>
      </c>
      <c r="B285" s="8" t="s">
        <v>29</v>
      </c>
      <c r="C285" s="8" t="s">
        <v>27</v>
      </c>
      <c r="D285" s="8" t="s">
        <v>23</v>
      </c>
      <c r="E285" s="8" t="s">
        <v>26</v>
      </c>
      <c r="F285" s="9">
        <v>500</v>
      </c>
      <c r="G285" s="9">
        <v>441</v>
      </c>
      <c r="H285" s="9">
        <v>24</v>
      </c>
      <c r="I285" s="9">
        <f t="shared" si="36"/>
        <v>417</v>
      </c>
      <c r="J285" s="9">
        <v>39</v>
      </c>
      <c r="K285" s="10">
        <f t="shared" si="37"/>
        <v>8.1250000000000003E-2</v>
      </c>
      <c r="L285" s="17">
        <v>90</v>
      </c>
      <c r="M285" s="17">
        <v>30800</v>
      </c>
      <c r="N285" s="17">
        <f t="shared" si="38"/>
        <v>37530</v>
      </c>
      <c r="O285" s="17">
        <f t="shared" si="39"/>
        <v>6730</v>
      </c>
      <c r="P285" s="10">
        <f t="shared" si="40"/>
        <v>0.88200000000000001</v>
      </c>
      <c r="Q285" s="10">
        <f t="shared" si="41"/>
        <v>5.4421768707482991E-2</v>
      </c>
      <c r="R285" s="10">
        <f t="shared" si="42"/>
        <v>0.17932320810018651</v>
      </c>
      <c r="S285" s="18">
        <f t="shared" si="43"/>
        <v>73.860911270983209</v>
      </c>
      <c r="T285" s="8">
        <f>480-ProductionData[[#This Row],[Downtime Minutes]]</f>
        <v>441</v>
      </c>
      <c r="U285" s="11">
        <f t="shared" si="44"/>
        <v>1</v>
      </c>
      <c r="V285" s="18">
        <f>ProductionData[[#This Row],[Profit]]/ProductionData[[#This Row],[Good Units]]</f>
        <v>16.139088729016787</v>
      </c>
      <c r="W285" s="11">
        <f>ProductionData[[#This Row],[Good Units]]/ProductionData[[#This Row],[Operating Minutes]]</f>
        <v>0.94557823129251706</v>
      </c>
    </row>
    <row r="286" spans="1:23">
      <c r="A286" s="7">
        <v>46235</v>
      </c>
      <c r="B286" s="8" t="s">
        <v>29</v>
      </c>
      <c r="C286" s="8" t="s">
        <v>27</v>
      </c>
      <c r="D286" s="8" t="s">
        <v>25</v>
      </c>
      <c r="E286" s="8" t="s">
        <v>22</v>
      </c>
      <c r="F286" s="9">
        <v>460</v>
      </c>
      <c r="G286" s="9">
        <v>385</v>
      </c>
      <c r="H286" s="9">
        <v>31</v>
      </c>
      <c r="I286" s="9">
        <f t="shared" si="36"/>
        <v>354</v>
      </c>
      <c r="J286" s="9">
        <v>56</v>
      </c>
      <c r="K286" s="10">
        <f t="shared" si="37"/>
        <v>0.11666666666666667</v>
      </c>
      <c r="L286" s="17">
        <v>100</v>
      </c>
      <c r="M286" s="17">
        <v>30800</v>
      </c>
      <c r="N286" s="17">
        <f t="shared" si="38"/>
        <v>35400</v>
      </c>
      <c r="O286" s="17">
        <f t="shared" si="39"/>
        <v>4600</v>
      </c>
      <c r="P286" s="10">
        <f t="shared" si="40"/>
        <v>0.83695652173913049</v>
      </c>
      <c r="Q286" s="10">
        <f t="shared" si="41"/>
        <v>8.0519480519480519E-2</v>
      </c>
      <c r="R286" s="10">
        <f t="shared" si="42"/>
        <v>0.12994350282485875</v>
      </c>
      <c r="S286" s="18">
        <f t="shared" si="43"/>
        <v>87.005649717514117</v>
      </c>
      <c r="T286" s="8">
        <f>480-ProductionData[[#This Row],[Downtime Minutes]]</f>
        <v>424</v>
      </c>
      <c r="U286" s="11">
        <f t="shared" si="44"/>
        <v>0.90801886792452835</v>
      </c>
      <c r="V286" s="18">
        <f>ProductionData[[#This Row],[Profit]]/ProductionData[[#This Row],[Good Units]]</f>
        <v>12.994350282485875</v>
      </c>
      <c r="W286" s="11">
        <f>ProductionData[[#This Row],[Good Units]]/ProductionData[[#This Row],[Operating Minutes]]</f>
        <v>0.83490566037735847</v>
      </c>
    </row>
    <row r="287" spans="1:23">
      <c r="A287" s="7">
        <v>46235</v>
      </c>
      <c r="B287" s="8" t="s">
        <v>29</v>
      </c>
      <c r="C287" s="8" t="s">
        <v>28</v>
      </c>
      <c r="D287" s="8" t="s">
        <v>21</v>
      </c>
      <c r="E287" s="8" t="s">
        <v>26</v>
      </c>
      <c r="F287" s="9">
        <v>500</v>
      </c>
      <c r="G287" s="9">
        <v>483</v>
      </c>
      <c r="H287" s="9">
        <v>13</v>
      </c>
      <c r="I287" s="9">
        <f t="shared" si="36"/>
        <v>470</v>
      </c>
      <c r="J287" s="9">
        <v>28</v>
      </c>
      <c r="K287" s="10">
        <f t="shared" si="37"/>
        <v>5.8333333333333334E-2</v>
      </c>
      <c r="L287" s="17">
        <v>90</v>
      </c>
      <c r="M287" s="17">
        <v>30800</v>
      </c>
      <c r="N287" s="17">
        <f t="shared" si="38"/>
        <v>42300</v>
      </c>
      <c r="O287" s="17">
        <f t="shared" si="39"/>
        <v>11500</v>
      </c>
      <c r="P287" s="10">
        <f t="shared" si="40"/>
        <v>0.96599999999999997</v>
      </c>
      <c r="Q287" s="10">
        <f t="shared" si="41"/>
        <v>2.6915113871635612E-2</v>
      </c>
      <c r="R287" s="10">
        <f t="shared" si="42"/>
        <v>0.27186761229314421</v>
      </c>
      <c r="S287" s="18">
        <f t="shared" si="43"/>
        <v>65.531914893617028</v>
      </c>
      <c r="T287" s="8">
        <f>480-ProductionData[[#This Row],[Downtime Minutes]]</f>
        <v>452</v>
      </c>
      <c r="U287" s="11">
        <f t="shared" si="44"/>
        <v>1.0685840707964602</v>
      </c>
      <c r="V287" s="18">
        <f>ProductionData[[#This Row],[Profit]]/ProductionData[[#This Row],[Good Units]]</f>
        <v>24.468085106382979</v>
      </c>
      <c r="W287" s="11">
        <f>ProductionData[[#This Row],[Good Units]]/ProductionData[[#This Row],[Operating Minutes]]</f>
        <v>1.0398230088495575</v>
      </c>
    </row>
    <row r="288" spans="1:23">
      <c r="A288" s="7">
        <v>46235</v>
      </c>
      <c r="B288" s="8" t="s">
        <v>29</v>
      </c>
      <c r="C288" s="8" t="s">
        <v>28</v>
      </c>
      <c r="D288" s="8" t="s">
        <v>23</v>
      </c>
      <c r="E288" s="8" t="s">
        <v>22</v>
      </c>
      <c r="F288" s="9">
        <v>450</v>
      </c>
      <c r="G288" s="9">
        <v>442</v>
      </c>
      <c r="H288" s="9">
        <v>20</v>
      </c>
      <c r="I288" s="9">
        <f t="shared" si="36"/>
        <v>422</v>
      </c>
      <c r="J288" s="9">
        <v>32</v>
      </c>
      <c r="K288" s="10">
        <f t="shared" si="37"/>
        <v>6.6666666666666666E-2</v>
      </c>
      <c r="L288" s="17">
        <v>100</v>
      </c>
      <c r="M288" s="17">
        <v>30800</v>
      </c>
      <c r="N288" s="17">
        <f t="shared" si="38"/>
        <v>42200</v>
      </c>
      <c r="O288" s="17">
        <f t="shared" si="39"/>
        <v>11400</v>
      </c>
      <c r="P288" s="10">
        <f t="shared" si="40"/>
        <v>0.98222222222222222</v>
      </c>
      <c r="Q288" s="10">
        <f t="shared" si="41"/>
        <v>4.5248868778280542E-2</v>
      </c>
      <c r="R288" s="10">
        <f t="shared" si="42"/>
        <v>0.27014218009478674</v>
      </c>
      <c r="S288" s="18">
        <f t="shared" si="43"/>
        <v>72.985781990521332</v>
      </c>
      <c r="T288" s="8">
        <f>480-ProductionData[[#This Row],[Downtime Minutes]]</f>
        <v>448</v>
      </c>
      <c r="U288" s="11">
        <f t="shared" si="44"/>
        <v>0.9866071428571429</v>
      </c>
      <c r="V288" s="18">
        <f>ProductionData[[#This Row],[Profit]]/ProductionData[[#This Row],[Good Units]]</f>
        <v>27.014218009478672</v>
      </c>
      <c r="W288" s="11">
        <f>ProductionData[[#This Row],[Good Units]]/ProductionData[[#This Row],[Operating Minutes]]</f>
        <v>0.9419642857142857</v>
      </c>
    </row>
    <row r="289" spans="1:23">
      <c r="A289" s="7">
        <v>46235</v>
      </c>
      <c r="B289" s="8" t="s">
        <v>29</v>
      </c>
      <c r="C289" s="8" t="s">
        <v>28</v>
      </c>
      <c r="D289" s="8" t="s">
        <v>25</v>
      </c>
      <c r="E289" s="8" t="s">
        <v>24</v>
      </c>
      <c r="F289" s="9">
        <v>400</v>
      </c>
      <c r="G289" s="9">
        <v>365</v>
      </c>
      <c r="H289" s="9">
        <v>10</v>
      </c>
      <c r="I289" s="9">
        <f t="shared" si="36"/>
        <v>355</v>
      </c>
      <c r="J289" s="9">
        <v>26</v>
      </c>
      <c r="K289" s="10">
        <f t="shared" si="37"/>
        <v>5.4166666666666669E-2</v>
      </c>
      <c r="L289" s="17">
        <v>120</v>
      </c>
      <c r="M289" s="17">
        <v>30800</v>
      </c>
      <c r="N289" s="17">
        <f t="shared" si="38"/>
        <v>42600</v>
      </c>
      <c r="O289" s="17">
        <f t="shared" si="39"/>
        <v>11800</v>
      </c>
      <c r="P289" s="10">
        <f t="shared" si="40"/>
        <v>0.91249999999999998</v>
      </c>
      <c r="Q289" s="10">
        <f t="shared" si="41"/>
        <v>2.7397260273972601E-2</v>
      </c>
      <c r="R289" s="10">
        <f t="shared" si="42"/>
        <v>0.27699530516431925</v>
      </c>
      <c r="S289" s="18">
        <f t="shared" si="43"/>
        <v>86.760563380281695</v>
      </c>
      <c r="T289" s="8">
        <f>480-ProductionData[[#This Row],[Downtime Minutes]]</f>
        <v>454</v>
      </c>
      <c r="U289" s="11">
        <f t="shared" si="44"/>
        <v>0.80396475770925113</v>
      </c>
      <c r="V289" s="18">
        <f>ProductionData[[#This Row],[Profit]]/ProductionData[[#This Row],[Good Units]]</f>
        <v>33.239436619718312</v>
      </c>
      <c r="W289" s="11">
        <f>ProductionData[[#This Row],[Good Units]]/ProductionData[[#This Row],[Operating Minutes]]</f>
        <v>0.7819383259911894</v>
      </c>
    </row>
    <row r="290" spans="1:23">
      <c r="A290" s="7">
        <v>46236</v>
      </c>
      <c r="B290" s="8" t="s">
        <v>29</v>
      </c>
      <c r="C290" s="8" t="s">
        <v>20</v>
      </c>
      <c r="D290" s="8" t="s">
        <v>21</v>
      </c>
      <c r="E290" s="8" t="s">
        <v>24</v>
      </c>
      <c r="F290" s="9">
        <v>420</v>
      </c>
      <c r="G290" s="9">
        <v>389</v>
      </c>
      <c r="H290" s="9">
        <v>12</v>
      </c>
      <c r="I290" s="9">
        <f t="shared" si="36"/>
        <v>377</v>
      </c>
      <c r="J290" s="9">
        <v>19</v>
      </c>
      <c r="K290" s="10">
        <f t="shared" si="37"/>
        <v>3.9583333333333331E-2</v>
      </c>
      <c r="L290" s="17">
        <v>120</v>
      </c>
      <c r="M290" s="17">
        <v>30800</v>
      </c>
      <c r="N290" s="17">
        <f t="shared" si="38"/>
        <v>45240</v>
      </c>
      <c r="O290" s="17">
        <f t="shared" si="39"/>
        <v>14440</v>
      </c>
      <c r="P290" s="10">
        <f t="shared" si="40"/>
        <v>0.92619047619047623</v>
      </c>
      <c r="Q290" s="10">
        <f t="shared" si="41"/>
        <v>3.0848329048843187E-2</v>
      </c>
      <c r="R290" s="10">
        <f t="shared" si="42"/>
        <v>0.31918656056587091</v>
      </c>
      <c r="S290" s="18">
        <f t="shared" si="43"/>
        <v>81.697612732095493</v>
      </c>
      <c r="T290" s="8">
        <f>480-ProductionData[[#This Row],[Downtime Minutes]]</f>
        <v>461</v>
      </c>
      <c r="U290" s="11">
        <f t="shared" si="44"/>
        <v>0.8438177874186551</v>
      </c>
      <c r="V290" s="18">
        <f>ProductionData[[#This Row],[Profit]]/ProductionData[[#This Row],[Good Units]]</f>
        <v>38.302387267904507</v>
      </c>
      <c r="W290" s="11">
        <f>ProductionData[[#This Row],[Good Units]]/ProductionData[[#This Row],[Operating Minutes]]</f>
        <v>0.81778741865509763</v>
      </c>
    </row>
    <row r="291" spans="1:23">
      <c r="A291" s="7">
        <v>46236</v>
      </c>
      <c r="B291" s="8" t="s">
        <v>29</v>
      </c>
      <c r="C291" s="8" t="s">
        <v>20</v>
      </c>
      <c r="D291" s="8" t="s">
        <v>23</v>
      </c>
      <c r="E291" s="8" t="s">
        <v>26</v>
      </c>
      <c r="F291" s="9">
        <v>510</v>
      </c>
      <c r="G291" s="9">
        <v>495</v>
      </c>
      <c r="H291" s="9">
        <v>19</v>
      </c>
      <c r="I291" s="9">
        <f t="shared" si="36"/>
        <v>476</v>
      </c>
      <c r="J291" s="9">
        <v>39</v>
      </c>
      <c r="K291" s="10">
        <f t="shared" si="37"/>
        <v>8.1250000000000003E-2</v>
      </c>
      <c r="L291" s="17">
        <v>90</v>
      </c>
      <c r="M291" s="17">
        <v>30800</v>
      </c>
      <c r="N291" s="17">
        <f t="shared" si="38"/>
        <v>42840</v>
      </c>
      <c r="O291" s="17">
        <f t="shared" si="39"/>
        <v>12040</v>
      </c>
      <c r="P291" s="10">
        <f t="shared" si="40"/>
        <v>0.97058823529411764</v>
      </c>
      <c r="Q291" s="10">
        <f t="shared" si="41"/>
        <v>3.8383838383838381E-2</v>
      </c>
      <c r="R291" s="10">
        <f t="shared" si="42"/>
        <v>0.28104575163398693</v>
      </c>
      <c r="S291" s="18">
        <f t="shared" si="43"/>
        <v>64.705882352941174</v>
      </c>
      <c r="T291" s="8">
        <f>480-ProductionData[[#This Row],[Downtime Minutes]]</f>
        <v>441</v>
      </c>
      <c r="U291" s="11">
        <f t="shared" si="44"/>
        <v>1.1224489795918366</v>
      </c>
      <c r="V291" s="18">
        <f>ProductionData[[#This Row],[Profit]]/ProductionData[[#This Row],[Good Units]]</f>
        <v>25.294117647058822</v>
      </c>
      <c r="W291" s="11">
        <f>ProductionData[[#This Row],[Good Units]]/ProductionData[[#This Row],[Operating Minutes]]</f>
        <v>1.0793650793650793</v>
      </c>
    </row>
    <row r="292" spans="1:23">
      <c r="A292" s="7">
        <v>46236</v>
      </c>
      <c r="B292" s="8" t="s">
        <v>29</v>
      </c>
      <c r="C292" s="8" t="s">
        <v>20</v>
      </c>
      <c r="D292" s="8" t="s">
        <v>25</v>
      </c>
      <c r="E292" s="8" t="s">
        <v>22</v>
      </c>
      <c r="F292" s="9">
        <v>450</v>
      </c>
      <c r="G292" s="9">
        <v>422</v>
      </c>
      <c r="H292" s="9">
        <v>23</v>
      </c>
      <c r="I292" s="9">
        <f t="shared" si="36"/>
        <v>399</v>
      </c>
      <c r="J292" s="9">
        <v>60</v>
      </c>
      <c r="K292" s="10">
        <f t="shared" si="37"/>
        <v>0.125</v>
      </c>
      <c r="L292" s="17">
        <v>100</v>
      </c>
      <c r="M292" s="17">
        <v>30800</v>
      </c>
      <c r="N292" s="17">
        <f t="shared" si="38"/>
        <v>39900</v>
      </c>
      <c r="O292" s="17">
        <f t="shared" si="39"/>
        <v>9100</v>
      </c>
      <c r="P292" s="10">
        <f t="shared" si="40"/>
        <v>0.93777777777777782</v>
      </c>
      <c r="Q292" s="10">
        <f t="shared" si="41"/>
        <v>5.4502369668246446E-2</v>
      </c>
      <c r="R292" s="10">
        <f t="shared" si="42"/>
        <v>0.22807017543859648</v>
      </c>
      <c r="S292" s="18">
        <f t="shared" si="43"/>
        <v>77.192982456140356</v>
      </c>
      <c r="T292" s="8">
        <f>480-ProductionData[[#This Row],[Downtime Minutes]]</f>
        <v>420</v>
      </c>
      <c r="U292" s="11">
        <f t="shared" si="44"/>
        <v>1.0047619047619047</v>
      </c>
      <c r="V292" s="18">
        <f>ProductionData[[#This Row],[Profit]]/ProductionData[[#This Row],[Good Units]]</f>
        <v>22.807017543859651</v>
      </c>
      <c r="W292" s="11">
        <f>ProductionData[[#This Row],[Good Units]]/ProductionData[[#This Row],[Operating Minutes]]</f>
        <v>0.95</v>
      </c>
    </row>
    <row r="293" spans="1:23">
      <c r="A293" s="7">
        <v>46236</v>
      </c>
      <c r="B293" s="8" t="s">
        <v>29</v>
      </c>
      <c r="C293" s="8" t="s">
        <v>27</v>
      </c>
      <c r="D293" s="8" t="s">
        <v>21</v>
      </c>
      <c r="E293" s="8" t="s">
        <v>26</v>
      </c>
      <c r="F293" s="9">
        <v>510</v>
      </c>
      <c r="G293" s="9">
        <v>446</v>
      </c>
      <c r="H293" s="9">
        <v>23</v>
      </c>
      <c r="I293" s="9">
        <f t="shared" si="36"/>
        <v>423</v>
      </c>
      <c r="J293" s="9">
        <v>41</v>
      </c>
      <c r="K293" s="10">
        <f t="shared" si="37"/>
        <v>8.5416666666666669E-2</v>
      </c>
      <c r="L293" s="17">
        <v>90</v>
      </c>
      <c r="M293" s="17">
        <v>30800</v>
      </c>
      <c r="N293" s="17">
        <f t="shared" si="38"/>
        <v>38070</v>
      </c>
      <c r="O293" s="17">
        <f t="shared" si="39"/>
        <v>7270</v>
      </c>
      <c r="P293" s="10">
        <f t="shared" si="40"/>
        <v>0.87450980392156863</v>
      </c>
      <c r="Q293" s="10">
        <f t="shared" si="41"/>
        <v>5.1569506726457402E-2</v>
      </c>
      <c r="R293" s="10">
        <f t="shared" si="42"/>
        <v>0.19096401365904911</v>
      </c>
      <c r="S293" s="18">
        <f t="shared" si="43"/>
        <v>72.813238770685572</v>
      </c>
      <c r="T293" s="8">
        <f>480-ProductionData[[#This Row],[Downtime Minutes]]</f>
        <v>439</v>
      </c>
      <c r="U293" s="11">
        <f t="shared" si="44"/>
        <v>1.0159453302961277</v>
      </c>
      <c r="V293" s="18">
        <f>ProductionData[[#This Row],[Profit]]/ProductionData[[#This Row],[Good Units]]</f>
        <v>17.186761229314421</v>
      </c>
      <c r="W293" s="11">
        <f>ProductionData[[#This Row],[Good Units]]/ProductionData[[#This Row],[Operating Minutes]]</f>
        <v>0.96355353075170846</v>
      </c>
    </row>
    <row r="294" spans="1:23">
      <c r="A294" s="7">
        <v>46236</v>
      </c>
      <c r="B294" s="8" t="s">
        <v>29</v>
      </c>
      <c r="C294" s="8" t="s">
        <v>27</v>
      </c>
      <c r="D294" s="8" t="s">
        <v>23</v>
      </c>
      <c r="E294" s="8" t="s">
        <v>22</v>
      </c>
      <c r="F294" s="9">
        <v>440</v>
      </c>
      <c r="G294" s="9">
        <v>394</v>
      </c>
      <c r="H294" s="9">
        <v>26</v>
      </c>
      <c r="I294" s="9">
        <f t="shared" si="36"/>
        <v>368</v>
      </c>
      <c r="J294" s="9">
        <v>56</v>
      </c>
      <c r="K294" s="10">
        <f t="shared" si="37"/>
        <v>0.11666666666666667</v>
      </c>
      <c r="L294" s="17">
        <v>100</v>
      </c>
      <c r="M294" s="17">
        <v>30800</v>
      </c>
      <c r="N294" s="17">
        <f t="shared" si="38"/>
        <v>36800</v>
      </c>
      <c r="O294" s="17">
        <f t="shared" si="39"/>
        <v>6000</v>
      </c>
      <c r="P294" s="10">
        <f t="shared" si="40"/>
        <v>0.8954545454545455</v>
      </c>
      <c r="Q294" s="10">
        <f t="shared" si="41"/>
        <v>6.5989847715736044E-2</v>
      </c>
      <c r="R294" s="10">
        <f t="shared" si="42"/>
        <v>0.16304347826086957</v>
      </c>
      <c r="S294" s="18">
        <f t="shared" si="43"/>
        <v>83.695652173913047</v>
      </c>
      <c r="T294" s="8">
        <f>480-ProductionData[[#This Row],[Downtime Minutes]]</f>
        <v>424</v>
      </c>
      <c r="U294" s="11">
        <f t="shared" si="44"/>
        <v>0.92924528301886788</v>
      </c>
      <c r="V294" s="18">
        <f>ProductionData[[#This Row],[Profit]]/ProductionData[[#This Row],[Good Units]]</f>
        <v>16.304347826086957</v>
      </c>
      <c r="W294" s="11">
        <f>ProductionData[[#This Row],[Good Units]]/ProductionData[[#This Row],[Operating Minutes]]</f>
        <v>0.86792452830188682</v>
      </c>
    </row>
    <row r="295" spans="1:23">
      <c r="A295" s="7">
        <v>46236</v>
      </c>
      <c r="B295" s="8" t="s">
        <v>29</v>
      </c>
      <c r="C295" s="8" t="s">
        <v>27</v>
      </c>
      <c r="D295" s="8" t="s">
        <v>25</v>
      </c>
      <c r="E295" s="8" t="s">
        <v>24</v>
      </c>
      <c r="F295" s="9">
        <v>410</v>
      </c>
      <c r="G295" s="9">
        <v>356</v>
      </c>
      <c r="H295" s="9">
        <v>19</v>
      </c>
      <c r="I295" s="9">
        <f t="shared" si="36"/>
        <v>337</v>
      </c>
      <c r="J295" s="9">
        <v>51</v>
      </c>
      <c r="K295" s="10">
        <f t="shared" si="37"/>
        <v>0.10625</v>
      </c>
      <c r="L295" s="17">
        <v>120</v>
      </c>
      <c r="M295" s="17">
        <v>30800</v>
      </c>
      <c r="N295" s="17">
        <f t="shared" si="38"/>
        <v>40440</v>
      </c>
      <c r="O295" s="17">
        <f t="shared" si="39"/>
        <v>9640</v>
      </c>
      <c r="P295" s="10">
        <f t="shared" si="40"/>
        <v>0.86829268292682926</v>
      </c>
      <c r="Q295" s="10">
        <f t="shared" si="41"/>
        <v>5.3370786516853931E-2</v>
      </c>
      <c r="R295" s="10">
        <f t="shared" si="42"/>
        <v>0.23837784371909002</v>
      </c>
      <c r="S295" s="18">
        <f t="shared" si="43"/>
        <v>91.394658753709194</v>
      </c>
      <c r="T295" s="8">
        <f>480-ProductionData[[#This Row],[Downtime Minutes]]</f>
        <v>429</v>
      </c>
      <c r="U295" s="11">
        <f t="shared" si="44"/>
        <v>0.82983682983682983</v>
      </c>
      <c r="V295" s="18">
        <f>ProductionData[[#This Row],[Profit]]/ProductionData[[#This Row],[Good Units]]</f>
        <v>28.605341246290802</v>
      </c>
      <c r="W295" s="11">
        <f>ProductionData[[#This Row],[Good Units]]/ProductionData[[#This Row],[Operating Minutes]]</f>
        <v>0.78554778554778559</v>
      </c>
    </row>
    <row r="296" spans="1:23">
      <c r="A296" s="7">
        <v>46236</v>
      </c>
      <c r="B296" s="8" t="s">
        <v>29</v>
      </c>
      <c r="C296" s="8" t="s">
        <v>28</v>
      </c>
      <c r="D296" s="8" t="s">
        <v>21</v>
      </c>
      <c r="E296" s="8" t="s">
        <v>22</v>
      </c>
      <c r="F296" s="9">
        <v>460</v>
      </c>
      <c r="G296" s="9">
        <v>459</v>
      </c>
      <c r="H296" s="9">
        <v>16</v>
      </c>
      <c r="I296" s="9">
        <f t="shared" si="36"/>
        <v>443</v>
      </c>
      <c r="J296" s="9">
        <v>35</v>
      </c>
      <c r="K296" s="10">
        <f t="shared" si="37"/>
        <v>7.2916666666666671E-2</v>
      </c>
      <c r="L296" s="17">
        <v>100</v>
      </c>
      <c r="M296" s="17">
        <v>30800</v>
      </c>
      <c r="N296" s="17">
        <f t="shared" si="38"/>
        <v>44300</v>
      </c>
      <c r="O296" s="17">
        <f t="shared" si="39"/>
        <v>13500</v>
      </c>
      <c r="P296" s="10">
        <f t="shared" si="40"/>
        <v>0.99782608695652175</v>
      </c>
      <c r="Q296" s="10">
        <f t="shared" si="41"/>
        <v>3.4858387799564274E-2</v>
      </c>
      <c r="R296" s="10">
        <f t="shared" si="42"/>
        <v>0.30474040632054178</v>
      </c>
      <c r="S296" s="18">
        <f t="shared" si="43"/>
        <v>69.525959367945831</v>
      </c>
      <c r="T296" s="8">
        <f>480-ProductionData[[#This Row],[Downtime Minutes]]</f>
        <v>445</v>
      </c>
      <c r="U296" s="11">
        <f t="shared" si="44"/>
        <v>1.0314606741573034</v>
      </c>
      <c r="V296" s="18">
        <f>ProductionData[[#This Row],[Profit]]/ProductionData[[#This Row],[Good Units]]</f>
        <v>30.474040632054177</v>
      </c>
      <c r="W296" s="11">
        <f>ProductionData[[#This Row],[Good Units]]/ProductionData[[#This Row],[Operating Minutes]]</f>
        <v>0.99550561797752812</v>
      </c>
    </row>
    <row r="297" spans="1:23">
      <c r="A297" s="7">
        <v>46236</v>
      </c>
      <c r="B297" s="8" t="s">
        <v>29</v>
      </c>
      <c r="C297" s="8" t="s">
        <v>28</v>
      </c>
      <c r="D297" s="8" t="s">
        <v>23</v>
      </c>
      <c r="E297" s="8" t="s">
        <v>24</v>
      </c>
      <c r="F297" s="9">
        <v>400</v>
      </c>
      <c r="G297" s="9">
        <v>387</v>
      </c>
      <c r="H297" s="9">
        <v>13</v>
      </c>
      <c r="I297" s="9">
        <f t="shared" si="36"/>
        <v>374</v>
      </c>
      <c r="J297" s="9">
        <v>26</v>
      </c>
      <c r="K297" s="10">
        <f t="shared" si="37"/>
        <v>5.4166666666666669E-2</v>
      </c>
      <c r="L297" s="17">
        <v>120</v>
      </c>
      <c r="M297" s="17">
        <v>30800</v>
      </c>
      <c r="N297" s="17">
        <f t="shared" si="38"/>
        <v>44880</v>
      </c>
      <c r="O297" s="17">
        <f t="shared" si="39"/>
        <v>14080</v>
      </c>
      <c r="P297" s="10">
        <f t="shared" si="40"/>
        <v>0.96750000000000003</v>
      </c>
      <c r="Q297" s="10">
        <f t="shared" si="41"/>
        <v>3.3591731266149873E-2</v>
      </c>
      <c r="R297" s="10">
        <f t="shared" si="42"/>
        <v>0.31372549019607843</v>
      </c>
      <c r="S297" s="18">
        <f t="shared" si="43"/>
        <v>82.352941176470594</v>
      </c>
      <c r="T297" s="8">
        <f>480-ProductionData[[#This Row],[Downtime Minutes]]</f>
        <v>454</v>
      </c>
      <c r="U297" s="11">
        <f t="shared" si="44"/>
        <v>0.85242290748898675</v>
      </c>
      <c r="V297" s="18">
        <f>ProductionData[[#This Row],[Profit]]/ProductionData[[#This Row],[Good Units]]</f>
        <v>37.647058823529413</v>
      </c>
      <c r="W297" s="11">
        <f>ProductionData[[#This Row],[Good Units]]/ProductionData[[#This Row],[Operating Minutes]]</f>
        <v>0.82378854625550657</v>
      </c>
    </row>
    <row r="298" spans="1:23">
      <c r="A298" s="7">
        <v>46236</v>
      </c>
      <c r="B298" s="8" t="s">
        <v>29</v>
      </c>
      <c r="C298" s="8" t="s">
        <v>28</v>
      </c>
      <c r="D298" s="8" t="s">
        <v>25</v>
      </c>
      <c r="E298" s="8" t="s">
        <v>26</v>
      </c>
      <c r="F298" s="9">
        <v>500</v>
      </c>
      <c r="G298" s="9">
        <v>475</v>
      </c>
      <c r="H298" s="9">
        <v>21</v>
      </c>
      <c r="I298" s="9">
        <f t="shared" si="36"/>
        <v>454</v>
      </c>
      <c r="J298" s="9">
        <v>39</v>
      </c>
      <c r="K298" s="10">
        <f t="shared" si="37"/>
        <v>8.1250000000000003E-2</v>
      </c>
      <c r="L298" s="17">
        <v>90</v>
      </c>
      <c r="M298" s="17">
        <v>30800</v>
      </c>
      <c r="N298" s="17">
        <f t="shared" si="38"/>
        <v>40860</v>
      </c>
      <c r="O298" s="17">
        <f t="shared" si="39"/>
        <v>10060</v>
      </c>
      <c r="P298" s="10">
        <f t="shared" si="40"/>
        <v>0.95</v>
      </c>
      <c r="Q298" s="10">
        <f t="shared" si="41"/>
        <v>4.4210526315789471E-2</v>
      </c>
      <c r="R298" s="10">
        <f t="shared" si="42"/>
        <v>0.24620655898188937</v>
      </c>
      <c r="S298" s="18">
        <f t="shared" si="43"/>
        <v>67.841409691629963</v>
      </c>
      <c r="T298" s="8">
        <f>480-ProductionData[[#This Row],[Downtime Minutes]]</f>
        <v>441</v>
      </c>
      <c r="U298" s="11">
        <f t="shared" si="44"/>
        <v>1.0770975056689343</v>
      </c>
      <c r="V298" s="18">
        <f>ProductionData[[#This Row],[Profit]]/ProductionData[[#This Row],[Good Units]]</f>
        <v>22.158590308370044</v>
      </c>
      <c r="W298" s="11">
        <f>ProductionData[[#This Row],[Good Units]]/ProductionData[[#This Row],[Operating Minutes]]</f>
        <v>1.0294784580498866</v>
      </c>
    </row>
    <row r="299" spans="1:23">
      <c r="A299" s="7">
        <v>46237</v>
      </c>
      <c r="B299" s="8" t="s">
        <v>29</v>
      </c>
      <c r="C299" s="8" t="s">
        <v>20</v>
      </c>
      <c r="D299" s="8" t="s">
        <v>21</v>
      </c>
      <c r="E299" s="8" t="s">
        <v>26</v>
      </c>
      <c r="F299" s="9">
        <v>480</v>
      </c>
      <c r="G299" s="9">
        <v>461</v>
      </c>
      <c r="H299" s="9">
        <v>15</v>
      </c>
      <c r="I299" s="9">
        <f t="shared" si="36"/>
        <v>446</v>
      </c>
      <c r="J299" s="9">
        <v>13</v>
      </c>
      <c r="K299" s="10">
        <f t="shared" si="37"/>
        <v>2.7083333333333334E-2</v>
      </c>
      <c r="L299" s="17">
        <v>90</v>
      </c>
      <c r="M299" s="17">
        <v>30800</v>
      </c>
      <c r="N299" s="17">
        <f t="shared" si="38"/>
        <v>40140</v>
      </c>
      <c r="O299" s="17">
        <f t="shared" si="39"/>
        <v>9340</v>
      </c>
      <c r="P299" s="10">
        <f t="shared" si="40"/>
        <v>0.9604166666666667</v>
      </c>
      <c r="Q299" s="10">
        <f t="shared" si="41"/>
        <v>3.2537960954446853E-2</v>
      </c>
      <c r="R299" s="10">
        <f t="shared" si="42"/>
        <v>0.23268560039860489</v>
      </c>
      <c r="S299" s="18">
        <f t="shared" si="43"/>
        <v>69.058295964125563</v>
      </c>
      <c r="T299" s="8">
        <f>480-ProductionData[[#This Row],[Downtime Minutes]]</f>
        <v>467</v>
      </c>
      <c r="U299" s="11">
        <f t="shared" si="44"/>
        <v>0.98715203426124198</v>
      </c>
      <c r="V299" s="18">
        <f>ProductionData[[#This Row],[Profit]]/ProductionData[[#This Row],[Good Units]]</f>
        <v>20.941704035874441</v>
      </c>
      <c r="W299" s="11">
        <f>ProductionData[[#This Row],[Good Units]]/ProductionData[[#This Row],[Operating Minutes]]</f>
        <v>0.95503211991434689</v>
      </c>
    </row>
    <row r="300" spans="1:23">
      <c r="A300" s="7">
        <v>46237</v>
      </c>
      <c r="B300" s="8" t="s">
        <v>29</v>
      </c>
      <c r="C300" s="8" t="s">
        <v>20</v>
      </c>
      <c r="D300" s="8" t="s">
        <v>23</v>
      </c>
      <c r="E300" s="8" t="s">
        <v>22</v>
      </c>
      <c r="F300" s="9">
        <v>440</v>
      </c>
      <c r="G300" s="9">
        <v>426</v>
      </c>
      <c r="H300" s="9">
        <v>20</v>
      </c>
      <c r="I300" s="9">
        <f t="shared" si="36"/>
        <v>406</v>
      </c>
      <c r="J300" s="9">
        <v>54</v>
      </c>
      <c r="K300" s="10">
        <f t="shared" si="37"/>
        <v>0.1125</v>
      </c>
      <c r="L300" s="17">
        <v>100</v>
      </c>
      <c r="M300" s="17">
        <v>30800</v>
      </c>
      <c r="N300" s="17">
        <f t="shared" si="38"/>
        <v>40600</v>
      </c>
      <c r="O300" s="17">
        <f t="shared" si="39"/>
        <v>9800</v>
      </c>
      <c r="P300" s="10">
        <f t="shared" si="40"/>
        <v>0.96818181818181814</v>
      </c>
      <c r="Q300" s="10">
        <f t="shared" si="41"/>
        <v>4.6948356807511735E-2</v>
      </c>
      <c r="R300" s="10">
        <f t="shared" si="42"/>
        <v>0.2413793103448276</v>
      </c>
      <c r="S300" s="18">
        <f t="shared" si="43"/>
        <v>75.862068965517238</v>
      </c>
      <c r="T300" s="8">
        <f>480-ProductionData[[#This Row],[Downtime Minutes]]</f>
        <v>426</v>
      </c>
      <c r="U300" s="11">
        <f t="shared" si="44"/>
        <v>1</v>
      </c>
      <c r="V300" s="18">
        <f>ProductionData[[#This Row],[Profit]]/ProductionData[[#This Row],[Good Units]]</f>
        <v>24.137931034482758</v>
      </c>
      <c r="W300" s="11">
        <f>ProductionData[[#This Row],[Good Units]]/ProductionData[[#This Row],[Operating Minutes]]</f>
        <v>0.95305164319248825</v>
      </c>
    </row>
    <row r="301" spans="1:23">
      <c r="A301" s="7">
        <v>46237</v>
      </c>
      <c r="B301" s="8" t="s">
        <v>29</v>
      </c>
      <c r="C301" s="8" t="s">
        <v>20</v>
      </c>
      <c r="D301" s="8" t="s">
        <v>25</v>
      </c>
      <c r="E301" s="8" t="s">
        <v>24</v>
      </c>
      <c r="F301" s="9">
        <v>390</v>
      </c>
      <c r="G301" s="9">
        <v>367</v>
      </c>
      <c r="H301" s="9">
        <v>13</v>
      </c>
      <c r="I301" s="9">
        <f t="shared" si="36"/>
        <v>354</v>
      </c>
      <c r="J301" s="9">
        <v>40</v>
      </c>
      <c r="K301" s="10">
        <f t="shared" si="37"/>
        <v>8.3333333333333329E-2</v>
      </c>
      <c r="L301" s="17">
        <v>120</v>
      </c>
      <c r="M301" s="17">
        <v>30800</v>
      </c>
      <c r="N301" s="17">
        <f t="shared" si="38"/>
        <v>42480</v>
      </c>
      <c r="O301" s="17">
        <f t="shared" si="39"/>
        <v>11680</v>
      </c>
      <c r="P301" s="10">
        <f t="shared" si="40"/>
        <v>0.94102564102564101</v>
      </c>
      <c r="Q301" s="10">
        <f t="shared" si="41"/>
        <v>3.5422343324250684E-2</v>
      </c>
      <c r="R301" s="10">
        <f t="shared" si="42"/>
        <v>0.27495291902071561</v>
      </c>
      <c r="S301" s="18">
        <f t="shared" si="43"/>
        <v>87.005649717514117</v>
      </c>
      <c r="T301" s="8">
        <f>480-ProductionData[[#This Row],[Downtime Minutes]]</f>
        <v>440</v>
      </c>
      <c r="U301" s="11">
        <f t="shared" si="44"/>
        <v>0.83409090909090911</v>
      </c>
      <c r="V301" s="18">
        <f>ProductionData[[#This Row],[Profit]]/ProductionData[[#This Row],[Good Units]]</f>
        <v>32.994350282485875</v>
      </c>
      <c r="W301" s="11">
        <f>ProductionData[[#This Row],[Good Units]]/ProductionData[[#This Row],[Operating Minutes]]</f>
        <v>0.80454545454545456</v>
      </c>
    </row>
    <row r="302" spans="1:23">
      <c r="A302" s="7">
        <v>46237</v>
      </c>
      <c r="B302" s="8" t="s">
        <v>29</v>
      </c>
      <c r="C302" s="8" t="s">
        <v>27</v>
      </c>
      <c r="D302" s="8" t="s">
        <v>21</v>
      </c>
      <c r="E302" s="8" t="s">
        <v>22</v>
      </c>
      <c r="F302" s="9">
        <v>450</v>
      </c>
      <c r="G302" s="9">
        <v>406</v>
      </c>
      <c r="H302" s="9">
        <v>27</v>
      </c>
      <c r="I302" s="9">
        <f t="shared" si="36"/>
        <v>379</v>
      </c>
      <c r="J302" s="9">
        <v>57</v>
      </c>
      <c r="K302" s="10">
        <f t="shared" si="37"/>
        <v>0.11874999999999999</v>
      </c>
      <c r="L302" s="17">
        <v>100</v>
      </c>
      <c r="M302" s="17">
        <v>30800</v>
      </c>
      <c r="N302" s="17">
        <f t="shared" si="38"/>
        <v>37900</v>
      </c>
      <c r="O302" s="17">
        <f t="shared" si="39"/>
        <v>7100</v>
      </c>
      <c r="P302" s="10">
        <f t="shared" si="40"/>
        <v>0.90222222222222226</v>
      </c>
      <c r="Q302" s="10">
        <f t="shared" si="41"/>
        <v>6.6502463054187194E-2</v>
      </c>
      <c r="R302" s="10">
        <f t="shared" si="42"/>
        <v>0.18733509234828497</v>
      </c>
      <c r="S302" s="18">
        <f t="shared" si="43"/>
        <v>81.266490765171497</v>
      </c>
      <c r="T302" s="8">
        <f>480-ProductionData[[#This Row],[Downtime Minutes]]</f>
        <v>423</v>
      </c>
      <c r="U302" s="11">
        <f t="shared" si="44"/>
        <v>0.95981087470449178</v>
      </c>
      <c r="V302" s="18">
        <f>ProductionData[[#This Row],[Profit]]/ProductionData[[#This Row],[Good Units]]</f>
        <v>18.733509234828496</v>
      </c>
      <c r="W302" s="11">
        <f>ProductionData[[#This Row],[Good Units]]/ProductionData[[#This Row],[Operating Minutes]]</f>
        <v>0.89598108747044913</v>
      </c>
    </row>
    <row r="303" spans="1:23">
      <c r="A303" s="7">
        <v>46237</v>
      </c>
      <c r="B303" s="8" t="s">
        <v>29</v>
      </c>
      <c r="C303" s="8" t="s">
        <v>27</v>
      </c>
      <c r="D303" s="8" t="s">
        <v>23</v>
      </c>
      <c r="E303" s="8" t="s">
        <v>24</v>
      </c>
      <c r="F303" s="9">
        <v>410</v>
      </c>
      <c r="G303" s="9">
        <v>374</v>
      </c>
      <c r="H303" s="9">
        <v>20</v>
      </c>
      <c r="I303" s="9">
        <f t="shared" si="36"/>
        <v>354</v>
      </c>
      <c r="J303" s="9">
        <v>62</v>
      </c>
      <c r="K303" s="10">
        <f t="shared" si="37"/>
        <v>0.12916666666666668</v>
      </c>
      <c r="L303" s="17">
        <v>120</v>
      </c>
      <c r="M303" s="17">
        <v>30800</v>
      </c>
      <c r="N303" s="17">
        <f t="shared" si="38"/>
        <v>42480</v>
      </c>
      <c r="O303" s="17">
        <f t="shared" si="39"/>
        <v>11680</v>
      </c>
      <c r="P303" s="10">
        <f t="shared" si="40"/>
        <v>0.91219512195121955</v>
      </c>
      <c r="Q303" s="10">
        <f t="shared" si="41"/>
        <v>5.3475935828877004E-2</v>
      </c>
      <c r="R303" s="10">
        <f t="shared" si="42"/>
        <v>0.27495291902071561</v>
      </c>
      <c r="S303" s="18">
        <f t="shared" si="43"/>
        <v>87.005649717514117</v>
      </c>
      <c r="T303" s="8">
        <f>480-ProductionData[[#This Row],[Downtime Minutes]]</f>
        <v>418</v>
      </c>
      <c r="U303" s="11">
        <f t="shared" si="44"/>
        <v>0.89473684210526316</v>
      </c>
      <c r="V303" s="18">
        <f>ProductionData[[#This Row],[Profit]]/ProductionData[[#This Row],[Good Units]]</f>
        <v>32.994350282485875</v>
      </c>
      <c r="W303" s="11">
        <f>ProductionData[[#This Row],[Good Units]]/ProductionData[[#This Row],[Operating Minutes]]</f>
        <v>0.84688995215311003</v>
      </c>
    </row>
    <row r="304" spans="1:23">
      <c r="A304" s="7">
        <v>46237</v>
      </c>
      <c r="B304" s="8" t="s">
        <v>29</v>
      </c>
      <c r="C304" s="8" t="s">
        <v>27</v>
      </c>
      <c r="D304" s="8" t="s">
        <v>25</v>
      </c>
      <c r="E304" s="8" t="s">
        <v>26</v>
      </c>
      <c r="F304" s="9">
        <v>490</v>
      </c>
      <c r="G304" s="9">
        <v>412</v>
      </c>
      <c r="H304" s="9">
        <v>27</v>
      </c>
      <c r="I304" s="9">
        <f t="shared" si="36"/>
        <v>385</v>
      </c>
      <c r="J304" s="9">
        <v>63</v>
      </c>
      <c r="K304" s="10">
        <f t="shared" si="37"/>
        <v>0.13125000000000001</v>
      </c>
      <c r="L304" s="17">
        <v>90</v>
      </c>
      <c r="M304" s="17">
        <v>30800</v>
      </c>
      <c r="N304" s="17">
        <f t="shared" si="38"/>
        <v>34650</v>
      </c>
      <c r="O304" s="17">
        <f t="shared" si="39"/>
        <v>3850</v>
      </c>
      <c r="P304" s="10">
        <f t="shared" si="40"/>
        <v>0.84081632653061222</v>
      </c>
      <c r="Q304" s="10">
        <f t="shared" si="41"/>
        <v>6.553398058252427E-2</v>
      </c>
      <c r="R304" s="10">
        <f t="shared" si="42"/>
        <v>0.1111111111111111</v>
      </c>
      <c r="S304" s="18">
        <f t="shared" si="43"/>
        <v>80</v>
      </c>
      <c r="T304" s="8">
        <f>480-ProductionData[[#This Row],[Downtime Minutes]]</f>
        <v>417</v>
      </c>
      <c r="U304" s="11">
        <f t="shared" si="44"/>
        <v>0.98800959232613905</v>
      </c>
      <c r="V304" s="18">
        <f>ProductionData[[#This Row],[Profit]]/ProductionData[[#This Row],[Good Units]]</f>
        <v>10</v>
      </c>
      <c r="W304" s="11">
        <f>ProductionData[[#This Row],[Good Units]]/ProductionData[[#This Row],[Operating Minutes]]</f>
        <v>0.9232613908872902</v>
      </c>
    </row>
    <row r="305" spans="1:23">
      <c r="A305" s="7">
        <v>46237</v>
      </c>
      <c r="B305" s="8" t="s">
        <v>29</v>
      </c>
      <c r="C305" s="8" t="s">
        <v>28</v>
      </c>
      <c r="D305" s="8" t="s">
        <v>21</v>
      </c>
      <c r="E305" s="8" t="s">
        <v>24</v>
      </c>
      <c r="F305" s="9">
        <v>410</v>
      </c>
      <c r="G305" s="9">
        <v>387</v>
      </c>
      <c r="H305" s="9">
        <v>8</v>
      </c>
      <c r="I305" s="9">
        <f t="shared" si="36"/>
        <v>379</v>
      </c>
      <c r="J305" s="9">
        <v>33</v>
      </c>
      <c r="K305" s="10">
        <f t="shared" si="37"/>
        <v>6.8750000000000006E-2</v>
      </c>
      <c r="L305" s="17">
        <v>120</v>
      </c>
      <c r="M305" s="17">
        <v>30800</v>
      </c>
      <c r="N305" s="17">
        <f t="shared" si="38"/>
        <v>45480</v>
      </c>
      <c r="O305" s="17">
        <f t="shared" si="39"/>
        <v>14680</v>
      </c>
      <c r="P305" s="10">
        <f t="shared" si="40"/>
        <v>0.94390243902439019</v>
      </c>
      <c r="Q305" s="10">
        <f t="shared" si="41"/>
        <v>2.0671834625322998E-2</v>
      </c>
      <c r="R305" s="10">
        <f t="shared" si="42"/>
        <v>0.3227792436235708</v>
      </c>
      <c r="S305" s="18">
        <f t="shared" si="43"/>
        <v>81.266490765171497</v>
      </c>
      <c r="T305" s="8">
        <f>480-ProductionData[[#This Row],[Downtime Minutes]]</f>
        <v>447</v>
      </c>
      <c r="U305" s="11">
        <f t="shared" si="44"/>
        <v>0.86577181208053688</v>
      </c>
      <c r="V305" s="18">
        <f>ProductionData[[#This Row],[Profit]]/ProductionData[[#This Row],[Good Units]]</f>
        <v>38.733509234828496</v>
      </c>
      <c r="W305" s="11">
        <f>ProductionData[[#This Row],[Good Units]]/ProductionData[[#This Row],[Operating Minutes]]</f>
        <v>0.84787472035794187</v>
      </c>
    </row>
    <row r="306" spans="1:23">
      <c r="A306" s="7">
        <v>46237</v>
      </c>
      <c r="B306" s="8" t="s">
        <v>29</v>
      </c>
      <c r="C306" s="8" t="s">
        <v>28</v>
      </c>
      <c r="D306" s="8" t="s">
        <v>23</v>
      </c>
      <c r="E306" s="8" t="s">
        <v>26</v>
      </c>
      <c r="F306" s="9">
        <v>520</v>
      </c>
      <c r="G306" s="9">
        <v>503</v>
      </c>
      <c r="H306" s="9">
        <v>18</v>
      </c>
      <c r="I306" s="9">
        <f t="shared" si="36"/>
        <v>485</v>
      </c>
      <c r="J306" s="9">
        <v>26</v>
      </c>
      <c r="K306" s="10">
        <f t="shared" si="37"/>
        <v>5.4166666666666669E-2</v>
      </c>
      <c r="L306" s="17">
        <v>90</v>
      </c>
      <c r="M306" s="17">
        <v>30800</v>
      </c>
      <c r="N306" s="17">
        <f t="shared" si="38"/>
        <v>43650</v>
      </c>
      <c r="O306" s="17">
        <f t="shared" si="39"/>
        <v>12850</v>
      </c>
      <c r="P306" s="10">
        <f t="shared" si="40"/>
        <v>0.96730769230769231</v>
      </c>
      <c r="Q306" s="10">
        <f t="shared" si="41"/>
        <v>3.5785288270377733E-2</v>
      </c>
      <c r="R306" s="10">
        <f t="shared" si="42"/>
        <v>0.29438717067583048</v>
      </c>
      <c r="S306" s="18">
        <f t="shared" si="43"/>
        <v>63.505154639175259</v>
      </c>
      <c r="T306" s="8">
        <f>480-ProductionData[[#This Row],[Downtime Minutes]]</f>
        <v>454</v>
      </c>
      <c r="U306" s="11">
        <f t="shared" si="44"/>
        <v>1.1079295154185023</v>
      </c>
      <c r="V306" s="18">
        <f>ProductionData[[#This Row],[Profit]]/ProductionData[[#This Row],[Good Units]]</f>
        <v>26.494845360824741</v>
      </c>
      <c r="W306" s="11">
        <f>ProductionData[[#This Row],[Good Units]]/ProductionData[[#This Row],[Operating Minutes]]</f>
        <v>1.0682819383259912</v>
      </c>
    </row>
    <row r="307" spans="1:23">
      <c r="A307" s="7">
        <v>46237</v>
      </c>
      <c r="B307" s="8" t="s">
        <v>29</v>
      </c>
      <c r="C307" s="8" t="s">
        <v>28</v>
      </c>
      <c r="D307" s="8" t="s">
        <v>25</v>
      </c>
      <c r="E307" s="8" t="s">
        <v>22</v>
      </c>
      <c r="F307" s="9">
        <v>450</v>
      </c>
      <c r="G307" s="9">
        <v>414</v>
      </c>
      <c r="H307" s="9">
        <v>23</v>
      </c>
      <c r="I307" s="9">
        <f t="shared" si="36"/>
        <v>391</v>
      </c>
      <c r="J307" s="9">
        <v>43</v>
      </c>
      <c r="K307" s="10">
        <f t="shared" si="37"/>
        <v>8.9583333333333334E-2</v>
      </c>
      <c r="L307" s="17">
        <v>100</v>
      </c>
      <c r="M307" s="17">
        <v>30800</v>
      </c>
      <c r="N307" s="17">
        <f t="shared" si="38"/>
        <v>39100</v>
      </c>
      <c r="O307" s="17">
        <f t="shared" si="39"/>
        <v>8300</v>
      </c>
      <c r="P307" s="10">
        <f t="shared" si="40"/>
        <v>0.92</v>
      </c>
      <c r="Q307" s="10">
        <f t="shared" si="41"/>
        <v>5.5555555555555552E-2</v>
      </c>
      <c r="R307" s="10">
        <f t="shared" si="42"/>
        <v>0.21227621483375958</v>
      </c>
      <c r="S307" s="18">
        <f t="shared" si="43"/>
        <v>78.772378516624045</v>
      </c>
      <c r="T307" s="8">
        <f>480-ProductionData[[#This Row],[Downtime Minutes]]</f>
        <v>437</v>
      </c>
      <c r="U307" s="11">
        <f t="shared" si="44"/>
        <v>0.94736842105263153</v>
      </c>
      <c r="V307" s="18">
        <f>ProductionData[[#This Row],[Profit]]/ProductionData[[#This Row],[Good Units]]</f>
        <v>21.227621483375959</v>
      </c>
      <c r="W307" s="11">
        <f>ProductionData[[#This Row],[Good Units]]/ProductionData[[#This Row],[Operating Minutes]]</f>
        <v>0.89473684210526316</v>
      </c>
    </row>
    <row r="308" spans="1:23">
      <c r="A308" s="7">
        <v>46238</v>
      </c>
      <c r="B308" s="8" t="s">
        <v>29</v>
      </c>
      <c r="C308" s="8" t="s">
        <v>20</v>
      </c>
      <c r="D308" s="8" t="s">
        <v>21</v>
      </c>
      <c r="E308" s="8" t="s">
        <v>22</v>
      </c>
      <c r="F308" s="9">
        <v>450</v>
      </c>
      <c r="G308" s="9">
        <v>439</v>
      </c>
      <c r="H308" s="9">
        <v>23</v>
      </c>
      <c r="I308" s="9">
        <f t="shared" si="36"/>
        <v>416</v>
      </c>
      <c r="J308" s="9">
        <v>37</v>
      </c>
      <c r="K308" s="10">
        <f t="shared" si="37"/>
        <v>7.7083333333333337E-2</v>
      </c>
      <c r="L308" s="17">
        <v>100</v>
      </c>
      <c r="M308" s="17">
        <v>30800</v>
      </c>
      <c r="N308" s="17">
        <f t="shared" si="38"/>
        <v>41600</v>
      </c>
      <c r="O308" s="17">
        <f t="shared" si="39"/>
        <v>10800</v>
      </c>
      <c r="P308" s="10">
        <f t="shared" si="40"/>
        <v>0.97555555555555551</v>
      </c>
      <c r="Q308" s="10">
        <f t="shared" si="41"/>
        <v>5.2391799544419138E-2</v>
      </c>
      <c r="R308" s="10">
        <f t="shared" si="42"/>
        <v>0.25961538461538464</v>
      </c>
      <c r="S308" s="18">
        <f t="shared" si="43"/>
        <v>74.038461538461533</v>
      </c>
      <c r="T308" s="8">
        <f>480-ProductionData[[#This Row],[Downtime Minutes]]</f>
        <v>443</v>
      </c>
      <c r="U308" s="11">
        <f t="shared" si="44"/>
        <v>0.99097065462753953</v>
      </c>
      <c r="V308" s="18">
        <f>ProductionData[[#This Row],[Profit]]/ProductionData[[#This Row],[Good Units]]</f>
        <v>25.96153846153846</v>
      </c>
      <c r="W308" s="11">
        <f>ProductionData[[#This Row],[Good Units]]/ProductionData[[#This Row],[Operating Minutes]]</f>
        <v>0.93905191873589167</v>
      </c>
    </row>
    <row r="309" spans="1:23">
      <c r="A309" s="7">
        <v>46238</v>
      </c>
      <c r="B309" s="8" t="s">
        <v>29</v>
      </c>
      <c r="C309" s="8" t="s">
        <v>20</v>
      </c>
      <c r="D309" s="8" t="s">
        <v>23</v>
      </c>
      <c r="E309" s="8" t="s">
        <v>24</v>
      </c>
      <c r="F309" s="9">
        <v>410</v>
      </c>
      <c r="G309" s="9">
        <v>385</v>
      </c>
      <c r="H309" s="9">
        <v>12</v>
      </c>
      <c r="I309" s="9">
        <f t="shared" si="36"/>
        <v>373</v>
      </c>
      <c r="J309" s="9">
        <v>30</v>
      </c>
      <c r="K309" s="10">
        <f t="shared" si="37"/>
        <v>6.25E-2</v>
      </c>
      <c r="L309" s="17">
        <v>120</v>
      </c>
      <c r="M309" s="17">
        <v>30800</v>
      </c>
      <c r="N309" s="17">
        <f t="shared" si="38"/>
        <v>44760</v>
      </c>
      <c r="O309" s="17">
        <f t="shared" si="39"/>
        <v>13960</v>
      </c>
      <c r="P309" s="10">
        <f t="shared" si="40"/>
        <v>0.93902439024390238</v>
      </c>
      <c r="Q309" s="10">
        <f t="shared" si="41"/>
        <v>3.1168831168831169E-2</v>
      </c>
      <c r="R309" s="10">
        <f t="shared" si="42"/>
        <v>0.31188561215370869</v>
      </c>
      <c r="S309" s="18">
        <f t="shared" si="43"/>
        <v>82.573726541554961</v>
      </c>
      <c r="T309" s="8">
        <f>480-ProductionData[[#This Row],[Downtime Minutes]]</f>
        <v>450</v>
      </c>
      <c r="U309" s="11">
        <f t="shared" si="44"/>
        <v>0.85555555555555551</v>
      </c>
      <c r="V309" s="18">
        <f>ProductionData[[#This Row],[Profit]]/ProductionData[[#This Row],[Good Units]]</f>
        <v>37.426273458445039</v>
      </c>
      <c r="W309" s="11">
        <f>ProductionData[[#This Row],[Good Units]]/ProductionData[[#This Row],[Operating Minutes]]</f>
        <v>0.8288888888888889</v>
      </c>
    </row>
    <row r="310" spans="1:23">
      <c r="A310" s="7">
        <v>46238</v>
      </c>
      <c r="B310" s="8" t="s">
        <v>29</v>
      </c>
      <c r="C310" s="8" t="s">
        <v>20</v>
      </c>
      <c r="D310" s="8" t="s">
        <v>25</v>
      </c>
      <c r="E310" s="8" t="s">
        <v>26</v>
      </c>
      <c r="F310" s="9">
        <v>510</v>
      </c>
      <c r="G310" s="9">
        <v>453</v>
      </c>
      <c r="H310" s="9">
        <v>19</v>
      </c>
      <c r="I310" s="9">
        <f t="shared" si="36"/>
        <v>434</v>
      </c>
      <c r="J310" s="9">
        <v>46</v>
      </c>
      <c r="K310" s="10">
        <f t="shared" si="37"/>
        <v>9.583333333333334E-2</v>
      </c>
      <c r="L310" s="17">
        <v>90</v>
      </c>
      <c r="M310" s="17">
        <v>30800</v>
      </c>
      <c r="N310" s="17">
        <f t="shared" si="38"/>
        <v>39060</v>
      </c>
      <c r="O310" s="17">
        <f t="shared" si="39"/>
        <v>8260</v>
      </c>
      <c r="P310" s="10">
        <f t="shared" si="40"/>
        <v>0.88823529411764701</v>
      </c>
      <c r="Q310" s="10">
        <f t="shared" si="41"/>
        <v>4.194260485651214E-2</v>
      </c>
      <c r="R310" s="10">
        <f t="shared" si="42"/>
        <v>0.21146953405017921</v>
      </c>
      <c r="S310" s="18">
        <f t="shared" si="43"/>
        <v>70.967741935483872</v>
      </c>
      <c r="T310" s="8">
        <f>480-ProductionData[[#This Row],[Downtime Minutes]]</f>
        <v>434</v>
      </c>
      <c r="U310" s="11">
        <f t="shared" si="44"/>
        <v>1.0437788018433181</v>
      </c>
      <c r="V310" s="18">
        <f>ProductionData[[#This Row],[Profit]]/ProductionData[[#This Row],[Good Units]]</f>
        <v>19.032258064516128</v>
      </c>
      <c r="W310" s="11">
        <f>ProductionData[[#This Row],[Good Units]]/ProductionData[[#This Row],[Operating Minutes]]</f>
        <v>1</v>
      </c>
    </row>
    <row r="311" spans="1:23">
      <c r="A311" s="7">
        <v>46238</v>
      </c>
      <c r="B311" s="8" t="s">
        <v>29</v>
      </c>
      <c r="C311" s="8" t="s">
        <v>27</v>
      </c>
      <c r="D311" s="8" t="s">
        <v>21</v>
      </c>
      <c r="E311" s="8" t="s">
        <v>24</v>
      </c>
      <c r="F311" s="9">
        <v>410</v>
      </c>
      <c r="G311" s="9">
        <v>370</v>
      </c>
      <c r="H311" s="9">
        <v>15</v>
      </c>
      <c r="I311" s="9">
        <f t="shared" si="36"/>
        <v>355</v>
      </c>
      <c r="J311" s="9">
        <v>52</v>
      </c>
      <c r="K311" s="10">
        <f t="shared" si="37"/>
        <v>0.10833333333333334</v>
      </c>
      <c r="L311" s="17">
        <v>120</v>
      </c>
      <c r="M311" s="17">
        <v>30800</v>
      </c>
      <c r="N311" s="17">
        <f t="shared" si="38"/>
        <v>42600</v>
      </c>
      <c r="O311" s="17">
        <f t="shared" si="39"/>
        <v>11800</v>
      </c>
      <c r="P311" s="10">
        <f t="shared" si="40"/>
        <v>0.90243902439024393</v>
      </c>
      <c r="Q311" s="10">
        <f t="shared" si="41"/>
        <v>4.0540540540540543E-2</v>
      </c>
      <c r="R311" s="10">
        <f t="shared" si="42"/>
        <v>0.27699530516431925</v>
      </c>
      <c r="S311" s="18">
        <f t="shared" si="43"/>
        <v>86.760563380281695</v>
      </c>
      <c r="T311" s="8">
        <f>480-ProductionData[[#This Row],[Downtime Minutes]]</f>
        <v>428</v>
      </c>
      <c r="U311" s="11">
        <f t="shared" si="44"/>
        <v>0.86448598130841126</v>
      </c>
      <c r="V311" s="18">
        <f>ProductionData[[#This Row],[Profit]]/ProductionData[[#This Row],[Good Units]]</f>
        <v>33.239436619718312</v>
      </c>
      <c r="W311" s="11">
        <f>ProductionData[[#This Row],[Good Units]]/ProductionData[[#This Row],[Operating Minutes]]</f>
        <v>0.82943925233644855</v>
      </c>
    </row>
    <row r="312" spans="1:23">
      <c r="A312" s="7">
        <v>46238</v>
      </c>
      <c r="B312" s="8" t="s">
        <v>29</v>
      </c>
      <c r="C312" s="8" t="s">
        <v>27</v>
      </c>
      <c r="D312" s="8" t="s">
        <v>23</v>
      </c>
      <c r="E312" s="8" t="s">
        <v>26</v>
      </c>
      <c r="F312" s="9">
        <v>490</v>
      </c>
      <c r="G312" s="9">
        <v>444</v>
      </c>
      <c r="H312" s="9">
        <v>23</v>
      </c>
      <c r="I312" s="9">
        <f t="shared" si="36"/>
        <v>421</v>
      </c>
      <c r="J312" s="9">
        <v>54</v>
      </c>
      <c r="K312" s="10">
        <f t="shared" si="37"/>
        <v>0.1125</v>
      </c>
      <c r="L312" s="17">
        <v>90</v>
      </c>
      <c r="M312" s="17">
        <v>30800</v>
      </c>
      <c r="N312" s="17">
        <f t="shared" si="38"/>
        <v>37890</v>
      </c>
      <c r="O312" s="17">
        <f t="shared" si="39"/>
        <v>7090</v>
      </c>
      <c r="P312" s="10">
        <f t="shared" si="40"/>
        <v>0.90612244897959182</v>
      </c>
      <c r="Q312" s="10">
        <f t="shared" si="41"/>
        <v>5.18018018018018E-2</v>
      </c>
      <c r="R312" s="10">
        <f t="shared" si="42"/>
        <v>0.18712061229875956</v>
      </c>
      <c r="S312" s="18">
        <f t="shared" si="43"/>
        <v>73.159144893111645</v>
      </c>
      <c r="T312" s="8">
        <f>480-ProductionData[[#This Row],[Downtime Minutes]]</f>
        <v>426</v>
      </c>
      <c r="U312" s="11">
        <f t="shared" si="44"/>
        <v>1.0422535211267605</v>
      </c>
      <c r="V312" s="18">
        <f>ProductionData[[#This Row],[Profit]]/ProductionData[[#This Row],[Good Units]]</f>
        <v>16.840855106888363</v>
      </c>
      <c r="W312" s="11">
        <f>ProductionData[[#This Row],[Good Units]]/ProductionData[[#This Row],[Operating Minutes]]</f>
        <v>0.98826291079812212</v>
      </c>
    </row>
    <row r="313" spans="1:23">
      <c r="A313" s="7">
        <v>46238</v>
      </c>
      <c r="B313" s="8" t="s">
        <v>29</v>
      </c>
      <c r="C313" s="8" t="s">
        <v>27</v>
      </c>
      <c r="D313" s="8" t="s">
        <v>25</v>
      </c>
      <c r="E313" s="8" t="s">
        <v>22</v>
      </c>
      <c r="F313" s="9">
        <v>460</v>
      </c>
      <c r="G313" s="9">
        <v>384</v>
      </c>
      <c r="H313" s="9">
        <v>31</v>
      </c>
      <c r="I313" s="9">
        <f t="shared" si="36"/>
        <v>353</v>
      </c>
      <c r="J313" s="9">
        <v>68</v>
      </c>
      <c r="K313" s="10">
        <f t="shared" si="37"/>
        <v>0.14166666666666666</v>
      </c>
      <c r="L313" s="17">
        <v>100</v>
      </c>
      <c r="M313" s="17">
        <v>30800</v>
      </c>
      <c r="N313" s="17">
        <f t="shared" si="38"/>
        <v>35300</v>
      </c>
      <c r="O313" s="17">
        <f t="shared" si="39"/>
        <v>4500</v>
      </c>
      <c r="P313" s="10">
        <f t="shared" si="40"/>
        <v>0.83478260869565213</v>
      </c>
      <c r="Q313" s="10">
        <f t="shared" si="41"/>
        <v>8.0729166666666671E-2</v>
      </c>
      <c r="R313" s="10">
        <f t="shared" si="42"/>
        <v>0.12747875354107649</v>
      </c>
      <c r="S313" s="18">
        <f t="shared" si="43"/>
        <v>87.252124645892351</v>
      </c>
      <c r="T313" s="8">
        <f>480-ProductionData[[#This Row],[Downtime Minutes]]</f>
        <v>412</v>
      </c>
      <c r="U313" s="11">
        <f t="shared" si="44"/>
        <v>0.93203883495145634</v>
      </c>
      <c r="V313" s="18">
        <f>ProductionData[[#This Row],[Profit]]/ProductionData[[#This Row],[Good Units]]</f>
        <v>12.747875354107649</v>
      </c>
      <c r="W313" s="11">
        <f>ProductionData[[#This Row],[Good Units]]/ProductionData[[#This Row],[Operating Minutes]]</f>
        <v>0.85679611650485432</v>
      </c>
    </row>
    <row r="314" spans="1:23">
      <c r="A314" s="7">
        <v>46238</v>
      </c>
      <c r="B314" s="8" t="s">
        <v>29</v>
      </c>
      <c r="C314" s="8" t="s">
        <v>28</v>
      </c>
      <c r="D314" s="8" t="s">
        <v>21</v>
      </c>
      <c r="E314" s="8" t="s">
        <v>26</v>
      </c>
      <c r="F314" s="9">
        <v>520</v>
      </c>
      <c r="G314" s="9">
        <v>502</v>
      </c>
      <c r="H314" s="9">
        <v>12</v>
      </c>
      <c r="I314" s="9">
        <f t="shared" si="36"/>
        <v>490</v>
      </c>
      <c r="J314" s="9">
        <v>16</v>
      </c>
      <c r="K314" s="10">
        <f t="shared" si="37"/>
        <v>3.3333333333333333E-2</v>
      </c>
      <c r="L314" s="17">
        <v>90</v>
      </c>
      <c r="M314" s="17">
        <v>30800</v>
      </c>
      <c r="N314" s="17">
        <f t="shared" si="38"/>
        <v>44100</v>
      </c>
      <c r="O314" s="17">
        <f t="shared" si="39"/>
        <v>13300</v>
      </c>
      <c r="P314" s="10">
        <f t="shared" si="40"/>
        <v>0.9653846153846154</v>
      </c>
      <c r="Q314" s="10">
        <f t="shared" si="41"/>
        <v>2.3904382470119521E-2</v>
      </c>
      <c r="R314" s="10">
        <f t="shared" si="42"/>
        <v>0.30158730158730157</v>
      </c>
      <c r="S314" s="18">
        <f t="shared" si="43"/>
        <v>62.857142857142854</v>
      </c>
      <c r="T314" s="8">
        <f>480-ProductionData[[#This Row],[Downtime Minutes]]</f>
        <v>464</v>
      </c>
      <c r="U314" s="11">
        <f t="shared" si="44"/>
        <v>1.0818965517241379</v>
      </c>
      <c r="V314" s="18">
        <f>ProductionData[[#This Row],[Profit]]/ProductionData[[#This Row],[Good Units]]</f>
        <v>27.142857142857142</v>
      </c>
      <c r="W314" s="11">
        <f>ProductionData[[#This Row],[Good Units]]/ProductionData[[#This Row],[Operating Minutes]]</f>
        <v>1.0560344827586208</v>
      </c>
    </row>
    <row r="315" spans="1:23">
      <c r="A315" s="7">
        <v>46238</v>
      </c>
      <c r="B315" s="8" t="s">
        <v>29</v>
      </c>
      <c r="C315" s="8" t="s">
        <v>28</v>
      </c>
      <c r="D315" s="8" t="s">
        <v>23</v>
      </c>
      <c r="E315" s="8" t="s">
        <v>22</v>
      </c>
      <c r="F315" s="9">
        <v>450</v>
      </c>
      <c r="G315" s="9">
        <v>421</v>
      </c>
      <c r="H315" s="9">
        <v>16</v>
      </c>
      <c r="I315" s="9">
        <f t="shared" si="36"/>
        <v>405</v>
      </c>
      <c r="J315" s="9">
        <v>32</v>
      </c>
      <c r="K315" s="10">
        <f t="shared" si="37"/>
        <v>6.6666666666666666E-2</v>
      </c>
      <c r="L315" s="17">
        <v>100</v>
      </c>
      <c r="M315" s="17">
        <v>30800</v>
      </c>
      <c r="N315" s="17">
        <f t="shared" si="38"/>
        <v>40500</v>
      </c>
      <c r="O315" s="17">
        <f t="shared" si="39"/>
        <v>9700</v>
      </c>
      <c r="P315" s="10">
        <f t="shared" si="40"/>
        <v>0.93555555555555558</v>
      </c>
      <c r="Q315" s="10">
        <f t="shared" si="41"/>
        <v>3.800475059382423E-2</v>
      </c>
      <c r="R315" s="10">
        <f t="shared" si="42"/>
        <v>0.23950617283950618</v>
      </c>
      <c r="S315" s="18">
        <f t="shared" si="43"/>
        <v>76.049382716049379</v>
      </c>
      <c r="T315" s="8">
        <f>480-ProductionData[[#This Row],[Downtime Minutes]]</f>
        <v>448</v>
      </c>
      <c r="U315" s="11">
        <f t="shared" si="44"/>
        <v>0.9397321428571429</v>
      </c>
      <c r="V315" s="18">
        <f>ProductionData[[#This Row],[Profit]]/ProductionData[[#This Row],[Good Units]]</f>
        <v>23.950617283950617</v>
      </c>
      <c r="W315" s="11">
        <f>ProductionData[[#This Row],[Good Units]]/ProductionData[[#This Row],[Operating Minutes]]</f>
        <v>0.9040178571428571</v>
      </c>
    </row>
    <row r="316" spans="1:23">
      <c r="A316" s="7">
        <v>46238</v>
      </c>
      <c r="B316" s="8" t="s">
        <v>29</v>
      </c>
      <c r="C316" s="8" t="s">
        <v>28</v>
      </c>
      <c r="D316" s="8" t="s">
        <v>25</v>
      </c>
      <c r="E316" s="8" t="s">
        <v>24</v>
      </c>
      <c r="F316" s="9">
        <v>410</v>
      </c>
      <c r="G316" s="9">
        <v>385</v>
      </c>
      <c r="H316" s="9">
        <v>15</v>
      </c>
      <c r="I316" s="9">
        <f t="shared" si="36"/>
        <v>370</v>
      </c>
      <c r="J316" s="9">
        <v>27</v>
      </c>
      <c r="K316" s="10">
        <f t="shared" si="37"/>
        <v>5.6250000000000001E-2</v>
      </c>
      <c r="L316" s="17">
        <v>120</v>
      </c>
      <c r="M316" s="17">
        <v>30800</v>
      </c>
      <c r="N316" s="17">
        <f t="shared" si="38"/>
        <v>44400</v>
      </c>
      <c r="O316" s="17">
        <f t="shared" si="39"/>
        <v>13600</v>
      </c>
      <c r="P316" s="10">
        <f t="shared" si="40"/>
        <v>0.93902439024390238</v>
      </c>
      <c r="Q316" s="10">
        <f t="shared" si="41"/>
        <v>3.896103896103896E-2</v>
      </c>
      <c r="R316" s="10">
        <f t="shared" si="42"/>
        <v>0.30630630630630629</v>
      </c>
      <c r="S316" s="18">
        <f t="shared" si="43"/>
        <v>83.243243243243242</v>
      </c>
      <c r="T316" s="8">
        <f>480-ProductionData[[#This Row],[Downtime Minutes]]</f>
        <v>453</v>
      </c>
      <c r="U316" s="11">
        <f t="shared" si="44"/>
        <v>0.84988962472406182</v>
      </c>
      <c r="V316" s="18">
        <f>ProductionData[[#This Row],[Profit]]/ProductionData[[#This Row],[Good Units]]</f>
        <v>36.756756756756758</v>
      </c>
      <c r="W316" s="11">
        <f>ProductionData[[#This Row],[Good Units]]/ProductionData[[#This Row],[Operating Minutes]]</f>
        <v>0.81677704194260481</v>
      </c>
    </row>
    <row r="317" spans="1:23">
      <c r="A317" s="7">
        <v>46239</v>
      </c>
      <c r="B317" s="8" t="s">
        <v>29</v>
      </c>
      <c r="C317" s="8" t="s">
        <v>20</v>
      </c>
      <c r="D317" s="8" t="s">
        <v>21</v>
      </c>
      <c r="E317" s="8" t="s">
        <v>24</v>
      </c>
      <c r="F317" s="9">
        <v>390</v>
      </c>
      <c r="G317" s="9">
        <v>378</v>
      </c>
      <c r="H317" s="9">
        <v>12</v>
      </c>
      <c r="I317" s="9">
        <f t="shared" si="36"/>
        <v>366</v>
      </c>
      <c r="J317" s="9">
        <v>22</v>
      </c>
      <c r="K317" s="10">
        <f t="shared" si="37"/>
        <v>4.583333333333333E-2</v>
      </c>
      <c r="L317" s="17">
        <v>120</v>
      </c>
      <c r="M317" s="17">
        <v>30800</v>
      </c>
      <c r="N317" s="17">
        <f t="shared" si="38"/>
        <v>43920</v>
      </c>
      <c r="O317" s="17">
        <f t="shared" si="39"/>
        <v>13120</v>
      </c>
      <c r="P317" s="10">
        <f t="shared" si="40"/>
        <v>0.96923076923076923</v>
      </c>
      <c r="Q317" s="10">
        <f t="shared" si="41"/>
        <v>3.1746031746031744E-2</v>
      </c>
      <c r="R317" s="10">
        <f t="shared" si="42"/>
        <v>0.2987249544626594</v>
      </c>
      <c r="S317" s="18">
        <f t="shared" si="43"/>
        <v>84.15300546448087</v>
      </c>
      <c r="T317" s="8">
        <f>480-ProductionData[[#This Row],[Downtime Minutes]]</f>
        <v>458</v>
      </c>
      <c r="U317" s="11">
        <f t="shared" si="44"/>
        <v>0.8253275109170306</v>
      </c>
      <c r="V317" s="18">
        <f>ProductionData[[#This Row],[Profit]]/ProductionData[[#This Row],[Good Units]]</f>
        <v>35.846994535519123</v>
      </c>
      <c r="W317" s="11">
        <f>ProductionData[[#This Row],[Good Units]]/ProductionData[[#This Row],[Operating Minutes]]</f>
        <v>0.79912663755458513</v>
      </c>
    </row>
    <row r="318" spans="1:23">
      <c r="A318" s="7">
        <v>46239</v>
      </c>
      <c r="B318" s="8" t="s">
        <v>29</v>
      </c>
      <c r="C318" s="8" t="s">
        <v>20</v>
      </c>
      <c r="D318" s="8" t="s">
        <v>23</v>
      </c>
      <c r="E318" s="8" t="s">
        <v>26</v>
      </c>
      <c r="F318" s="9">
        <v>500</v>
      </c>
      <c r="G318" s="9">
        <v>454</v>
      </c>
      <c r="H318" s="9">
        <v>14</v>
      </c>
      <c r="I318" s="9">
        <f t="shared" si="36"/>
        <v>440</v>
      </c>
      <c r="J318" s="9">
        <v>28</v>
      </c>
      <c r="K318" s="10">
        <f t="shared" si="37"/>
        <v>5.8333333333333334E-2</v>
      </c>
      <c r="L318" s="17">
        <v>90</v>
      </c>
      <c r="M318" s="17">
        <v>30800</v>
      </c>
      <c r="N318" s="17">
        <f t="shared" si="38"/>
        <v>39600</v>
      </c>
      <c r="O318" s="17">
        <f t="shared" si="39"/>
        <v>8800</v>
      </c>
      <c r="P318" s="10">
        <f t="shared" si="40"/>
        <v>0.90800000000000003</v>
      </c>
      <c r="Q318" s="10">
        <f t="shared" si="41"/>
        <v>3.0837004405286344E-2</v>
      </c>
      <c r="R318" s="10">
        <f t="shared" si="42"/>
        <v>0.22222222222222221</v>
      </c>
      <c r="S318" s="18">
        <f t="shared" si="43"/>
        <v>70</v>
      </c>
      <c r="T318" s="8">
        <f>480-ProductionData[[#This Row],[Downtime Minutes]]</f>
        <v>452</v>
      </c>
      <c r="U318" s="11">
        <f t="shared" si="44"/>
        <v>1.0044247787610618</v>
      </c>
      <c r="V318" s="18">
        <f>ProductionData[[#This Row],[Profit]]/ProductionData[[#This Row],[Good Units]]</f>
        <v>20</v>
      </c>
      <c r="W318" s="11">
        <f>ProductionData[[#This Row],[Good Units]]/ProductionData[[#This Row],[Operating Minutes]]</f>
        <v>0.97345132743362828</v>
      </c>
    </row>
    <row r="319" spans="1:23">
      <c r="A319" s="7">
        <v>46239</v>
      </c>
      <c r="B319" s="8" t="s">
        <v>29</v>
      </c>
      <c r="C319" s="8" t="s">
        <v>20</v>
      </c>
      <c r="D319" s="8" t="s">
        <v>25</v>
      </c>
      <c r="E319" s="8" t="s">
        <v>22</v>
      </c>
      <c r="F319" s="9">
        <v>460</v>
      </c>
      <c r="G319" s="9">
        <v>419</v>
      </c>
      <c r="H319" s="9">
        <v>25</v>
      </c>
      <c r="I319" s="9">
        <f t="shared" si="36"/>
        <v>394</v>
      </c>
      <c r="J319" s="9">
        <v>52</v>
      </c>
      <c r="K319" s="10">
        <f t="shared" si="37"/>
        <v>0.10833333333333334</v>
      </c>
      <c r="L319" s="17">
        <v>100</v>
      </c>
      <c r="M319" s="17">
        <v>30800</v>
      </c>
      <c r="N319" s="17">
        <f t="shared" si="38"/>
        <v>39400</v>
      </c>
      <c r="O319" s="17">
        <f t="shared" si="39"/>
        <v>8600</v>
      </c>
      <c r="P319" s="10">
        <f t="shared" si="40"/>
        <v>0.91086956521739126</v>
      </c>
      <c r="Q319" s="10">
        <f t="shared" si="41"/>
        <v>5.9665871121718374E-2</v>
      </c>
      <c r="R319" s="10">
        <f t="shared" si="42"/>
        <v>0.21827411167512689</v>
      </c>
      <c r="S319" s="18">
        <f t="shared" si="43"/>
        <v>78.172588832487307</v>
      </c>
      <c r="T319" s="8">
        <f>480-ProductionData[[#This Row],[Downtime Minutes]]</f>
        <v>428</v>
      </c>
      <c r="U319" s="11">
        <f t="shared" si="44"/>
        <v>0.9789719626168224</v>
      </c>
      <c r="V319" s="18">
        <f>ProductionData[[#This Row],[Profit]]/ProductionData[[#This Row],[Good Units]]</f>
        <v>21.82741116751269</v>
      </c>
      <c r="W319" s="11">
        <f>ProductionData[[#This Row],[Good Units]]/ProductionData[[#This Row],[Operating Minutes]]</f>
        <v>0.92056074766355145</v>
      </c>
    </row>
    <row r="320" spans="1:23">
      <c r="A320" s="7">
        <v>46239</v>
      </c>
      <c r="B320" s="8" t="s">
        <v>29</v>
      </c>
      <c r="C320" s="8" t="s">
        <v>27</v>
      </c>
      <c r="D320" s="8" t="s">
        <v>21</v>
      </c>
      <c r="E320" s="8" t="s">
        <v>26</v>
      </c>
      <c r="F320" s="9">
        <v>480</v>
      </c>
      <c r="G320" s="9">
        <v>425</v>
      </c>
      <c r="H320" s="9">
        <v>20</v>
      </c>
      <c r="I320" s="9">
        <f t="shared" si="36"/>
        <v>405</v>
      </c>
      <c r="J320" s="9">
        <v>32</v>
      </c>
      <c r="K320" s="10">
        <f t="shared" si="37"/>
        <v>6.6666666666666666E-2</v>
      </c>
      <c r="L320" s="17">
        <v>90</v>
      </c>
      <c r="M320" s="17">
        <v>30800</v>
      </c>
      <c r="N320" s="17">
        <f t="shared" si="38"/>
        <v>36450</v>
      </c>
      <c r="O320" s="17">
        <f t="shared" si="39"/>
        <v>5650</v>
      </c>
      <c r="P320" s="10">
        <f t="shared" si="40"/>
        <v>0.88541666666666663</v>
      </c>
      <c r="Q320" s="10">
        <f t="shared" si="41"/>
        <v>4.7058823529411764E-2</v>
      </c>
      <c r="R320" s="10">
        <f t="shared" si="42"/>
        <v>0.15500685871056241</v>
      </c>
      <c r="S320" s="18">
        <f t="shared" si="43"/>
        <v>76.049382716049379</v>
      </c>
      <c r="T320" s="8">
        <f>480-ProductionData[[#This Row],[Downtime Minutes]]</f>
        <v>448</v>
      </c>
      <c r="U320" s="11">
        <f t="shared" si="44"/>
        <v>0.9486607142857143</v>
      </c>
      <c r="V320" s="18">
        <f>ProductionData[[#This Row],[Profit]]/ProductionData[[#This Row],[Good Units]]</f>
        <v>13.950617283950617</v>
      </c>
      <c r="W320" s="11">
        <f>ProductionData[[#This Row],[Good Units]]/ProductionData[[#This Row],[Operating Minutes]]</f>
        <v>0.9040178571428571</v>
      </c>
    </row>
    <row r="321" spans="1:23">
      <c r="A321" s="7">
        <v>46239</v>
      </c>
      <c r="B321" s="8" t="s">
        <v>29</v>
      </c>
      <c r="C321" s="8" t="s">
        <v>27</v>
      </c>
      <c r="D321" s="8" t="s">
        <v>23</v>
      </c>
      <c r="E321" s="8" t="s">
        <v>22</v>
      </c>
      <c r="F321" s="9">
        <v>450</v>
      </c>
      <c r="G321" s="9">
        <v>408</v>
      </c>
      <c r="H321" s="9">
        <v>27</v>
      </c>
      <c r="I321" s="9">
        <f t="shared" si="36"/>
        <v>381</v>
      </c>
      <c r="J321" s="9">
        <v>51</v>
      </c>
      <c r="K321" s="10">
        <f t="shared" si="37"/>
        <v>0.10625</v>
      </c>
      <c r="L321" s="17">
        <v>100</v>
      </c>
      <c r="M321" s="17">
        <v>30800</v>
      </c>
      <c r="N321" s="17">
        <f t="shared" si="38"/>
        <v>38100</v>
      </c>
      <c r="O321" s="17">
        <f t="shared" si="39"/>
        <v>7300</v>
      </c>
      <c r="P321" s="10">
        <f t="shared" si="40"/>
        <v>0.90666666666666662</v>
      </c>
      <c r="Q321" s="10">
        <f t="shared" si="41"/>
        <v>6.6176470588235295E-2</v>
      </c>
      <c r="R321" s="10">
        <f t="shared" si="42"/>
        <v>0.19160104986876642</v>
      </c>
      <c r="S321" s="18">
        <f t="shared" si="43"/>
        <v>80.839895013123353</v>
      </c>
      <c r="T321" s="8">
        <f>480-ProductionData[[#This Row],[Downtime Minutes]]</f>
        <v>429</v>
      </c>
      <c r="U321" s="11">
        <f t="shared" si="44"/>
        <v>0.95104895104895104</v>
      </c>
      <c r="V321" s="18">
        <f>ProductionData[[#This Row],[Profit]]/ProductionData[[#This Row],[Good Units]]</f>
        <v>19.16010498687664</v>
      </c>
      <c r="W321" s="11">
        <f>ProductionData[[#This Row],[Good Units]]/ProductionData[[#This Row],[Operating Minutes]]</f>
        <v>0.88811188811188813</v>
      </c>
    </row>
    <row r="322" spans="1:23">
      <c r="A322" s="7">
        <v>46239</v>
      </c>
      <c r="B322" s="8" t="s">
        <v>29</v>
      </c>
      <c r="C322" s="8" t="s">
        <v>27</v>
      </c>
      <c r="D322" s="8" t="s">
        <v>25</v>
      </c>
      <c r="E322" s="8" t="s">
        <v>24</v>
      </c>
      <c r="F322" s="9">
        <v>400</v>
      </c>
      <c r="G322" s="9">
        <v>332</v>
      </c>
      <c r="H322" s="9">
        <v>20</v>
      </c>
      <c r="I322" s="9">
        <f t="shared" ref="I322:I385" si="45">G322-H322</f>
        <v>312</v>
      </c>
      <c r="J322" s="9">
        <v>56</v>
      </c>
      <c r="K322" s="10">
        <f t="shared" ref="K322:K385" si="46">J322/480</f>
        <v>0.11666666666666667</v>
      </c>
      <c r="L322" s="17">
        <v>120</v>
      </c>
      <c r="M322" s="17">
        <v>30800</v>
      </c>
      <c r="N322" s="17">
        <f t="shared" ref="N322:N385" si="47">I322*L322</f>
        <v>37440</v>
      </c>
      <c r="O322" s="17">
        <f t="shared" ref="O322:O385" si="48">N322-M322</f>
        <v>6640</v>
      </c>
      <c r="P322" s="10">
        <f t="shared" ref="P322:P385" si="49">G322/F322</f>
        <v>0.83</v>
      </c>
      <c r="Q322" s="10">
        <f t="shared" ref="Q322:Q385" si="50">H322/G322</f>
        <v>6.0240963855421686E-2</v>
      </c>
      <c r="R322" s="10">
        <f t="shared" ref="R322:R385" si="51">O322/N322</f>
        <v>0.17735042735042736</v>
      </c>
      <c r="S322" s="18">
        <f t="shared" ref="S322:S385" si="52">M322/I322</f>
        <v>98.717948717948715</v>
      </c>
      <c r="T322" s="8">
        <f>480-ProductionData[[#This Row],[Downtime Minutes]]</f>
        <v>424</v>
      </c>
      <c r="U322" s="11">
        <f t="shared" ref="U322:U385" si="53">G322/T322</f>
        <v>0.78301886792452835</v>
      </c>
      <c r="V322" s="18">
        <f>ProductionData[[#This Row],[Profit]]/ProductionData[[#This Row],[Good Units]]</f>
        <v>21.282051282051281</v>
      </c>
      <c r="W322" s="11">
        <f>ProductionData[[#This Row],[Good Units]]/ProductionData[[#This Row],[Operating Minutes]]</f>
        <v>0.73584905660377353</v>
      </c>
    </row>
    <row r="323" spans="1:23">
      <c r="A323" s="7">
        <v>46239</v>
      </c>
      <c r="B323" s="8" t="s">
        <v>29</v>
      </c>
      <c r="C323" s="8" t="s">
        <v>28</v>
      </c>
      <c r="D323" s="8" t="s">
        <v>21</v>
      </c>
      <c r="E323" s="8" t="s">
        <v>22</v>
      </c>
      <c r="F323" s="9">
        <v>440</v>
      </c>
      <c r="G323" s="9">
        <v>413</v>
      </c>
      <c r="H323" s="9">
        <v>15</v>
      </c>
      <c r="I323" s="9">
        <f t="shared" si="45"/>
        <v>398</v>
      </c>
      <c r="J323" s="9">
        <v>33</v>
      </c>
      <c r="K323" s="10">
        <f t="shared" si="46"/>
        <v>6.8750000000000006E-2</v>
      </c>
      <c r="L323" s="17">
        <v>100</v>
      </c>
      <c r="M323" s="17">
        <v>30800</v>
      </c>
      <c r="N323" s="17">
        <f t="shared" si="47"/>
        <v>39800</v>
      </c>
      <c r="O323" s="17">
        <f t="shared" si="48"/>
        <v>9000</v>
      </c>
      <c r="P323" s="10">
        <f t="shared" si="49"/>
        <v>0.9386363636363636</v>
      </c>
      <c r="Q323" s="10">
        <f t="shared" si="50"/>
        <v>3.6319612590799029E-2</v>
      </c>
      <c r="R323" s="10">
        <f t="shared" si="51"/>
        <v>0.22613065326633167</v>
      </c>
      <c r="S323" s="18">
        <f t="shared" si="52"/>
        <v>77.386934673366838</v>
      </c>
      <c r="T323" s="8">
        <f>480-ProductionData[[#This Row],[Downtime Minutes]]</f>
        <v>447</v>
      </c>
      <c r="U323" s="11">
        <f t="shared" si="53"/>
        <v>0.92393736017897088</v>
      </c>
      <c r="V323" s="18">
        <f>ProductionData[[#This Row],[Profit]]/ProductionData[[#This Row],[Good Units]]</f>
        <v>22.613065326633166</v>
      </c>
      <c r="W323" s="11">
        <f>ProductionData[[#This Row],[Good Units]]/ProductionData[[#This Row],[Operating Minutes]]</f>
        <v>0.89038031319910516</v>
      </c>
    </row>
    <row r="324" spans="1:23">
      <c r="A324" s="7">
        <v>46239</v>
      </c>
      <c r="B324" s="8" t="s">
        <v>29</v>
      </c>
      <c r="C324" s="8" t="s">
        <v>28</v>
      </c>
      <c r="D324" s="8" t="s">
        <v>23</v>
      </c>
      <c r="E324" s="8" t="s">
        <v>24</v>
      </c>
      <c r="F324" s="9">
        <v>390</v>
      </c>
      <c r="G324" s="9">
        <v>378</v>
      </c>
      <c r="H324" s="9">
        <v>10</v>
      </c>
      <c r="I324" s="9">
        <f t="shared" si="45"/>
        <v>368</v>
      </c>
      <c r="J324" s="9">
        <v>28</v>
      </c>
      <c r="K324" s="10">
        <f t="shared" si="46"/>
        <v>5.8333333333333334E-2</v>
      </c>
      <c r="L324" s="17">
        <v>120</v>
      </c>
      <c r="M324" s="17">
        <v>30800</v>
      </c>
      <c r="N324" s="17">
        <f t="shared" si="47"/>
        <v>44160</v>
      </c>
      <c r="O324" s="17">
        <f t="shared" si="48"/>
        <v>13360</v>
      </c>
      <c r="P324" s="10">
        <f t="shared" si="49"/>
        <v>0.96923076923076923</v>
      </c>
      <c r="Q324" s="10">
        <f t="shared" si="50"/>
        <v>2.6455026455026454E-2</v>
      </c>
      <c r="R324" s="10">
        <f t="shared" si="51"/>
        <v>0.30253623188405798</v>
      </c>
      <c r="S324" s="18">
        <f t="shared" si="52"/>
        <v>83.695652173913047</v>
      </c>
      <c r="T324" s="8">
        <f>480-ProductionData[[#This Row],[Downtime Minutes]]</f>
        <v>452</v>
      </c>
      <c r="U324" s="11">
        <f t="shared" si="53"/>
        <v>0.83628318584070793</v>
      </c>
      <c r="V324" s="18">
        <f>ProductionData[[#This Row],[Profit]]/ProductionData[[#This Row],[Good Units]]</f>
        <v>36.304347826086953</v>
      </c>
      <c r="W324" s="11">
        <f>ProductionData[[#This Row],[Good Units]]/ProductionData[[#This Row],[Operating Minutes]]</f>
        <v>0.81415929203539827</v>
      </c>
    </row>
    <row r="325" spans="1:23">
      <c r="A325" s="7">
        <v>46239</v>
      </c>
      <c r="B325" s="8" t="s">
        <v>29</v>
      </c>
      <c r="C325" s="8" t="s">
        <v>28</v>
      </c>
      <c r="D325" s="8" t="s">
        <v>25</v>
      </c>
      <c r="E325" s="8" t="s">
        <v>26</v>
      </c>
      <c r="F325" s="9">
        <v>520</v>
      </c>
      <c r="G325" s="9">
        <v>484</v>
      </c>
      <c r="H325" s="9">
        <v>21</v>
      </c>
      <c r="I325" s="9">
        <f t="shared" si="45"/>
        <v>463</v>
      </c>
      <c r="J325" s="9">
        <v>34</v>
      </c>
      <c r="K325" s="10">
        <f t="shared" si="46"/>
        <v>7.0833333333333331E-2</v>
      </c>
      <c r="L325" s="17">
        <v>90</v>
      </c>
      <c r="M325" s="17">
        <v>30800</v>
      </c>
      <c r="N325" s="17">
        <f t="shared" si="47"/>
        <v>41670</v>
      </c>
      <c r="O325" s="17">
        <f t="shared" si="48"/>
        <v>10870</v>
      </c>
      <c r="P325" s="10">
        <f t="shared" si="49"/>
        <v>0.93076923076923079</v>
      </c>
      <c r="Q325" s="10">
        <f t="shared" si="50"/>
        <v>4.3388429752066117E-2</v>
      </c>
      <c r="R325" s="10">
        <f t="shared" si="51"/>
        <v>0.26085913126949845</v>
      </c>
      <c r="S325" s="18">
        <f t="shared" si="52"/>
        <v>66.522678185745136</v>
      </c>
      <c r="T325" s="8">
        <f>480-ProductionData[[#This Row],[Downtime Minutes]]</f>
        <v>446</v>
      </c>
      <c r="U325" s="11">
        <f t="shared" si="53"/>
        <v>1.0852017937219731</v>
      </c>
      <c r="V325" s="18">
        <f>ProductionData[[#This Row],[Profit]]/ProductionData[[#This Row],[Good Units]]</f>
        <v>23.477321814254861</v>
      </c>
      <c r="W325" s="11">
        <f>ProductionData[[#This Row],[Good Units]]/ProductionData[[#This Row],[Operating Minutes]]</f>
        <v>1.0381165919282511</v>
      </c>
    </row>
    <row r="326" spans="1:23">
      <c r="A326" s="7">
        <v>46240</v>
      </c>
      <c r="B326" s="8" t="s">
        <v>29</v>
      </c>
      <c r="C326" s="8" t="s">
        <v>20</v>
      </c>
      <c r="D326" s="8" t="s">
        <v>21</v>
      </c>
      <c r="E326" s="8" t="s">
        <v>26</v>
      </c>
      <c r="F326" s="9">
        <v>480</v>
      </c>
      <c r="G326" s="9">
        <v>465</v>
      </c>
      <c r="H326" s="9">
        <v>11</v>
      </c>
      <c r="I326" s="9">
        <f t="shared" si="45"/>
        <v>454</v>
      </c>
      <c r="J326" s="9">
        <v>25</v>
      </c>
      <c r="K326" s="10">
        <f t="shared" si="46"/>
        <v>5.2083333333333336E-2</v>
      </c>
      <c r="L326" s="17">
        <v>90</v>
      </c>
      <c r="M326" s="17">
        <v>30800</v>
      </c>
      <c r="N326" s="17">
        <f t="shared" si="47"/>
        <v>40860</v>
      </c>
      <c r="O326" s="17">
        <f t="shared" si="48"/>
        <v>10060</v>
      </c>
      <c r="P326" s="10">
        <f t="shared" si="49"/>
        <v>0.96875</v>
      </c>
      <c r="Q326" s="10">
        <f t="shared" si="50"/>
        <v>2.3655913978494623E-2</v>
      </c>
      <c r="R326" s="10">
        <f t="shared" si="51"/>
        <v>0.24620655898188937</v>
      </c>
      <c r="S326" s="18">
        <f t="shared" si="52"/>
        <v>67.841409691629963</v>
      </c>
      <c r="T326" s="8">
        <f>480-ProductionData[[#This Row],[Downtime Minutes]]</f>
        <v>455</v>
      </c>
      <c r="U326" s="11">
        <f t="shared" si="53"/>
        <v>1.0219780219780219</v>
      </c>
      <c r="V326" s="18">
        <f>ProductionData[[#This Row],[Profit]]/ProductionData[[#This Row],[Good Units]]</f>
        <v>22.158590308370044</v>
      </c>
      <c r="W326" s="11">
        <f>ProductionData[[#This Row],[Good Units]]/ProductionData[[#This Row],[Operating Minutes]]</f>
        <v>0.99780219780219781</v>
      </c>
    </row>
    <row r="327" spans="1:23">
      <c r="A327" s="7">
        <v>46240</v>
      </c>
      <c r="B327" s="8" t="s">
        <v>29</v>
      </c>
      <c r="C327" s="8" t="s">
        <v>20</v>
      </c>
      <c r="D327" s="8" t="s">
        <v>23</v>
      </c>
      <c r="E327" s="8" t="s">
        <v>22</v>
      </c>
      <c r="F327" s="9">
        <v>440</v>
      </c>
      <c r="G327" s="9">
        <v>400</v>
      </c>
      <c r="H327" s="9">
        <v>21</v>
      </c>
      <c r="I327" s="9">
        <f t="shared" si="45"/>
        <v>379</v>
      </c>
      <c r="J327" s="9">
        <v>41</v>
      </c>
      <c r="K327" s="10">
        <f t="shared" si="46"/>
        <v>8.5416666666666669E-2</v>
      </c>
      <c r="L327" s="17">
        <v>100</v>
      </c>
      <c r="M327" s="17">
        <v>30800</v>
      </c>
      <c r="N327" s="17">
        <f t="shared" si="47"/>
        <v>37900</v>
      </c>
      <c r="O327" s="17">
        <f t="shared" si="48"/>
        <v>7100</v>
      </c>
      <c r="P327" s="10">
        <f t="shared" si="49"/>
        <v>0.90909090909090906</v>
      </c>
      <c r="Q327" s="10">
        <f t="shared" si="50"/>
        <v>5.2499999999999998E-2</v>
      </c>
      <c r="R327" s="10">
        <f t="shared" si="51"/>
        <v>0.18733509234828497</v>
      </c>
      <c r="S327" s="18">
        <f t="shared" si="52"/>
        <v>81.266490765171497</v>
      </c>
      <c r="T327" s="8">
        <f>480-ProductionData[[#This Row],[Downtime Minutes]]</f>
        <v>439</v>
      </c>
      <c r="U327" s="11">
        <f t="shared" si="53"/>
        <v>0.91116173120728927</v>
      </c>
      <c r="V327" s="18">
        <f>ProductionData[[#This Row],[Profit]]/ProductionData[[#This Row],[Good Units]]</f>
        <v>18.733509234828496</v>
      </c>
      <c r="W327" s="11">
        <f>ProductionData[[#This Row],[Good Units]]/ProductionData[[#This Row],[Operating Minutes]]</f>
        <v>0.86332574031890663</v>
      </c>
    </row>
    <row r="328" spans="1:23">
      <c r="A328" s="7">
        <v>46240</v>
      </c>
      <c r="B328" s="8" t="s">
        <v>29</v>
      </c>
      <c r="C328" s="8" t="s">
        <v>20</v>
      </c>
      <c r="D328" s="8" t="s">
        <v>25</v>
      </c>
      <c r="E328" s="8" t="s">
        <v>24</v>
      </c>
      <c r="F328" s="9">
        <v>410</v>
      </c>
      <c r="G328" s="9">
        <v>375</v>
      </c>
      <c r="H328" s="9">
        <v>17</v>
      </c>
      <c r="I328" s="9">
        <f t="shared" si="45"/>
        <v>358</v>
      </c>
      <c r="J328" s="9">
        <v>54</v>
      </c>
      <c r="K328" s="10">
        <f t="shared" si="46"/>
        <v>0.1125</v>
      </c>
      <c r="L328" s="17">
        <v>120</v>
      </c>
      <c r="M328" s="17">
        <v>30800</v>
      </c>
      <c r="N328" s="17">
        <f t="shared" si="47"/>
        <v>42960</v>
      </c>
      <c r="O328" s="17">
        <f t="shared" si="48"/>
        <v>12160</v>
      </c>
      <c r="P328" s="10">
        <f t="shared" si="49"/>
        <v>0.91463414634146345</v>
      </c>
      <c r="Q328" s="10">
        <f t="shared" si="50"/>
        <v>4.5333333333333337E-2</v>
      </c>
      <c r="R328" s="10">
        <f t="shared" si="51"/>
        <v>0.28305400372439476</v>
      </c>
      <c r="S328" s="18">
        <f t="shared" si="52"/>
        <v>86.033519553072622</v>
      </c>
      <c r="T328" s="8">
        <f>480-ProductionData[[#This Row],[Downtime Minutes]]</f>
        <v>426</v>
      </c>
      <c r="U328" s="11">
        <f t="shared" si="53"/>
        <v>0.88028169014084512</v>
      </c>
      <c r="V328" s="18">
        <f>ProductionData[[#This Row],[Profit]]/ProductionData[[#This Row],[Good Units]]</f>
        <v>33.966480446927378</v>
      </c>
      <c r="W328" s="11">
        <f>ProductionData[[#This Row],[Good Units]]/ProductionData[[#This Row],[Operating Minutes]]</f>
        <v>0.84037558685446012</v>
      </c>
    </row>
    <row r="329" spans="1:23">
      <c r="A329" s="7">
        <v>46240</v>
      </c>
      <c r="B329" s="8" t="s">
        <v>29</v>
      </c>
      <c r="C329" s="8" t="s">
        <v>27</v>
      </c>
      <c r="D329" s="8" t="s">
        <v>21</v>
      </c>
      <c r="E329" s="8" t="s">
        <v>22</v>
      </c>
      <c r="F329" s="9">
        <v>440</v>
      </c>
      <c r="G329" s="9">
        <v>391</v>
      </c>
      <c r="H329" s="9">
        <v>23</v>
      </c>
      <c r="I329" s="9">
        <f t="shared" si="45"/>
        <v>368</v>
      </c>
      <c r="J329" s="9">
        <v>61</v>
      </c>
      <c r="K329" s="10">
        <f t="shared" si="46"/>
        <v>0.12708333333333333</v>
      </c>
      <c r="L329" s="17">
        <v>100</v>
      </c>
      <c r="M329" s="17">
        <v>30800</v>
      </c>
      <c r="N329" s="17">
        <f t="shared" si="47"/>
        <v>36800</v>
      </c>
      <c r="O329" s="17">
        <f t="shared" si="48"/>
        <v>6000</v>
      </c>
      <c r="P329" s="10">
        <f t="shared" si="49"/>
        <v>0.88863636363636367</v>
      </c>
      <c r="Q329" s="10">
        <f t="shared" si="50"/>
        <v>5.8823529411764705E-2</v>
      </c>
      <c r="R329" s="10">
        <f t="shared" si="51"/>
        <v>0.16304347826086957</v>
      </c>
      <c r="S329" s="18">
        <f t="shared" si="52"/>
        <v>83.695652173913047</v>
      </c>
      <c r="T329" s="8">
        <f>480-ProductionData[[#This Row],[Downtime Minutes]]</f>
        <v>419</v>
      </c>
      <c r="U329" s="11">
        <f t="shared" si="53"/>
        <v>0.93317422434367536</v>
      </c>
      <c r="V329" s="18">
        <f>ProductionData[[#This Row],[Profit]]/ProductionData[[#This Row],[Good Units]]</f>
        <v>16.304347826086957</v>
      </c>
      <c r="W329" s="11">
        <f>ProductionData[[#This Row],[Good Units]]/ProductionData[[#This Row],[Operating Minutes]]</f>
        <v>0.87828162291169454</v>
      </c>
    </row>
    <row r="330" spans="1:23">
      <c r="A330" s="7">
        <v>46240</v>
      </c>
      <c r="B330" s="8" t="s">
        <v>29</v>
      </c>
      <c r="C330" s="8" t="s">
        <v>27</v>
      </c>
      <c r="D330" s="8" t="s">
        <v>23</v>
      </c>
      <c r="E330" s="8" t="s">
        <v>24</v>
      </c>
      <c r="F330" s="9">
        <v>410</v>
      </c>
      <c r="G330" s="9">
        <v>368</v>
      </c>
      <c r="H330" s="9">
        <v>22</v>
      </c>
      <c r="I330" s="9">
        <f t="shared" si="45"/>
        <v>346</v>
      </c>
      <c r="J330" s="9">
        <v>58</v>
      </c>
      <c r="K330" s="10">
        <f t="shared" si="46"/>
        <v>0.12083333333333333</v>
      </c>
      <c r="L330" s="17">
        <v>120</v>
      </c>
      <c r="M330" s="17">
        <v>30800</v>
      </c>
      <c r="N330" s="17">
        <f t="shared" si="47"/>
        <v>41520</v>
      </c>
      <c r="O330" s="17">
        <f t="shared" si="48"/>
        <v>10720</v>
      </c>
      <c r="P330" s="10">
        <f t="shared" si="49"/>
        <v>0.89756097560975612</v>
      </c>
      <c r="Q330" s="10">
        <f t="shared" si="50"/>
        <v>5.9782608695652176E-2</v>
      </c>
      <c r="R330" s="10">
        <f t="shared" si="51"/>
        <v>0.25818882466281312</v>
      </c>
      <c r="S330" s="18">
        <f t="shared" si="52"/>
        <v>89.017341040462426</v>
      </c>
      <c r="T330" s="8">
        <f>480-ProductionData[[#This Row],[Downtime Minutes]]</f>
        <v>422</v>
      </c>
      <c r="U330" s="11">
        <f t="shared" si="53"/>
        <v>0.87203791469194314</v>
      </c>
      <c r="V330" s="18">
        <f>ProductionData[[#This Row],[Profit]]/ProductionData[[#This Row],[Good Units]]</f>
        <v>30.982658959537574</v>
      </c>
      <c r="W330" s="11">
        <f>ProductionData[[#This Row],[Good Units]]/ProductionData[[#This Row],[Operating Minutes]]</f>
        <v>0.81990521327014221</v>
      </c>
    </row>
    <row r="331" spans="1:23">
      <c r="A331" s="7">
        <v>46240</v>
      </c>
      <c r="B331" s="8" t="s">
        <v>29</v>
      </c>
      <c r="C331" s="8" t="s">
        <v>27</v>
      </c>
      <c r="D331" s="8" t="s">
        <v>25</v>
      </c>
      <c r="E331" s="8" t="s">
        <v>26</v>
      </c>
      <c r="F331" s="9">
        <v>490</v>
      </c>
      <c r="G331" s="9">
        <v>409</v>
      </c>
      <c r="H331" s="9">
        <v>27</v>
      </c>
      <c r="I331" s="9">
        <f t="shared" si="45"/>
        <v>382</v>
      </c>
      <c r="J331" s="9">
        <v>58</v>
      </c>
      <c r="K331" s="10">
        <f t="shared" si="46"/>
        <v>0.12083333333333333</v>
      </c>
      <c r="L331" s="17">
        <v>90</v>
      </c>
      <c r="M331" s="17">
        <v>30800</v>
      </c>
      <c r="N331" s="17">
        <f t="shared" si="47"/>
        <v>34380</v>
      </c>
      <c r="O331" s="17">
        <f t="shared" si="48"/>
        <v>3580</v>
      </c>
      <c r="P331" s="10">
        <f t="shared" si="49"/>
        <v>0.83469387755102042</v>
      </c>
      <c r="Q331" s="10">
        <f t="shared" si="50"/>
        <v>6.6014669926650366E-2</v>
      </c>
      <c r="R331" s="10">
        <f t="shared" si="51"/>
        <v>0.10413030831879</v>
      </c>
      <c r="S331" s="18">
        <f t="shared" si="52"/>
        <v>80.6282722513089</v>
      </c>
      <c r="T331" s="8">
        <f>480-ProductionData[[#This Row],[Downtime Minutes]]</f>
        <v>422</v>
      </c>
      <c r="U331" s="11">
        <f t="shared" si="53"/>
        <v>0.96919431279620849</v>
      </c>
      <c r="V331" s="18">
        <f>ProductionData[[#This Row],[Profit]]/ProductionData[[#This Row],[Good Units]]</f>
        <v>9.3717277486911001</v>
      </c>
      <c r="W331" s="11">
        <f>ProductionData[[#This Row],[Good Units]]/ProductionData[[#This Row],[Operating Minutes]]</f>
        <v>0.90521327014218012</v>
      </c>
    </row>
    <row r="332" spans="1:23">
      <c r="A332" s="7">
        <v>46240</v>
      </c>
      <c r="B332" s="8" t="s">
        <v>29</v>
      </c>
      <c r="C332" s="8" t="s">
        <v>28</v>
      </c>
      <c r="D332" s="8" t="s">
        <v>21</v>
      </c>
      <c r="E332" s="8" t="s">
        <v>24</v>
      </c>
      <c r="F332" s="9">
        <v>390</v>
      </c>
      <c r="G332" s="9">
        <v>367</v>
      </c>
      <c r="H332" s="9">
        <v>6</v>
      </c>
      <c r="I332" s="9">
        <f t="shared" si="45"/>
        <v>361</v>
      </c>
      <c r="J332" s="9">
        <v>11</v>
      </c>
      <c r="K332" s="10">
        <f t="shared" si="46"/>
        <v>2.2916666666666665E-2</v>
      </c>
      <c r="L332" s="17">
        <v>120</v>
      </c>
      <c r="M332" s="17">
        <v>30800</v>
      </c>
      <c r="N332" s="17">
        <f t="shared" si="47"/>
        <v>43320</v>
      </c>
      <c r="O332" s="17">
        <f t="shared" si="48"/>
        <v>12520</v>
      </c>
      <c r="P332" s="10">
        <f t="shared" si="49"/>
        <v>0.94102564102564101</v>
      </c>
      <c r="Q332" s="10">
        <f t="shared" si="50"/>
        <v>1.6348773841961851E-2</v>
      </c>
      <c r="R332" s="10">
        <f t="shared" si="51"/>
        <v>0.28901200369344415</v>
      </c>
      <c r="S332" s="18">
        <f t="shared" si="52"/>
        <v>85.31855955678671</v>
      </c>
      <c r="T332" s="8">
        <f>480-ProductionData[[#This Row],[Downtime Minutes]]</f>
        <v>469</v>
      </c>
      <c r="U332" s="11">
        <f t="shared" si="53"/>
        <v>0.78251599147121531</v>
      </c>
      <c r="V332" s="18">
        <f>ProductionData[[#This Row],[Profit]]/ProductionData[[#This Row],[Good Units]]</f>
        <v>34.681440443213297</v>
      </c>
      <c r="W332" s="11">
        <f>ProductionData[[#This Row],[Good Units]]/ProductionData[[#This Row],[Operating Minutes]]</f>
        <v>0.76972281449893387</v>
      </c>
    </row>
    <row r="333" spans="1:23">
      <c r="A333" s="7">
        <v>46240</v>
      </c>
      <c r="B333" s="8" t="s">
        <v>29</v>
      </c>
      <c r="C333" s="8" t="s">
        <v>28</v>
      </c>
      <c r="D333" s="8" t="s">
        <v>23</v>
      </c>
      <c r="E333" s="8" t="s">
        <v>26</v>
      </c>
      <c r="F333" s="9">
        <v>520</v>
      </c>
      <c r="G333" s="9">
        <v>498</v>
      </c>
      <c r="H333" s="9">
        <v>19</v>
      </c>
      <c r="I333" s="9">
        <f t="shared" si="45"/>
        <v>479</v>
      </c>
      <c r="J333" s="9">
        <v>29</v>
      </c>
      <c r="K333" s="10">
        <f t="shared" si="46"/>
        <v>6.0416666666666667E-2</v>
      </c>
      <c r="L333" s="17">
        <v>90</v>
      </c>
      <c r="M333" s="17">
        <v>30800</v>
      </c>
      <c r="N333" s="17">
        <f t="shared" si="47"/>
        <v>43110</v>
      </c>
      <c r="O333" s="17">
        <f t="shared" si="48"/>
        <v>12310</v>
      </c>
      <c r="P333" s="10">
        <f t="shared" si="49"/>
        <v>0.95769230769230773</v>
      </c>
      <c r="Q333" s="10">
        <f t="shared" si="50"/>
        <v>3.8152610441767071E-2</v>
      </c>
      <c r="R333" s="10">
        <f t="shared" si="51"/>
        <v>0.28554859661331478</v>
      </c>
      <c r="S333" s="18">
        <f t="shared" si="52"/>
        <v>64.300626304801668</v>
      </c>
      <c r="T333" s="8">
        <f>480-ProductionData[[#This Row],[Downtime Minutes]]</f>
        <v>451</v>
      </c>
      <c r="U333" s="11">
        <f t="shared" si="53"/>
        <v>1.1042128603104213</v>
      </c>
      <c r="V333" s="18">
        <f>ProductionData[[#This Row],[Profit]]/ProductionData[[#This Row],[Good Units]]</f>
        <v>25.699373695198329</v>
      </c>
      <c r="W333" s="11">
        <f>ProductionData[[#This Row],[Good Units]]/ProductionData[[#This Row],[Operating Minutes]]</f>
        <v>1.0620842572062084</v>
      </c>
    </row>
    <row r="334" spans="1:23">
      <c r="A334" s="7">
        <v>46240</v>
      </c>
      <c r="B334" s="8" t="s">
        <v>29</v>
      </c>
      <c r="C334" s="8" t="s">
        <v>28</v>
      </c>
      <c r="D334" s="8" t="s">
        <v>25</v>
      </c>
      <c r="E334" s="8" t="s">
        <v>22</v>
      </c>
      <c r="F334" s="9">
        <v>440</v>
      </c>
      <c r="G334" s="9">
        <v>415</v>
      </c>
      <c r="H334" s="9">
        <v>19</v>
      </c>
      <c r="I334" s="9">
        <f t="shared" si="45"/>
        <v>396</v>
      </c>
      <c r="J334" s="9">
        <v>39</v>
      </c>
      <c r="K334" s="10">
        <f t="shared" si="46"/>
        <v>8.1250000000000003E-2</v>
      </c>
      <c r="L334" s="17">
        <v>100</v>
      </c>
      <c r="M334" s="17">
        <v>30800</v>
      </c>
      <c r="N334" s="17">
        <f t="shared" si="47"/>
        <v>39600</v>
      </c>
      <c r="O334" s="17">
        <f t="shared" si="48"/>
        <v>8800</v>
      </c>
      <c r="P334" s="10">
        <f t="shared" si="49"/>
        <v>0.94318181818181823</v>
      </c>
      <c r="Q334" s="10">
        <f t="shared" si="50"/>
        <v>4.5783132530120479E-2</v>
      </c>
      <c r="R334" s="10">
        <f t="shared" si="51"/>
        <v>0.22222222222222221</v>
      </c>
      <c r="S334" s="18">
        <f t="shared" si="52"/>
        <v>77.777777777777771</v>
      </c>
      <c r="T334" s="8">
        <f>480-ProductionData[[#This Row],[Downtime Minutes]]</f>
        <v>441</v>
      </c>
      <c r="U334" s="11">
        <f t="shared" si="53"/>
        <v>0.94104308390022673</v>
      </c>
      <c r="V334" s="18">
        <f>ProductionData[[#This Row],[Profit]]/ProductionData[[#This Row],[Good Units]]</f>
        <v>22.222222222222221</v>
      </c>
      <c r="W334" s="11">
        <f>ProductionData[[#This Row],[Good Units]]/ProductionData[[#This Row],[Operating Minutes]]</f>
        <v>0.89795918367346939</v>
      </c>
    </row>
    <row r="335" spans="1:23">
      <c r="A335" s="7">
        <v>46241</v>
      </c>
      <c r="B335" s="8" t="s">
        <v>29</v>
      </c>
      <c r="C335" s="8" t="s">
        <v>20</v>
      </c>
      <c r="D335" s="8" t="s">
        <v>21</v>
      </c>
      <c r="E335" s="8" t="s">
        <v>22</v>
      </c>
      <c r="F335" s="9">
        <v>460</v>
      </c>
      <c r="G335" s="9">
        <v>430</v>
      </c>
      <c r="H335" s="9">
        <v>16</v>
      </c>
      <c r="I335" s="9">
        <f t="shared" si="45"/>
        <v>414</v>
      </c>
      <c r="J335" s="9">
        <v>34</v>
      </c>
      <c r="K335" s="10">
        <f t="shared" si="46"/>
        <v>7.0833333333333331E-2</v>
      </c>
      <c r="L335" s="17">
        <v>100</v>
      </c>
      <c r="M335" s="17">
        <v>30800</v>
      </c>
      <c r="N335" s="17">
        <f t="shared" si="47"/>
        <v>41400</v>
      </c>
      <c r="O335" s="17">
        <f t="shared" si="48"/>
        <v>10600</v>
      </c>
      <c r="P335" s="10">
        <f t="shared" si="49"/>
        <v>0.93478260869565222</v>
      </c>
      <c r="Q335" s="10">
        <f t="shared" si="50"/>
        <v>3.7209302325581395E-2</v>
      </c>
      <c r="R335" s="10">
        <f t="shared" si="51"/>
        <v>0.2560386473429952</v>
      </c>
      <c r="S335" s="18">
        <f t="shared" si="52"/>
        <v>74.39613526570048</v>
      </c>
      <c r="T335" s="8">
        <f>480-ProductionData[[#This Row],[Downtime Minutes]]</f>
        <v>446</v>
      </c>
      <c r="U335" s="11">
        <f t="shared" si="53"/>
        <v>0.9641255605381166</v>
      </c>
      <c r="V335" s="18">
        <f>ProductionData[[#This Row],[Profit]]/ProductionData[[#This Row],[Good Units]]</f>
        <v>25.603864734299517</v>
      </c>
      <c r="W335" s="11">
        <f>ProductionData[[#This Row],[Good Units]]/ProductionData[[#This Row],[Operating Minutes]]</f>
        <v>0.9282511210762332</v>
      </c>
    </row>
    <row r="336" spans="1:23">
      <c r="A336" s="7">
        <v>46241</v>
      </c>
      <c r="B336" s="8" t="s">
        <v>29</v>
      </c>
      <c r="C336" s="8" t="s">
        <v>20</v>
      </c>
      <c r="D336" s="8" t="s">
        <v>23</v>
      </c>
      <c r="E336" s="8" t="s">
        <v>24</v>
      </c>
      <c r="F336" s="9">
        <v>410</v>
      </c>
      <c r="G336" s="9">
        <v>390</v>
      </c>
      <c r="H336" s="9">
        <v>15</v>
      </c>
      <c r="I336" s="9">
        <f t="shared" si="45"/>
        <v>375</v>
      </c>
      <c r="J336" s="9">
        <v>37</v>
      </c>
      <c r="K336" s="10">
        <f t="shared" si="46"/>
        <v>7.7083333333333337E-2</v>
      </c>
      <c r="L336" s="17">
        <v>120</v>
      </c>
      <c r="M336" s="17">
        <v>30800</v>
      </c>
      <c r="N336" s="17">
        <f t="shared" si="47"/>
        <v>45000</v>
      </c>
      <c r="O336" s="17">
        <f t="shared" si="48"/>
        <v>14200</v>
      </c>
      <c r="P336" s="10">
        <f t="shared" si="49"/>
        <v>0.95121951219512191</v>
      </c>
      <c r="Q336" s="10">
        <f t="shared" si="50"/>
        <v>3.8461538461538464E-2</v>
      </c>
      <c r="R336" s="10">
        <f t="shared" si="51"/>
        <v>0.31555555555555553</v>
      </c>
      <c r="S336" s="18">
        <f t="shared" si="52"/>
        <v>82.13333333333334</v>
      </c>
      <c r="T336" s="8">
        <f>480-ProductionData[[#This Row],[Downtime Minutes]]</f>
        <v>443</v>
      </c>
      <c r="U336" s="11">
        <f t="shared" si="53"/>
        <v>0.88036117381489842</v>
      </c>
      <c r="V336" s="18">
        <f>ProductionData[[#This Row],[Profit]]/ProductionData[[#This Row],[Good Units]]</f>
        <v>37.866666666666667</v>
      </c>
      <c r="W336" s="11">
        <f>ProductionData[[#This Row],[Good Units]]/ProductionData[[#This Row],[Operating Minutes]]</f>
        <v>0.84650112866817151</v>
      </c>
    </row>
    <row r="337" spans="1:23">
      <c r="A337" s="7">
        <v>46241</v>
      </c>
      <c r="B337" s="8" t="s">
        <v>29</v>
      </c>
      <c r="C337" s="8" t="s">
        <v>20</v>
      </c>
      <c r="D337" s="8" t="s">
        <v>25</v>
      </c>
      <c r="E337" s="8" t="s">
        <v>26</v>
      </c>
      <c r="F337" s="9">
        <v>520</v>
      </c>
      <c r="G337" s="9">
        <v>471</v>
      </c>
      <c r="H337" s="9">
        <v>21</v>
      </c>
      <c r="I337" s="9">
        <f t="shared" si="45"/>
        <v>450</v>
      </c>
      <c r="J337" s="9">
        <v>42</v>
      </c>
      <c r="K337" s="10">
        <f t="shared" si="46"/>
        <v>8.7499999999999994E-2</v>
      </c>
      <c r="L337" s="17">
        <v>90</v>
      </c>
      <c r="M337" s="17">
        <v>30800</v>
      </c>
      <c r="N337" s="17">
        <f t="shared" si="47"/>
        <v>40500</v>
      </c>
      <c r="O337" s="17">
        <f t="shared" si="48"/>
        <v>9700</v>
      </c>
      <c r="P337" s="10">
        <f t="shared" si="49"/>
        <v>0.90576923076923077</v>
      </c>
      <c r="Q337" s="10">
        <f t="shared" si="50"/>
        <v>4.4585987261146494E-2</v>
      </c>
      <c r="R337" s="10">
        <f t="shared" si="51"/>
        <v>0.23950617283950618</v>
      </c>
      <c r="S337" s="18">
        <f t="shared" si="52"/>
        <v>68.444444444444443</v>
      </c>
      <c r="T337" s="8">
        <f>480-ProductionData[[#This Row],[Downtime Minutes]]</f>
        <v>438</v>
      </c>
      <c r="U337" s="11">
        <f t="shared" si="53"/>
        <v>1.0753424657534247</v>
      </c>
      <c r="V337" s="18">
        <f>ProductionData[[#This Row],[Profit]]/ProductionData[[#This Row],[Good Units]]</f>
        <v>21.555555555555557</v>
      </c>
      <c r="W337" s="11">
        <f>ProductionData[[#This Row],[Good Units]]/ProductionData[[#This Row],[Operating Minutes]]</f>
        <v>1.0273972602739727</v>
      </c>
    </row>
    <row r="338" spans="1:23">
      <c r="A338" s="7">
        <v>46241</v>
      </c>
      <c r="B338" s="8" t="s">
        <v>29</v>
      </c>
      <c r="C338" s="8" t="s">
        <v>27</v>
      </c>
      <c r="D338" s="8" t="s">
        <v>21</v>
      </c>
      <c r="E338" s="8" t="s">
        <v>24</v>
      </c>
      <c r="F338" s="9">
        <v>410</v>
      </c>
      <c r="G338" s="9">
        <v>373</v>
      </c>
      <c r="H338" s="9">
        <v>15</v>
      </c>
      <c r="I338" s="9">
        <f t="shared" si="45"/>
        <v>358</v>
      </c>
      <c r="J338" s="9">
        <v>55</v>
      </c>
      <c r="K338" s="10">
        <f t="shared" si="46"/>
        <v>0.11458333333333333</v>
      </c>
      <c r="L338" s="17">
        <v>120</v>
      </c>
      <c r="M338" s="17">
        <v>30800</v>
      </c>
      <c r="N338" s="17">
        <f t="shared" si="47"/>
        <v>42960</v>
      </c>
      <c r="O338" s="17">
        <f t="shared" si="48"/>
        <v>12160</v>
      </c>
      <c r="P338" s="10">
        <f t="shared" si="49"/>
        <v>0.90975609756097564</v>
      </c>
      <c r="Q338" s="10">
        <f t="shared" si="50"/>
        <v>4.0214477211796246E-2</v>
      </c>
      <c r="R338" s="10">
        <f t="shared" si="51"/>
        <v>0.28305400372439476</v>
      </c>
      <c r="S338" s="18">
        <f t="shared" si="52"/>
        <v>86.033519553072622</v>
      </c>
      <c r="T338" s="8">
        <f>480-ProductionData[[#This Row],[Downtime Minutes]]</f>
        <v>425</v>
      </c>
      <c r="U338" s="11">
        <f t="shared" si="53"/>
        <v>0.87764705882352945</v>
      </c>
      <c r="V338" s="18">
        <f>ProductionData[[#This Row],[Profit]]/ProductionData[[#This Row],[Good Units]]</f>
        <v>33.966480446927378</v>
      </c>
      <c r="W338" s="11">
        <f>ProductionData[[#This Row],[Good Units]]/ProductionData[[#This Row],[Operating Minutes]]</f>
        <v>0.84235294117647064</v>
      </c>
    </row>
    <row r="339" spans="1:23">
      <c r="A339" s="7">
        <v>46241</v>
      </c>
      <c r="B339" s="8" t="s">
        <v>29</v>
      </c>
      <c r="C339" s="8" t="s">
        <v>27</v>
      </c>
      <c r="D339" s="8" t="s">
        <v>23</v>
      </c>
      <c r="E339" s="8" t="s">
        <v>26</v>
      </c>
      <c r="F339" s="9">
        <v>500</v>
      </c>
      <c r="G339" s="9">
        <v>438</v>
      </c>
      <c r="H339" s="9">
        <v>21</v>
      </c>
      <c r="I339" s="9">
        <f t="shared" si="45"/>
        <v>417</v>
      </c>
      <c r="J339" s="9">
        <v>59</v>
      </c>
      <c r="K339" s="10">
        <f t="shared" si="46"/>
        <v>0.12291666666666666</v>
      </c>
      <c r="L339" s="17">
        <v>90</v>
      </c>
      <c r="M339" s="17">
        <v>30800</v>
      </c>
      <c r="N339" s="17">
        <f t="shared" si="47"/>
        <v>37530</v>
      </c>
      <c r="O339" s="17">
        <f t="shared" si="48"/>
        <v>6730</v>
      </c>
      <c r="P339" s="10">
        <f t="shared" si="49"/>
        <v>0.876</v>
      </c>
      <c r="Q339" s="10">
        <f t="shared" si="50"/>
        <v>4.7945205479452052E-2</v>
      </c>
      <c r="R339" s="10">
        <f t="shared" si="51"/>
        <v>0.17932320810018651</v>
      </c>
      <c r="S339" s="18">
        <f t="shared" si="52"/>
        <v>73.860911270983209</v>
      </c>
      <c r="T339" s="8">
        <f>480-ProductionData[[#This Row],[Downtime Minutes]]</f>
        <v>421</v>
      </c>
      <c r="U339" s="11">
        <f t="shared" si="53"/>
        <v>1.0403800475059382</v>
      </c>
      <c r="V339" s="18">
        <f>ProductionData[[#This Row],[Profit]]/ProductionData[[#This Row],[Good Units]]</f>
        <v>16.139088729016787</v>
      </c>
      <c r="W339" s="11">
        <f>ProductionData[[#This Row],[Good Units]]/ProductionData[[#This Row],[Operating Minutes]]</f>
        <v>0.99049881235154391</v>
      </c>
    </row>
    <row r="340" spans="1:23">
      <c r="A340" s="7">
        <v>46241</v>
      </c>
      <c r="B340" s="8" t="s">
        <v>29</v>
      </c>
      <c r="C340" s="8" t="s">
        <v>27</v>
      </c>
      <c r="D340" s="8" t="s">
        <v>25</v>
      </c>
      <c r="E340" s="8" t="s">
        <v>22</v>
      </c>
      <c r="F340" s="9">
        <v>440</v>
      </c>
      <c r="G340" s="9">
        <v>379</v>
      </c>
      <c r="H340" s="9">
        <v>28</v>
      </c>
      <c r="I340" s="9">
        <f t="shared" si="45"/>
        <v>351</v>
      </c>
      <c r="J340" s="9">
        <v>76</v>
      </c>
      <c r="K340" s="10">
        <f t="shared" si="46"/>
        <v>0.15833333333333333</v>
      </c>
      <c r="L340" s="17">
        <v>100</v>
      </c>
      <c r="M340" s="17">
        <v>30800</v>
      </c>
      <c r="N340" s="17">
        <f t="shared" si="47"/>
        <v>35100</v>
      </c>
      <c r="O340" s="17">
        <f t="shared" si="48"/>
        <v>4300</v>
      </c>
      <c r="P340" s="10">
        <f t="shared" si="49"/>
        <v>0.86136363636363633</v>
      </c>
      <c r="Q340" s="10">
        <f t="shared" si="50"/>
        <v>7.3878627968337732E-2</v>
      </c>
      <c r="R340" s="10">
        <f t="shared" si="51"/>
        <v>0.12250712250712251</v>
      </c>
      <c r="S340" s="18">
        <f t="shared" si="52"/>
        <v>87.749287749287745</v>
      </c>
      <c r="T340" s="8">
        <f>480-ProductionData[[#This Row],[Downtime Minutes]]</f>
        <v>404</v>
      </c>
      <c r="U340" s="11">
        <f t="shared" si="53"/>
        <v>0.93811881188118806</v>
      </c>
      <c r="V340" s="18">
        <f>ProductionData[[#This Row],[Profit]]/ProductionData[[#This Row],[Good Units]]</f>
        <v>12.250712250712251</v>
      </c>
      <c r="W340" s="11">
        <f>ProductionData[[#This Row],[Good Units]]/ProductionData[[#This Row],[Operating Minutes]]</f>
        <v>0.86881188118811881</v>
      </c>
    </row>
    <row r="341" spans="1:23">
      <c r="A341" s="7">
        <v>46241</v>
      </c>
      <c r="B341" s="8" t="s">
        <v>29</v>
      </c>
      <c r="C341" s="8" t="s">
        <v>28</v>
      </c>
      <c r="D341" s="8" t="s">
        <v>21</v>
      </c>
      <c r="E341" s="8" t="s">
        <v>26</v>
      </c>
      <c r="F341" s="9">
        <v>490</v>
      </c>
      <c r="G341" s="9">
        <v>460</v>
      </c>
      <c r="H341" s="9">
        <v>15</v>
      </c>
      <c r="I341" s="9">
        <f t="shared" si="45"/>
        <v>445</v>
      </c>
      <c r="J341" s="9">
        <v>16</v>
      </c>
      <c r="K341" s="10">
        <f t="shared" si="46"/>
        <v>3.3333333333333333E-2</v>
      </c>
      <c r="L341" s="17">
        <v>90</v>
      </c>
      <c r="M341" s="17">
        <v>30800</v>
      </c>
      <c r="N341" s="17">
        <f t="shared" si="47"/>
        <v>40050</v>
      </c>
      <c r="O341" s="17">
        <f t="shared" si="48"/>
        <v>9250</v>
      </c>
      <c r="P341" s="10">
        <f t="shared" si="49"/>
        <v>0.93877551020408168</v>
      </c>
      <c r="Q341" s="10">
        <f t="shared" si="50"/>
        <v>3.2608695652173912E-2</v>
      </c>
      <c r="R341" s="10">
        <f t="shared" si="51"/>
        <v>0.23096129837702872</v>
      </c>
      <c r="S341" s="18">
        <f t="shared" si="52"/>
        <v>69.213483146067418</v>
      </c>
      <c r="T341" s="8">
        <f>480-ProductionData[[#This Row],[Downtime Minutes]]</f>
        <v>464</v>
      </c>
      <c r="U341" s="11">
        <f t="shared" si="53"/>
        <v>0.99137931034482762</v>
      </c>
      <c r="V341" s="18">
        <f>ProductionData[[#This Row],[Profit]]/ProductionData[[#This Row],[Good Units]]</f>
        <v>20.786516853932586</v>
      </c>
      <c r="W341" s="11">
        <f>ProductionData[[#This Row],[Good Units]]/ProductionData[[#This Row],[Operating Minutes]]</f>
        <v>0.95905172413793105</v>
      </c>
    </row>
    <row r="342" spans="1:23">
      <c r="A342" s="7">
        <v>46241</v>
      </c>
      <c r="B342" s="8" t="s">
        <v>29</v>
      </c>
      <c r="C342" s="8" t="s">
        <v>28</v>
      </c>
      <c r="D342" s="8" t="s">
        <v>23</v>
      </c>
      <c r="E342" s="8" t="s">
        <v>22</v>
      </c>
      <c r="F342" s="9">
        <v>470</v>
      </c>
      <c r="G342" s="9">
        <v>443</v>
      </c>
      <c r="H342" s="9">
        <v>22</v>
      </c>
      <c r="I342" s="9">
        <f t="shared" si="45"/>
        <v>421</v>
      </c>
      <c r="J342" s="9">
        <v>23</v>
      </c>
      <c r="K342" s="10">
        <f t="shared" si="46"/>
        <v>4.791666666666667E-2</v>
      </c>
      <c r="L342" s="17">
        <v>100</v>
      </c>
      <c r="M342" s="17">
        <v>30800</v>
      </c>
      <c r="N342" s="17">
        <f t="shared" si="47"/>
        <v>42100</v>
      </c>
      <c r="O342" s="17">
        <f t="shared" si="48"/>
        <v>11300</v>
      </c>
      <c r="P342" s="10">
        <f t="shared" si="49"/>
        <v>0.94255319148936167</v>
      </c>
      <c r="Q342" s="10">
        <f t="shared" si="50"/>
        <v>4.9661399548532728E-2</v>
      </c>
      <c r="R342" s="10">
        <f t="shared" si="51"/>
        <v>0.26840855106888362</v>
      </c>
      <c r="S342" s="18">
        <f t="shared" si="52"/>
        <v>73.159144893111645</v>
      </c>
      <c r="T342" s="8">
        <f>480-ProductionData[[#This Row],[Downtime Minutes]]</f>
        <v>457</v>
      </c>
      <c r="U342" s="11">
        <f t="shared" si="53"/>
        <v>0.96936542669584247</v>
      </c>
      <c r="V342" s="18">
        <f>ProductionData[[#This Row],[Profit]]/ProductionData[[#This Row],[Good Units]]</f>
        <v>26.840855106888363</v>
      </c>
      <c r="W342" s="11">
        <f>ProductionData[[#This Row],[Good Units]]/ProductionData[[#This Row],[Operating Minutes]]</f>
        <v>0.92122538293216627</v>
      </c>
    </row>
    <row r="343" spans="1:23">
      <c r="A343" s="7">
        <v>46241</v>
      </c>
      <c r="B343" s="8" t="s">
        <v>29</v>
      </c>
      <c r="C343" s="8" t="s">
        <v>28</v>
      </c>
      <c r="D343" s="8" t="s">
        <v>25</v>
      </c>
      <c r="E343" s="8" t="s">
        <v>24</v>
      </c>
      <c r="F343" s="9">
        <v>410</v>
      </c>
      <c r="G343" s="9">
        <v>377</v>
      </c>
      <c r="H343" s="9">
        <v>13</v>
      </c>
      <c r="I343" s="9">
        <f t="shared" si="45"/>
        <v>364</v>
      </c>
      <c r="J343" s="9">
        <v>46</v>
      </c>
      <c r="K343" s="10">
        <f t="shared" si="46"/>
        <v>9.583333333333334E-2</v>
      </c>
      <c r="L343" s="17">
        <v>120</v>
      </c>
      <c r="M343" s="17">
        <v>30800</v>
      </c>
      <c r="N343" s="17">
        <f t="shared" si="47"/>
        <v>43680</v>
      </c>
      <c r="O343" s="17">
        <f t="shared" si="48"/>
        <v>12880</v>
      </c>
      <c r="P343" s="10">
        <f t="shared" si="49"/>
        <v>0.91951219512195126</v>
      </c>
      <c r="Q343" s="10">
        <f t="shared" si="50"/>
        <v>3.4482758620689655E-2</v>
      </c>
      <c r="R343" s="10">
        <f t="shared" si="51"/>
        <v>0.29487179487179488</v>
      </c>
      <c r="S343" s="18">
        <f t="shared" si="52"/>
        <v>84.615384615384613</v>
      </c>
      <c r="T343" s="8">
        <f>480-ProductionData[[#This Row],[Downtime Minutes]]</f>
        <v>434</v>
      </c>
      <c r="U343" s="11">
        <f t="shared" si="53"/>
        <v>0.86866359447004604</v>
      </c>
      <c r="V343" s="18">
        <f>ProductionData[[#This Row],[Profit]]/ProductionData[[#This Row],[Good Units]]</f>
        <v>35.384615384615387</v>
      </c>
      <c r="W343" s="11">
        <f>ProductionData[[#This Row],[Good Units]]/ProductionData[[#This Row],[Operating Minutes]]</f>
        <v>0.83870967741935487</v>
      </c>
    </row>
    <row r="344" spans="1:23">
      <c r="A344" s="7">
        <v>46242</v>
      </c>
      <c r="B344" s="8" t="s">
        <v>29</v>
      </c>
      <c r="C344" s="8" t="s">
        <v>20</v>
      </c>
      <c r="D344" s="8" t="s">
        <v>21</v>
      </c>
      <c r="E344" s="8" t="s">
        <v>24</v>
      </c>
      <c r="F344" s="9">
        <v>390</v>
      </c>
      <c r="G344" s="9">
        <v>357</v>
      </c>
      <c r="H344" s="9">
        <v>12</v>
      </c>
      <c r="I344" s="9">
        <f t="shared" si="45"/>
        <v>345</v>
      </c>
      <c r="J344" s="9">
        <v>39</v>
      </c>
      <c r="K344" s="10">
        <f t="shared" si="46"/>
        <v>8.1250000000000003E-2</v>
      </c>
      <c r="L344" s="17">
        <v>120</v>
      </c>
      <c r="M344" s="17">
        <v>30800</v>
      </c>
      <c r="N344" s="17">
        <f t="shared" si="47"/>
        <v>41400</v>
      </c>
      <c r="O344" s="17">
        <f t="shared" si="48"/>
        <v>10600</v>
      </c>
      <c r="P344" s="10">
        <f t="shared" si="49"/>
        <v>0.91538461538461535</v>
      </c>
      <c r="Q344" s="10">
        <f t="shared" si="50"/>
        <v>3.3613445378151259E-2</v>
      </c>
      <c r="R344" s="10">
        <f t="shared" si="51"/>
        <v>0.2560386473429952</v>
      </c>
      <c r="S344" s="18">
        <f t="shared" si="52"/>
        <v>89.275362318840578</v>
      </c>
      <c r="T344" s="8">
        <f>480-ProductionData[[#This Row],[Downtime Minutes]]</f>
        <v>441</v>
      </c>
      <c r="U344" s="11">
        <f t="shared" si="53"/>
        <v>0.80952380952380953</v>
      </c>
      <c r="V344" s="18">
        <f>ProductionData[[#This Row],[Profit]]/ProductionData[[#This Row],[Good Units]]</f>
        <v>30.724637681159422</v>
      </c>
      <c r="W344" s="11">
        <f>ProductionData[[#This Row],[Good Units]]/ProductionData[[#This Row],[Operating Minutes]]</f>
        <v>0.78231292517006801</v>
      </c>
    </row>
    <row r="345" spans="1:23">
      <c r="A345" s="7">
        <v>46242</v>
      </c>
      <c r="B345" s="8" t="s">
        <v>29</v>
      </c>
      <c r="C345" s="8" t="s">
        <v>20</v>
      </c>
      <c r="D345" s="8" t="s">
        <v>23</v>
      </c>
      <c r="E345" s="8" t="s">
        <v>26</v>
      </c>
      <c r="F345" s="9">
        <v>480</v>
      </c>
      <c r="G345" s="9">
        <v>436</v>
      </c>
      <c r="H345" s="9">
        <v>18</v>
      </c>
      <c r="I345" s="9">
        <f t="shared" si="45"/>
        <v>418</v>
      </c>
      <c r="J345" s="9">
        <v>31</v>
      </c>
      <c r="K345" s="10">
        <f t="shared" si="46"/>
        <v>6.458333333333334E-2</v>
      </c>
      <c r="L345" s="17">
        <v>90</v>
      </c>
      <c r="M345" s="17">
        <v>30800</v>
      </c>
      <c r="N345" s="17">
        <f t="shared" si="47"/>
        <v>37620</v>
      </c>
      <c r="O345" s="17">
        <f t="shared" si="48"/>
        <v>6820</v>
      </c>
      <c r="P345" s="10">
        <f t="shared" si="49"/>
        <v>0.90833333333333333</v>
      </c>
      <c r="Q345" s="10">
        <f t="shared" si="50"/>
        <v>4.1284403669724773E-2</v>
      </c>
      <c r="R345" s="10">
        <f t="shared" si="51"/>
        <v>0.18128654970760233</v>
      </c>
      <c r="S345" s="18">
        <f t="shared" si="52"/>
        <v>73.684210526315795</v>
      </c>
      <c r="T345" s="8">
        <f>480-ProductionData[[#This Row],[Downtime Minutes]]</f>
        <v>449</v>
      </c>
      <c r="U345" s="11">
        <f t="shared" si="53"/>
        <v>0.97104677060133626</v>
      </c>
      <c r="V345" s="18">
        <f>ProductionData[[#This Row],[Profit]]/ProductionData[[#This Row],[Good Units]]</f>
        <v>16.315789473684209</v>
      </c>
      <c r="W345" s="11">
        <f>ProductionData[[#This Row],[Good Units]]/ProductionData[[#This Row],[Operating Minutes]]</f>
        <v>0.93095768374164811</v>
      </c>
    </row>
    <row r="346" spans="1:23">
      <c r="A346" s="7">
        <v>46242</v>
      </c>
      <c r="B346" s="8" t="s">
        <v>29</v>
      </c>
      <c r="C346" s="8" t="s">
        <v>20</v>
      </c>
      <c r="D346" s="8" t="s">
        <v>25</v>
      </c>
      <c r="E346" s="8" t="s">
        <v>22</v>
      </c>
      <c r="F346" s="9">
        <v>450</v>
      </c>
      <c r="G346" s="9">
        <v>409</v>
      </c>
      <c r="H346" s="9">
        <v>24</v>
      </c>
      <c r="I346" s="9">
        <f t="shared" si="45"/>
        <v>385</v>
      </c>
      <c r="J346" s="9">
        <v>57</v>
      </c>
      <c r="K346" s="10">
        <f t="shared" si="46"/>
        <v>0.11874999999999999</v>
      </c>
      <c r="L346" s="17">
        <v>100</v>
      </c>
      <c r="M346" s="17">
        <v>30800</v>
      </c>
      <c r="N346" s="17">
        <f t="shared" si="47"/>
        <v>38500</v>
      </c>
      <c r="O346" s="17">
        <f t="shared" si="48"/>
        <v>7700</v>
      </c>
      <c r="P346" s="10">
        <f t="shared" si="49"/>
        <v>0.90888888888888886</v>
      </c>
      <c r="Q346" s="10">
        <f t="shared" si="50"/>
        <v>5.8679706601466992E-2</v>
      </c>
      <c r="R346" s="10">
        <f t="shared" si="51"/>
        <v>0.2</v>
      </c>
      <c r="S346" s="18">
        <f t="shared" si="52"/>
        <v>80</v>
      </c>
      <c r="T346" s="8">
        <f>480-ProductionData[[#This Row],[Downtime Minutes]]</f>
        <v>423</v>
      </c>
      <c r="U346" s="11">
        <f t="shared" si="53"/>
        <v>0.96690307328605196</v>
      </c>
      <c r="V346" s="18">
        <f>ProductionData[[#This Row],[Profit]]/ProductionData[[#This Row],[Good Units]]</f>
        <v>20</v>
      </c>
      <c r="W346" s="11">
        <f>ProductionData[[#This Row],[Good Units]]/ProductionData[[#This Row],[Operating Minutes]]</f>
        <v>0.91016548463356972</v>
      </c>
    </row>
    <row r="347" spans="1:23">
      <c r="A347" s="7">
        <v>46242</v>
      </c>
      <c r="B347" s="8" t="s">
        <v>29</v>
      </c>
      <c r="C347" s="8" t="s">
        <v>27</v>
      </c>
      <c r="D347" s="8" t="s">
        <v>21</v>
      </c>
      <c r="E347" s="8" t="s">
        <v>26</v>
      </c>
      <c r="F347" s="9">
        <v>520</v>
      </c>
      <c r="G347" s="9">
        <v>461</v>
      </c>
      <c r="H347" s="9">
        <v>25</v>
      </c>
      <c r="I347" s="9">
        <f t="shared" si="45"/>
        <v>436</v>
      </c>
      <c r="J347" s="9">
        <v>49</v>
      </c>
      <c r="K347" s="10">
        <f t="shared" si="46"/>
        <v>0.10208333333333333</v>
      </c>
      <c r="L347" s="17">
        <v>90</v>
      </c>
      <c r="M347" s="17">
        <v>30800</v>
      </c>
      <c r="N347" s="17">
        <f t="shared" si="47"/>
        <v>39240</v>
      </c>
      <c r="O347" s="17">
        <f t="shared" si="48"/>
        <v>8440</v>
      </c>
      <c r="P347" s="10">
        <f t="shared" si="49"/>
        <v>0.8865384615384615</v>
      </c>
      <c r="Q347" s="10">
        <f t="shared" si="50"/>
        <v>5.4229934924078092E-2</v>
      </c>
      <c r="R347" s="10">
        <f t="shared" si="51"/>
        <v>0.21508664627930682</v>
      </c>
      <c r="S347" s="18">
        <f t="shared" si="52"/>
        <v>70.642201834862391</v>
      </c>
      <c r="T347" s="8">
        <f>480-ProductionData[[#This Row],[Downtime Minutes]]</f>
        <v>431</v>
      </c>
      <c r="U347" s="11">
        <f t="shared" si="53"/>
        <v>1.0696055684454757</v>
      </c>
      <c r="V347" s="18">
        <f>ProductionData[[#This Row],[Profit]]/ProductionData[[#This Row],[Good Units]]</f>
        <v>19.357798165137616</v>
      </c>
      <c r="W347" s="11">
        <f>ProductionData[[#This Row],[Good Units]]/ProductionData[[#This Row],[Operating Minutes]]</f>
        <v>1.011600928074246</v>
      </c>
    </row>
    <row r="348" spans="1:23">
      <c r="A348" s="7">
        <v>46242</v>
      </c>
      <c r="B348" s="8" t="s">
        <v>29</v>
      </c>
      <c r="C348" s="8" t="s">
        <v>27</v>
      </c>
      <c r="D348" s="8" t="s">
        <v>23</v>
      </c>
      <c r="E348" s="8" t="s">
        <v>22</v>
      </c>
      <c r="F348" s="9">
        <v>450</v>
      </c>
      <c r="G348" s="9">
        <v>395</v>
      </c>
      <c r="H348" s="9">
        <v>27</v>
      </c>
      <c r="I348" s="9">
        <f t="shared" si="45"/>
        <v>368</v>
      </c>
      <c r="J348" s="9">
        <v>55</v>
      </c>
      <c r="K348" s="10">
        <f t="shared" si="46"/>
        <v>0.11458333333333333</v>
      </c>
      <c r="L348" s="17">
        <v>100</v>
      </c>
      <c r="M348" s="17">
        <v>30800</v>
      </c>
      <c r="N348" s="17">
        <f t="shared" si="47"/>
        <v>36800</v>
      </c>
      <c r="O348" s="17">
        <f t="shared" si="48"/>
        <v>6000</v>
      </c>
      <c r="P348" s="10">
        <f t="shared" si="49"/>
        <v>0.87777777777777777</v>
      </c>
      <c r="Q348" s="10">
        <f t="shared" si="50"/>
        <v>6.8354430379746839E-2</v>
      </c>
      <c r="R348" s="10">
        <f t="shared" si="51"/>
        <v>0.16304347826086957</v>
      </c>
      <c r="S348" s="18">
        <f t="shared" si="52"/>
        <v>83.695652173913047</v>
      </c>
      <c r="T348" s="8">
        <f>480-ProductionData[[#This Row],[Downtime Minutes]]</f>
        <v>425</v>
      </c>
      <c r="U348" s="11">
        <f t="shared" si="53"/>
        <v>0.92941176470588238</v>
      </c>
      <c r="V348" s="18">
        <f>ProductionData[[#This Row],[Profit]]/ProductionData[[#This Row],[Good Units]]</f>
        <v>16.304347826086957</v>
      </c>
      <c r="W348" s="11">
        <f>ProductionData[[#This Row],[Good Units]]/ProductionData[[#This Row],[Operating Minutes]]</f>
        <v>0.86588235294117644</v>
      </c>
    </row>
    <row r="349" spans="1:23">
      <c r="A349" s="7">
        <v>46242</v>
      </c>
      <c r="B349" s="8" t="s">
        <v>29</v>
      </c>
      <c r="C349" s="8" t="s">
        <v>27</v>
      </c>
      <c r="D349" s="8" t="s">
        <v>25</v>
      </c>
      <c r="E349" s="8" t="s">
        <v>24</v>
      </c>
      <c r="F349" s="9">
        <v>380</v>
      </c>
      <c r="G349" s="9">
        <v>318</v>
      </c>
      <c r="H349" s="9">
        <v>19</v>
      </c>
      <c r="I349" s="9">
        <f t="shared" si="45"/>
        <v>299</v>
      </c>
      <c r="J349" s="9">
        <v>66</v>
      </c>
      <c r="K349" s="10">
        <f t="shared" si="46"/>
        <v>0.13750000000000001</v>
      </c>
      <c r="L349" s="17">
        <v>120</v>
      </c>
      <c r="M349" s="17">
        <v>30800</v>
      </c>
      <c r="N349" s="17">
        <f t="shared" si="47"/>
        <v>35880</v>
      </c>
      <c r="O349" s="17">
        <f t="shared" si="48"/>
        <v>5080</v>
      </c>
      <c r="P349" s="10">
        <f t="shared" si="49"/>
        <v>0.83684210526315794</v>
      </c>
      <c r="Q349" s="10">
        <f t="shared" si="50"/>
        <v>5.9748427672955975E-2</v>
      </c>
      <c r="R349" s="10">
        <f t="shared" si="51"/>
        <v>0.14158305462653289</v>
      </c>
      <c r="S349" s="18">
        <f t="shared" si="52"/>
        <v>103.01003344481606</v>
      </c>
      <c r="T349" s="8">
        <f>480-ProductionData[[#This Row],[Downtime Minutes]]</f>
        <v>414</v>
      </c>
      <c r="U349" s="11">
        <f t="shared" si="53"/>
        <v>0.76811594202898548</v>
      </c>
      <c r="V349" s="18">
        <f>ProductionData[[#This Row],[Profit]]/ProductionData[[#This Row],[Good Units]]</f>
        <v>16.989966555183948</v>
      </c>
      <c r="W349" s="11">
        <f>ProductionData[[#This Row],[Good Units]]/ProductionData[[#This Row],[Operating Minutes]]</f>
        <v>0.72222222222222221</v>
      </c>
    </row>
    <row r="350" spans="1:23">
      <c r="A350" s="7">
        <v>46242</v>
      </c>
      <c r="B350" s="8" t="s">
        <v>29</v>
      </c>
      <c r="C350" s="8" t="s">
        <v>28</v>
      </c>
      <c r="D350" s="8" t="s">
        <v>21</v>
      </c>
      <c r="E350" s="8" t="s">
        <v>22</v>
      </c>
      <c r="F350" s="9">
        <v>440</v>
      </c>
      <c r="G350" s="9">
        <v>418</v>
      </c>
      <c r="H350" s="9">
        <v>16</v>
      </c>
      <c r="I350" s="9">
        <f t="shared" si="45"/>
        <v>402</v>
      </c>
      <c r="J350" s="9">
        <v>34</v>
      </c>
      <c r="K350" s="10">
        <f t="shared" si="46"/>
        <v>7.0833333333333331E-2</v>
      </c>
      <c r="L350" s="17">
        <v>100</v>
      </c>
      <c r="M350" s="17">
        <v>30800</v>
      </c>
      <c r="N350" s="17">
        <f t="shared" si="47"/>
        <v>40200</v>
      </c>
      <c r="O350" s="17">
        <f t="shared" si="48"/>
        <v>9400</v>
      </c>
      <c r="P350" s="10">
        <f t="shared" si="49"/>
        <v>0.95</v>
      </c>
      <c r="Q350" s="10">
        <f t="shared" si="50"/>
        <v>3.8277511961722487E-2</v>
      </c>
      <c r="R350" s="10">
        <f t="shared" si="51"/>
        <v>0.23383084577114427</v>
      </c>
      <c r="S350" s="18">
        <f t="shared" si="52"/>
        <v>76.616915422885569</v>
      </c>
      <c r="T350" s="8">
        <f>480-ProductionData[[#This Row],[Downtime Minutes]]</f>
        <v>446</v>
      </c>
      <c r="U350" s="11">
        <f t="shared" si="53"/>
        <v>0.93721973094170408</v>
      </c>
      <c r="V350" s="18">
        <f>ProductionData[[#This Row],[Profit]]/ProductionData[[#This Row],[Good Units]]</f>
        <v>23.383084577114428</v>
      </c>
      <c r="W350" s="11">
        <f>ProductionData[[#This Row],[Good Units]]/ProductionData[[#This Row],[Operating Minutes]]</f>
        <v>0.90134529147982068</v>
      </c>
    </row>
    <row r="351" spans="1:23">
      <c r="A351" s="7">
        <v>46242</v>
      </c>
      <c r="B351" s="8" t="s">
        <v>29</v>
      </c>
      <c r="C351" s="8" t="s">
        <v>28</v>
      </c>
      <c r="D351" s="8" t="s">
        <v>23</v>
      </c>
      <c r="E351" s="8" t="s">
        <v>24</v>
      </c>
      <c r="F351" s="9">
        <v>410</v>
      </c>
      <c r="G351" s="9">
        <v>404</v>
      </c>
      <c r="H351" s="9">
        <v>9</v>
      </c>
      <c r="I351" s="9">
        <f t="shared" si="45"/>
        <v>395</v>
      </c>
      <c r="J351" s="9">
        <v>21</v>
      </c>
      <c r="K351" s="10">
        <f t="shared" si="46"/>
        <v>4.3749999999999997E-2</v>
      </c>
      <c r="L351" s="17">
        <v>120</v>
      </c>
      <c r="M351" s="17">
        <v>30800</v>
      </c>
      <c r="N351" s="17">
        <f t="shared" si="47"/>
        <v>47400</v>
      </c>
      <c r="O351" s="17">
        <f t="shared" si="48"/>
        <v>16600</v>
      </c>
      <c r="P351" s="10">
        <f t="shared" si="49"/>
        <v>0.98536585365853657</v>
      </c>
      <c r="Q351" s="10">
        <f t="shared" si="50"/>
        <v>2.2277227722772276E-2</v>
      </c>
      <c r="R351" s="10">
        <f t="shared" si="51"/>
        <v>0.35021097046413502</v>
      </c>
      <c r="S351" s="18">
        <f t="shared" si="52"/>
        <v>77.974683544303801</v>
      </c>
      <c r="T351" s="8">
        <f>480-ProductionData[[#This Row],[Downtime Minutes]]</f>
        <v>459</v>
      </c>
      <c r="U351" s="11">
        <f t="shared" si="53"/>
        <v>0.88017429193899777</v>
      </c>
      <c r="V351" s="18">
        <f>ProductionData[[#This Row],[Profit]]/ProductionData[[#This Row],[Good Units]]</f>
        <v>42.025316455696199</v>
      </c>
      <c r="W351" s="11">
        <f>ProductionData[[#This Row],[Good Units]]/ProductionData[[#This Row],[Operating Minutes]]</f>
        <v>0.86056644880174293</v>
      </c>
    </row>
    <row r="352" spans="1:23">
      <c r="A352" s="7">
        <v>46242</v>
      </c>
      <c r="B352" s="8" t="s">
        <v>29</v>
      </c>
      <c r="C352" s="8" t="s">
        <v>28</v>
      </c>
      <c r="D352" s="8" t="s">
        <v>25</v>
      </c>
      <c r="E352" s="8" t="s">
        <v>26</v>
      </c>
      <c r="F352" s="9">
        <v>500</v>
      </c>
      <c r="G352" s="9">
        <v>474</v>
      </c>
      <c r="H352" s="9">
        <v>18</v>
      </c>
      <c r="I352" s="9">
        <f t="shared" si="45"/>
        <v>456</v>
      </c>
      <c r="J352" s="9">
        <v>20</v>
      </c>
      <c r="K352" s="10">
        <f t="shared" si="46"/>
        <v>4.1666666666666664E-2</v>
      </c>
      <c r="L352" s="17">
        <v>90</v>
      </c>
      <c r="M352" s="17">
        <v>30800</v>
      </c>
      <c r="N352" s="17">
        <f t="shared" si="47"/>
        <v>41040</v>
      </c>
      <c r="O352" s="17">
        <f t="shared" si="48"/>
        <v>10240</v>
      </c>
      <c r="P352" s="10">
        <f t="shared" si="49"/>
        <v>0.94799999999999995</v>
      </c>
      <c r="Q352" s="10">
        <f t="shared" si="50"/>
        <v>3.7974683544303799E-2</v>
      </c>
      <c r="R352" s="10">
        <f t="shared" si="51"/>
        <v>0.24951267056530213</v>
      </c>
      <c r="S352" s="18">
        <f t="shared" si="52"/>
        <v>67.543859649122808</v>
      </c>
      <c r="T352" s="8">
        <f>480-ProductionData[[#This Row],[Downtime Minutes]]</f>
        <v>460</v>
      </c>
      <c r="U352" s="11">
        <f t="shared" si="53"/>
        <v>1.0304347826086957</v>
      </c>
      <c r="V352" s="18">
        <f>ProductionData[[#This Row],[Profit]]/ProductionData[[#This Row],[Good Units]]</f>
        <v>22.456140350877192</v>
      </c>
      <c r="W352" s="11">
        <f>ProductionData[[#This Row],[Good Units]]/ProductionData[[#This Row],[Operating Minutes]]</f>
        <v>0.99130434782608701</v>
      </c>
    </row>
    <row r="353" spans="1:23">
      <c r="A353" s="7">
        <v>46243</v>
      </c>
      <c r="B353" s="8" t="s">
        <v>29</v>
      </c>
      <c r="C353" s="8" t="s">
        <v>20</v>
      </c>
      <c r="D353" s="8" t="s">
        <v>21</v>
      </c>
      <c r="E353" s="8" t="s">
        <v>26</v>
      </c>
      <c r="F353" s="9">
        <v>520</v>
      </c>
      <c r="G353" s="9">
        <v>506</v>
      </c>
      <c r="H353" s="9">
        <v>18</v>
      </c>
      <c r="I353" s="9">
        <f t="shared" si="45"/>
        <v>488</v>
      </c>
      <c r="J353" s="9">
        <v>35</v>
      </c>
      <c r="K353" s="10">
        <f t="shared" si="46"/>
        <v>7.2916666666666671E-2</v>
      </c>
      <c r="L353" s="17">
        <v>90</v>
      </c>
      <c r="M353" s="17">
        <v>30800</v>
      </c>
      <c r="N353" s="17">
        <f t="shared" si="47"/>
        <v>43920</v>
      </c>
      <c r="O353" s="17">
        <f t="shared" si="48"/>
        <v>13120</v>
      </c>
      <c r="P353" s="10">
        <f t="shared" si="49"/>
        <v>0.97307692307692306</v>
      </c>
      <c r="Q353" s="10">
        <f t="shared" si="50"/>
        <v>3.5573122529644272E-2</v>
      </c>
      <c r="R353" s="10">
        <f t="shared" si="51"/>
        <v>0.2987249544626594</v>
      </c>
      <c r="S353" s="18">
        <f t="shared" si="52"/>
        <v>63.114754098360656</v>
      </c>
      <c r="T353" s="8">
        <f>480-ProductionData[[#This Row],[Downtime Minutes]]</f>
        <v>445</v>
      </c>
      <c r="U353" s="11">
        <f t="shared" si="53"/>
        <v>1.1370786516853932</v>
      </c>
      <c r="V353" s="18">
        <f>ProductionData[[#This Row],[Profit]]/ProductionData[[#This Row],[Good Units]]</f>
        <v>26.885245901639344</v>
      </c>
      <c r="W353" s="11">
        <f>ProductionData[[#This Row],[Good Units]]/ProductionData[[#This Row],[Operating Minutes]]</f>
        <v>1.0966292134831461</v>
      </c>
    </row>
    <row r="354" spans="1:23">
      <c r="A354" s="7">
        <v>46243</v>
      </c>
      <c r="B354" s="8" t="s">
        <v>29</v>
      </c>
      <c r="C354" s="8" t="s">
        <v>20</v>
      </c>
      <c r="D354" s="8" t="s">
        <v>23</v>
      </c>
      <c r="E354" s="8" t="s">
        <v>22</v>
      </c>
      <c r="F354" s="9">
        <v>450</v>
      </c>
      <c r="G354" s="9">
        <v>414</v>
      </c>
      <c r="H354" s="9">
        <v>19</v>
      </c>
      <c r="I354" s="9">
        <f t="shared" si="45"/>
        <v>395</v>
      </c>
      <c r="J354" s="9">
        <v>35</v>
      </c>
      <c r="K354" s="10">
        <f t="shared" si="46"/>
        <v>7.2916666666666671E-2</v>
      </c>
      <c r="L354" s="17">
        <v>100</v>
      </c>
      <c r="M354" s="17">
        <v>30800</v>
      </c>
      <c r="N354" s="17">
        <f t="shared" si="47"/>
        <v>39500</v>
      </c>
      <c r="O354" s="17">
        <f t="shared" si="48"/>
        <v>8700</v>
      </c>
      <c r="P354" s="10">
        <f t="shared" si="49"/>
        <v>0.92</v>
      </c>
      <c r="Q354" s="10">
        <f t="shared" si="50"/>
        <v>4.5893719806763288E-2</v>
      </c>
      <c r="R354" s="10">
        <f t="shared" si="51"/>
        <v>0.22025316455696203</v>
      </c>
      <c r="S354" s="18">
        <f t="shared" si="52"/>
        <v>77.974683544303801</v>
      </c>
      <c r="T354" s="8">
        <f>480-ProductionData[[#This Row],[Downtime Minutes]]</f>
        <v>445</v>
      </c>
      <c r="U354" s="11">
        <f t="shared" si="53"/>
        <v>0.93033707865168536</v>
      </c>
      <c r="V354" s="18">
        <f>ProductionData[[#This Row],[Profit]]/ProductionData[[#This Row],[Good Units]]</f>
        <v>22.025316455696203</v>
      </c>
      <c r="W354" s="11">
        <f>ProductionData[[#This Row],[Good Units]]/ProductionData[[#This Row],[Operating Minutes]]</f>
        <v>0.88764044943820219</v>
      </c>
    </row>
    <row r="355" spans="1:23">
      <c r="A355" s="7">
        <v>46243</v>
      </c>
      <c r="B355" s="8" t="s">
        <v>29</v>
      </c>
      <c r="C355" s="8" t="s">
        <v>20</v>
      </c>
      <c r="D355" s="8" t="s">
        <v>25</v>
      </c>
      <c r="E355" s="8" t="s">
        <v>24</v>
      </c>
      <c r="F355" s="9">
        <v>390</v>
      </c>
      <c r="G355" s="9">
        <v>349</v>
      </c>
      <c r="H355" s="9">
        <v>13</v>
      </c>
      <c r="I355" s="9">
        <f t="shared" si="45"/>
        <v>336</v>
      </c>
      <c r="J355" s="9">
        <v>37</v>
      </c>
      <c r="K355" s="10">
        <f t="shared" si="46"/>
        <v>7.7083333333333337E-2</v>
      </c>
      <c r="L355" s="17">
        <v>120</v>
      </c>
      <c r="M355" s="17">
        <v>30800</v>
      </c>
      <c r="N355" s="17">
        <f t="shared" si="47"/>
        <v>40320</v>
      </c>
      <c r="O355" s="17">
        <f t="shared" si="48"/>
        <v>9520</v>
      </c>
      <c r="P355" s="10">
        <f t="shared" si="49"/>
        <v>0.89487179487179491</v>
      </c>
      <c r="Q355" s="10">
        <f t="shared" si="50"/>
        <v>3.7249283667621778E-2</v>
      </c>
      <c r="R355" s="10">
        <f t="shared" si="51"/>
        <v>0.2361111111111111</v>
      </c>
      <c r="S355" s="18">
        <f t="shared" si="52"/>
        <v>91.666666666666671</v>
      </c>
      <c r="T355" s="8">
        <f>480-ProductionData[[#This Row],[Downtime Minutes]]</f>
        <v>443</v>
      </c>
      <c r="U355" s="11">
        <f t="shared" si="53"/>
        <v>0.78781038374717838</v>
      </c>
      <c r="V355" s="18">
        <f>ProductionData[[#This Row],[Profit]]/ProductionData[[#This Row],[Good Units]]</f>
        <v>28.333333333333332</v>
      </c>
      <c r="W355" s="11">
        <f>ProductionData[[#This Row],[Good Units]]/ProductionData[[#This Row],[Operating Minutes]]</f>
        <v>0.75846501128668176</v>
      </c>
    </row>
    <row r="356" spans="1:23">
      <c r="A356" s="7">
        <v>46243</v>
      </c>
      <c r="B356" s="8" t="s">
        <v>29</v>
      </c>
      <c r="C356" s="8" t="s">
        <v>27</v>
      </c>
      <c r="D356" s="8" t="s">
        <v>21</v>
      </c>
      <c r="E356" s="8" t="s">
        <v>22</v>
      </c>
      <c r="F356" s="9">
        <v>440</v>
      </c>
      <c r="G356" s="9">
        <v>393</v>
      </c>
      <c r="H356" s="9">
        <v>23</v>
      </c>
      <c r="I356" s="9">
        <f t="shared" si="45"/>
        <v>370</v>
      </c>
      <c r="J356" s="9">
        <v>59</v>
      </c>
      <c r="K356" s="10">
        <f t="shared" si="46"/>
        <v>0.12291666666666666</v>
      </c>
      <c r="L356" s="17">
        <v>100</v>
      </c>
      <c r="M356" s="17">
        <v>30800</v>
      </c>
      <c r="N356" s="17">
        <f t="shared" si="47"/>
        <v>37000</v>
      </c>
      <c r="O356" s="17">
        <f t="shared" si="48"/>
        <v>6200</v>
      </c>
      <c r="P356" s="10">
        <f t="shared" si="49"/>
        <v>0.89318181818181819</v>
      </c>
      <c r="Q356" s="10">
        <f t="shared" si="50"/>
        <v>5.8524173027989825E-2</v>
      </c>
      <c r="R356" s="10">
        <f t="shared" si="51"/>
        <v>0.16756756756756758</v>
      </c>
      <c r="S356" s="18">
        <f t="shared" si="52"/>
        <v>83.243243243243242</v>
      </c>
      <c r="T356" s="8">
        <f>480-ProductionData[[#This Row],[Downtime Minutes]]</f>
        <v>421</v>
      </c>
      <c r="U356" s="11">
        <f t="shared" si="53"/>
        <v>0.9334916864608076</v>
      </c>
      <c r="V356" s="18">
        <f>ProductionData[[#This Row],[Profit]]/ProductionData[[#This Row],[Good Units]]</f>
        <v>16.756756756756758</v>
      </c>
      <c r="W356" s="11">
        <f>ProductionData[[#This Row],[Good Units]]/ProductionData[[#This Row],[Operating Minutes]]</f>
        <v>0.87885985748218531</v>
      </c>
    </row>
    <row r="357" spans="1:23">
      <c r="A357" s="7">
        <v>46243</v>
      </c>
      <c r="B357" s="8" t="s">
        <v>29</v>
      </c>
      <c r="C357" s="8" t="s">
        <v>27</v>
      </c>
      <c r="D357" s="8" t="s">
        <v>23</v>
      </c>
      <c r="E357" s="8" t="s">
        <v>24</v>
      </c>
      <c r="F357" s="9">
        <v>400</v>
      </c>
      <c r="G357" s="9">
        <v>365</v>
      </c>
      <c r="H357" s="9">
        <v>16</v>
      </c>
      <c r="I357" s="9">
        <f t="shared" si="45"/>
        <v>349</v>
      </c>
      <c r="J357" s="9">
        <v>45</v>
      </c>
      <c r="K357" s="10">
        <f t="shared" si="46"/>
        <v>9.375E-2</v>
      </c>
      <c r="L357" s="17">
        <v>120</v>
      </c>
      <c r="M357" s="17">
        <v>30800</v>
      </c>
      <c r="N357" s="17">
        <f t="shared" si="47"/>
        <v>41880</v>
      </c>
      <c r="O357" s="17">
        <f t="shared" si="48"/>
        <v>11080</v>
      </c>
      <c r="P357" s="10">
        <f t="shared" si="49"/>
        <v>0.91249999999999998</v>
      </c>
      <c r="Q357" s="10">
        <f t="shared" si="50"/>
        <v>4.3835616438356165E-2</v>
      </c>
      <c r="R357" s="10">
        <f t="shared" si="51"/>
        <v>0.26456542502387775</v>
      </c>
      <c r="S357" s="18">
        <f t="shared" si="52"/>
        <v>88.252148997134668</v>
      </c>
      <c r="T357" s="8">
        <f>480-ProductionData[[#This Row],[Downtime Minutes]]</f>
        <v>435</v>
      </c>
      <c r="U357" s="11">
        <f t="shared" si="53"/>
        <v>0.83908045977011492</v>
      </c>
      <c r="V357" s="18">
        <f>ProductionData[[#This Row],[Profit]]/ProductionData[[#This Row],[Good Units]]</f>
        <v>31.747851002865328</v>
      </c>
      <c r="W357" s="11">
        <f>ProductionData[[#This Row],[Good Units]]/ProductionData[[#This Row],[Operating Minutes]]</f>
        <v>0.80229885057471262</v>
      </c>
    </row>
    <row r="358" spans="1:23">
      <c r="A358" s="7">
        <v>46243</v>
      </c>
      <c r="B358" s="8" t="s">
        <v>29</v>
      </c>
      <c r="C358" s="8" t="s">
        <v>27</v>
      </c>
      <c r="D358" s="8" t="s">
        <v>25</v>
      </c>
      <c r="E358" s="8" t="s">
        <v>26</v>
      </c>
      <c r="F358" s="9">
        <v>490</v>
      </c>
      <c r="G358" s="9">
        <v>433</v>
      </c>
      <c r="H358" s="9">
        <v>29</v>
      </c>
      <c r="I358" s="9">
        <f t="shared" si="45"/>
        <v>404</v>
      </c>
      <c r="J358" s="9">
        <v>60</v>
      </c>
      <c r="K358" s="10">
        <f t="shared" si="46"/>
        <v>0.125</v>
      </c>
      <c r="L358" s="17">
        <v>90</v>
      </c>
      <c r="M358" s="17">
        <v>30800</v>
      </c>
      <c r="N358" s="17">
        <f t="shared" si="47"/>
        <v>36360</v>
      </c>
      <c r="O358" s="17">
        <f t="shared" si="48"/>
        <v>5560</v>
      </c>
      <c r="P358" s="10">
        <f t="shared" si="49"/>
        <v>0.88367346938775515</v>
      </c>
      <c r="Q358" s="10">
        <f t="shared" si="50"/>
        <v>6.6974595842956119E-2</v>
      </c>
      <c r="R358" s="10">
        <f t="shared" si="51"/>
        <v>0.15291529152915292</v>
      </c>
      <c r="S358" s="18">
        <f t="shared" si="52"/>
        <v>76.237623762376231</v>
      </c>
      <c r="T358" s="8">
        <f>480-ProductionData[[#This Row],[Downtime Minutes]]</f>
        <v>420</v>
      </c>
      <c r="U358" s="11">
        <f t="shared" si="53"/>
        <v>1.0309523809523808</v>
      </c>
      <c r="V358" s="18">
        <f>ProductionData[[#This Row],[Profit]]/ProductionData[[#This Row],[Good Units]]</f>
        <v>13.762376237623762</v>
      </c>
      <c r="W358" s="11">
        <f>ProductionData[[#This Row],[Good Units]]/ProductionData[[#This Row],[Operating Minutes]]</f>
        <v>0.96190476190476193</v>
      </c>
    </row>
    <row r="359" spans="1:23">
      <c r="A359" s="7">
        <v>46243</v>
      </c>
      <c r="B359" s="8" t="s">
        <v>29</v>
      </c>
      <c r="C359" s="8" t="s">
        <v>28</v>
      </c>
      <c r="D359" s="8" t="s">
        <v>21</v>
      </c>
      <c r="E359" s="8" t="s">
        <v>24</v>
      </c>
      <c r="F359" s="9">
        <v>410</v>
      </c>
      <c r="G359" s="9">
        <v>403</v>
      </c>
      <c r="H359" s="9">
        <v>6</v>
      </c>
      <c r="I359" s="9">
        <f t="shared" si="45"/>
        <v>397</v>
      </c>
      <c r="J359" s="9">
        <v>20</v>
      </c>
      <c r="K359" s="10">
        <f t="shared" si="46"/>
        <v>4.1666666666666664E-2</v>
      </c>
      <c r="L359" s="17">
        <v>120</v>
      </c>
      <c r="M359" s="17">
        <v>30800</v>
      </c>
      <c r="N359" s="17">
        <f t="shared" si="47"/>
        <v>47640</v>
      </c>
      <c r="O359" s="17">
        <f t="shared" si="48"/>
        <v>16840</v>
      </c>
      <c r="P359" s="10">
        <f t="shared" si="49"/>
        <v>0.98292682926829267</v>
      </c>
      <c r="Q359" s="10">
        <f t="shared" si="50"/>
        <v>1.488833746898263E-2</v>
      </c>
      <c r="R359" s="10">
        <f t="shared" si="51"/>
        <v>0.35348446683459278</v>
      </c>
      <c r="S359" s="18">
        <f t="shared" si="52"/>
        <v>77.581863979848862</v>
      </c>
      <c r="T359" s="8">
        <f>480-ProductionData[[#This Row],[Downtime Minutes]]</f>
        <v>460</v>
      </c>
      <c r="U359" s="11">
        <f t="shared" si="53"/>
        <v>0.87608695652173918</v>
      </c>
      <c r="V359" s="18">
        <f>ProductionData[[#This Row],[Profit]]/ProductionData[[#This Row],[Good Units]]</f>
        <v>42.418136020151131</v>
      </c>
      <c r="W359" s="11">
        <f>ProductionData[[#This Row],[Good Units]]/ProductionData[[#This Row],[Operating Minutes]]</f>
        <v>0.86304347826086958</v>
      </c>
    </row>
    <row r="360" spans="1:23">
      <c r="A360" s="7">
        <v>46243</v>
      </c>
      <c r="B360" s="8" t="s">
        <v>29</v>
      </c>
      <c r="C360" s="8" t="s">
        <v>28</v>
      </c>
      <c r="D360" s="8" t="s">
        <v>23</v>
      </c>
      <c r="E360" s="8" t="s">
        <v>26</v>
      </c>
      <c r="F360" s="9">
        <v>480</v>
      </c>
      <c r="G360" s="9">
        <v>457</v>
      </c>
      <c r="H360" s="9">
        <v>14</v>
      </c>
      <c r="I360" s="9">
        <f t="shared" si="45"/>
        <v>443</v>
      </c>
      <c r="J360" s="9">
        <v>16</v>
      </c>
      <c r="K360" s="10">
        <f t="shared" si="46"/>
        <v>3.3333333333333333E-2</v>
      </c>
      <c r="L360" s="17">
        <v>90</v>
      </c>
      <c r="M360" s="17">
        <v>30800</v>
      </c>
      <c r="N360" s="17">
        <f t="shared" si="47"/>
        <v>39870</v>
      </c>
      <c r="O360" s="17">
        <f t="shared" si="48"/>
        <v>9070</v>
      </c>
      <c r="P360" s="10">
        <f t="shared" si="49"/>
        <v>0.95208333333333328</v>
      </c>
      <c r="Q360" s="10">
        <f t="shared" si="50"/>
        <v>3.0634573304157548E-2</v>
      </c>
      <c r="R360" s="10">
        <f t="shared" si="51"/>
        <v>0.2274893403561575</v>
      </c>
      <c r="S360" s="18">
        <f t="shared" si="52"/>
        <v>69.525959367945831</v>
      </c>
      <c r="T360" s="8">
        <f>480-ProductionData[[#This Row],[Downtime Minutes]]</f>
        <v>464</v>
      </c>
      <c r="U360" s="11">
        <f t="shared" si="53"/>
        <v>0.98491379310344829</v>
      </c>
      <c r="V360" s="18">
        <f>ProductionData[[#This Row],[Profit]]/ProductionData[[#This Row],[Good Units]]</f>
        <v>20.474040632054177</v>
      </c>
      <c r="W360" s="11">
        <f>ProductionData[[#This Row],[Good Units]]/ProductionData[[#This Row],[Operating Minutes]]</f>
        <v>0.95474137931034486</v>
      </c>
    </row>
    <row r="361" spans="1:23">
      <c r="A361" s="7">
        <v>46243</v>
      </c>
      <c r="B361" s="8" t="s">
        <v>29</v>
      </c>
      <c r="C361" s="8" t="s">
        <v>28</v>
      </c>
      <c r="D361" s="8" t="s">
        <v>25</v>
      </c>
      <c r="E361" s="8" t="s">
        <v>22</v>
      </c>
      <c r="F361" s="9">
        <v>460</v>
      </c>
      <c r="G361" s="9">
        <v>416</v>
      </c>
      <c r="H361" s="9">
        <v>24</v>
      </c>
      <c r="I361" s="9">
        <f t="shared" si="45"/>
        <v>392</v>
      </c>
      <c r="J361" s="9">
        <v>41</v>
      </c>
      <c r="K361" s="10">
        <f t="shared" si="46"/>
        <v>8.5416666666666669E-2</v>
      </c>
      <c r="L361" s="17">
        <v>100</v>
      </c>
      <c r="M361" s="17">
        <v>30800</v>
      </c>
      <c r="N361" s="17">
        <f t="shared" si="47"/>
        <v>39200</v>
      </c>
      <c r="O361" s="17">
        <f t="shared" si="48"/>
        <v>8400</v>
      </c>
      <c r="P361" s="10">
        <f t="shared" si="49"/>
        <v>0.90434782608695652</v>
      </c>
      <c r="Q361" s="10">
        <f t="shared" si="50"/>
        <v>5.7692307692307696E-2</v>
      </c>
      <c r="R361" s="10">
        <f t="shared" si="51"/>
        <v>0.21428571428571427</v>
      </c>
      <c r="S361" s="18">
        <f t="shared" si="52"/>
        <v>78.571428571428569</v>
      </c>
      <c r="T361" s="8">
        <f>480-ProductionData[[#This Row],[Downtime Minutes]]</f>
        <v>439</v>
      </c>
      <c r="U361" s="11">
        <f t="shared" si="53"/>
        <v>0.94760820045558092</v>
      </c>
      <c r="V361" s="18">
        <f>ProductionData[[#This Row],[Profit]]/ProductionData[[#This Row],[Good Units]]</f>
        <v>21.428571428571427</v>
      </c>
      <c r="W361" s="11">
        <f>ProductionData[[#This Row],[Good Units]]/ProductionData[[#This Row],[Operating Minutes]]</f>
        <v>0.8929384965831435</v>
      </c>
    </row>
    <row r="362" spans="1:23">
      <c r="A362" s="7">
        <v>46244</v>
      </c>
      <c r="B362" s="8" t="s">
        <v>29</v>
      </c>
      <c r="C362" s="8" t="s">
        <v>20</v>
      </c>
      <c r="D362" s="8" t="s">
        <v>21</v>
      </c>
      <c r="E362" s="8" t="s">
        <v>22</v>
      </c>
      <c r="F362" s="9">
        <v>460</v>
      </c>
      <c r="G362" s="9">
        <v>421</v>
      </c>
      <c r="H362" s="9">
        <v>16</v>
      </c>
      <c r="I362" s="9">
        <f t="shared" si="45"/>
        <v>405</v>
      </c>
      <c r="J362" s="9">
        <v>27</v>
      </c>
      <c r="K362" s="10">
        <f t="shared" si="46"/>
        <v>5.6250000000000001E-2</v>
      </c>
      <c r="L362" s="17">
        <v>100</v>
      </c>
      <c r="M362" s="17">
        <v>30800</v>
      </c>
      <c r="N362" s="17">
        <f t="shared" si="47"/>
        <v>40500</v>
      </c>
      <c r="O362" s="17">
        <f t="shared" si="48"/>
        <v>9700</v>
      </c>
      <c r="P362" s="10">
        <f t="shared" si="49"/>
        <v>0.91521739130434787</v>
      </c>
      <c r="Q362" s="10">
        <f t="shared" si="50"/>
        <v>3.800475059382423E-2</v>
      </c>
      <c r="R362" s="10">
        <f t="shared" si="51"/>
        <v>0.23950617283950618</v>
      </c>
      <c r="S362" s="18">
        <f t="shared" si="52"/>
        <v>76.049382716049379</v>
      </c>
      <c r="T362" s="8">
        <f>480-ProductionData[[#This Row],[Downtime Minutes]]</f>
        <v>453</v>
      </c>
      <c r="U362" s="11">
        <f t="shared" si="53"/>
        <v>0.92935982339955847</v>
      </c>
      <c r="V362" s="18">
        <f>ProductionData[[#This Row],[Profit]]/ProductionData[[#This Row],[Good Units]]</f>
        <v>23.950617283950617</v>
      </c>
      <c r="W362" s="11">
        <f>ProductionData[[#This Row],[Good Units]]/ProductionData[[#This Row],[Operating Minutes]]</f>
        <v>0.89403973509933776</v>
      </c>
    </row>
    <row r="363" spans="1:23">
      <c r="A363" s="7">
        <v>46244</v>
      </c>
      <c r="B363" s="8" t="s">
        <v>29</v>
      </c>
      <c r="C363" s="8" t="s">
        <v>20</v>
      </c>
      <c r="D363" s="8" t="s">
        <v>23</v>
      </c>
      <c r="E363" s="8" t="s">
        <v>24</v>
      </c>
      <c r="F363" s="9">
        <v>390</v>
      </c>
      <c r="G363" s="9">
        <v>359</v>
      </c>
      <c r="H363" s="9">
        <v>13</v>
      </c>
      <c r="I363" s="9">
        <f t="shared" si="45"/>
        <v>346</v>
      </c>
      <c r="J363" s="9">
        <v>36</v>
      </c>
      <c r="K363" s="10">
        <f t="shared" si="46"/>
        <v>7.4999999999999997E-2</v>
      </c>
      <c r="L363" s="17">
        <v>120</v>
      </c>
      <c r="M363" s="17">
        <v>30800</v>
      </c>
      <c r="N363" s="17">
        <f t="shared" si="47"/>
        <v>41520</v>
      </c>
      <c r="O363" s="17">
        <f t="shared" si="48"/>
        <v>10720</v>
      </c>
      <c r="P363" s="10">
        <f t="shared" si="49"/>
        <v>0.92051282051282046</v>
      </c>
      <c r="Q363" s="10">
        <f t="shared" si="50"/>
        <v>3.6211699164345405E-2</v>
      </c>
      <c r="R363" s="10">
        <f t="shared" si="51"/>
        <v>0.25818882466281312</v>
      </c>
      <c r="S363" s="18">
        <f t="shared" si="52"/>
        <v>89.017341040462426</v>
      </c>
      <c r="T363" s="8">
        <f>480-ProductionData[[#This Row],[Downtime Minutes]]</f>
        <v>444</v>
      </c>
      <c r="U363" s="11">
        <f t="shared" si="53"/>
        <v>0.80855855855855852</v>
      </c>
      <c r="V363" s="18">
        <f>ProductionData[[#This Row],[Profit]]/ProductionData[[#This Row],[Good Units]]</f>
        <v>30.982658959537574</v>
      </c>
      <c r="W363" s="11">
        <f>ProductionData[[#This Row],[Good Units]]/ProductionData[[#This Row],[Operating Minutes]]</f>
        <v>0.77927927927927931</v>
      </c>
    </row>
    <row r="364" spans="1:23">
      <c r="A364" s="7">
        <v>46244</v>
      </c>
      <c r="B364" s="8" t="s">
        <v>29</v>
      </c>
      <c r="C364" s="8" t="s">
        <v>20</v>
      </c>
      <c r="D364" s="8" t="s">
        <v>25</v>
      </c>
      <c r="E364" s="8" t="s">
        <v>26</v>
      </c>
      <c r="F364" s="9">
        <v>520</v>
      </c>
      <c r="G364" s="9">
        <v>480</v>
      </c>
      <c r="H364" s="9">
        <v>20</v>
      </c>
      <c r="I364" s="9">
        <f t="shared" si="45"/>
        <v>460</v>
      </c>
      <c r="J364" s="9">
        <v>46</v>
      </c>
      <c r="K364" s="10">
        <f t="shared" si="46"/>
        <v>9.583333333333334E-2</v>
      </c>
      <c r="L364" s="17">
        <v>90</v>
      </c>
      <c r="M364" s="17">
        <v>30800</v>
      </c>
      <c r="N364" s="17">
        <f t="shared" si="47"/>
        <v>41400</v>
      </c>
      <c r="O364" s="17">
        <f t="shared" si="48"/>
        <v>10600</v>
      </c>
      <c r="P364" s="10">
        <f t="shared" si="49"/>
        <v>0.92307692307692313</v>
      </c>
      <c r="Q364" s="10">
        <f t="shared" si="50"/>
        <v>4.1666666666666664E-2</v>
      </c>
      <c r="R364" s="10">
        <f t="shared" si="51"/>
        <v>0.2560386473429952</v>
      </c>
      <c r="S364" s="18">
        <f t="shared" si="52"/>
        <v>66.956521739130437</v>
      </c>
      <c r="T364" s="8">
        <f>480-ProductionData[[#This Row],[Downtime Minutes]]</f>
        <v>434</v>
      </c>
      <c r="U364" s="11">
        <f t="shared" si="53"/>
        <v>1.1059907834101383</v>
      </c>
      <c r="V364" s="18">
        <f>ProductionData[[#This Row],[Profit]]/ProductionData[[#This Row],[Good Units]]</f>
        <v>23.043478260869566</v>
      </c>
      <c r="W364" s="11">
        <f>ProductionData[[#This Row],[Good Units]]/ProductionData[[#This Row],[Operating Minutes]]</f>
        <v>1.0599078341013826</v>
      </c>
    </row>
    <row r="365" spans="1:23">
      <c r="A365" s="7">
        <v>46244</v>
      </c>
      <c r="B365" s="8" t="s">
        <v>29</v>
      </c>
      <c r="C365" s="8" t="s">
        <v>27</v>
      </c>
      <c r="D365" s="8" t="s">
        <v>21</v>
      </c>
      <c r="E365" s="8" t="s">
        <v>24</v>
      </c>
      <c r="F365" s="9">
        <v>390</v>
      </c>
      <c r="G365" s="9">
        <v>351</v>
      </c>
      <c r="H365" s="9">
        <v>17</v>
      </c>
      <c r="I365" s="9">
        <f t="shared" si="45"/>
        <v>334</v>
      </c>
      <c r="J365" s="9">
        <v>38</v>
      </c>
      <c r="K365" s="10">
        <f t="shared" si="46"/>
        <v>7.9166666666666663E-2</v>
      </c>
      <c r="L365" s="17">
        <v>120</v>
      </c>
      <c r="M365" s="17">
        <v>30800</v>
      </c>
      <c r="N365" s="17">
        <f t="shared" si="47"/>
        <v>40080</v>
      </c>
      <c r="O365" s="17">
        <f t="shared" si="48"/>
        <v>9280</v>
      </c>
      <c r="P365" s="10">
        <f t="shared" si="49"/>
        <v>0.9</v>
      </c>
      <c r="Q365" s="10">
        <f t="shared" si="50"/>
        <v>4.843304843304843E-2</v>
      </c>
      <c r="R365" s="10">
        <f t="shared" si="51"/>
        <v>0.2315369261477046</v>
      </c>
      <c r="S365" s="18">
        <f t="shared" si="52"/>
        <v>92.215568862275447</v>
      </c>
      <c r="T365" s="8">
        <f>480-ProductionData[[#This Row],[Downtime Minutes]]</f>
        <v>442</v>
      </c>
      <c r="U365" s="11">
        <f t="shared" si="53"/>
        <v>0.79411764705882348</v>
      </c>
      <c r="V365" s="18">
        <f>ProductionData[[#This Row],[Profit]]/ProductionData[[#This Row],[Good Units]]</f>
        <v>27.78443113772455</v>
      </c>
      <c r="W365" s="11">
        <f>ProductionData[[#This Row],[Good Units]]/ProductionData[[#This Row],[Operating Minutes]]</f>
        <v>0.75565610859728505</v>
      </c>
    </row>
    <row r="366" spans="1:23">
      <c r="A366" s="7">
        <v>46244</v>
      </c>
      <c r="B366" s="8" t="s">
        <v>29</v>
      </c>
      <c r="C366" s="8" t="s">
        <v>27</v>
      </c>
      <c r="D366" s="8" t="s">
        <v>23</v>
      </c>
      <c r="E366" s="8" t="s">
        <v>26</v>
      </c>
      <c r="F366" s="9">
        <v>510</v>
      </c>
      <c r="G366" s="9">
        <v>453</v>
      </c>
      <c r="H366" s="9">
        <v>25</v>
      </c>
      <c r="I366" s="9">
        <f t="shared" si="45"/>
        <v>428</v>
      </c>
      <c r="J366" s="9">
        <v>43</v>
      </c>
      <c r="K366" s="10">
        <f t="shared" si="46"/>
        <v>8.9583333333333334E-2</v>
      </c>
      <c r="L366" s="17">
        <v>90</v>
      </c>
      <c r="M366" s="17">
        <v>30800</v>
      </c>
      <c r="N366" s="17">
        <f t="shared" si="47"/>
        <v>38520</v>
      </c>
      <c r="O366" s="17">
        <f t="shared" si="48"/>
        <v>7720</v>
      </c>
      <c r="P366" s="10">
        <f t="shared" si="49"/>
        <v>0.88823529411764701</v>
      </c>
      <c r="Q366" s="10">
        <f t="shared" si="50"/>
        <v>5.518763796909492E-2</v>
      </c>
      <c r="R366" s="10">
        <f t="shared" si="51"/>
        <v>0.20041536863966772</v>
      </c>
      <c r="S366" s="18">
        <f t="shared" si="52"/>
        <v>71.962616822429908</v>
      </c>
      <c r="T366" s="8">
        <f>480-ProductionData[[#This Row],[Downtime Minutes]]</f>
        <v>437</v>
      </c>
      <c r="U366" s="11">
        <f t="shared" si="53"/>
        <v>1.0366132723112129</v>
      </c>
      <c r="V366" s="18">
        <f>ProductionData[[#This Row],[Profit]]/ProductionData[[#This Row],[Good Units]]</f>
        <v>18.037383177570092</v>
      </c>
      <c r="W366" s="11">
        <f>ProductionData[[#This Row],[Good Units]]/ProductionData[[#This Row],[Operating Minutes]]</f>
        <v>0.97940503432494275</v>
      </c>
    </row>
    <row r="367" spans="1:23">
      <c r="A367" s="7">
        <v>46244</v>
      </c>
      <c r="B367" s="8" t="s">
        <v>29</v>
      </c>
      <c r="C367" s="8" t="s">
        <v>27</v>
      </c>
      <c r="D367" s="8" t="s">
        <v>25</v>
      </c>
      <c r="E367" s="8" t="s">
        <v>22</v>
      </c>
      <c r="F367" s="9">
        <v>450</v>
      </c>
      <c r="G367" s="9">
        <v>394</v>
      </c>
      <c r="H367" s="9">
        <v>29</v>
      </c>
      <c r="I367" s="9">
        <f t="shared" si="45"/>
        <v>365</v>
      </c>
      <c r="J367" s="9">
        <v>72</v>
      </c>
      <c r="K367" s="10">
        <f t="shared" si="46"/>
        <v>0.15</v>
      </c>
      <c r="L367" s="17">
        <v>100</v>
      </c>
      <c r="M367" s="17">
        <v>30800</v>
      </c>
      <c r="N367" s="17">
        <f t="shared" si="47"/>
        <v>36500</v>
      </c>
      <c r="O367" s="17">
        <f t="shared" si="48"/>
        <v>5700</v>
      </c>
      <c r="P367" s="10">
        <f t="shared" si="49"/>
        <v>0.87555555555555553</v>
      </c>
      <c r="Q367" s="10">
        <f t="shared" si="50"/>
        <v>7.3604060913705582E-2</v>
      </c>
      <c r="R367" s="10">
        <f t="shared" si="51"/>
        <v>0.15616438356164383</v>
      </c>
      <c r="S367" s="18">
        <f t="shared" si="52"/>
        <v>84.38356164383562</v>
      </c>
      <c r="T367" s="8">
        <f>480-ProductionData[[#This Row],[Downtime Minutes]]</f>
        <v>408</v>
      </c>
      <c r="U367" s="11">
        <f t="shared" si="53"/>
        <v>0.96568627450980393</v>
      </c>
      <c r="V367" s="18">
        <f>ProductionData[[#This Row],[Profit]]/ProductionData[[#This Row],[Good Units]]</f>
        <v>15.616438356164384</v>
      </c>
      <c r="W367" s="11">
        <f>ProductionData[[#This Row],[Good Units]]/ProductionData[[#This Row],[Operating Minutes]]</f>
        <v>0.89460784313725494</v>
      </c>
    </row>
    <row r="368" spans="1:23">
      <c r="A368" s="7">
        <v>46244</v>
      </c>
      <c r="B368" s="8" t="s">
        <v>29</v>
      </c>
      <c r="C368" s="8" t="s">
        <v>28</v>
      </c>
      <c r="D368" s="8" t="s">
        <v>21</v>
      </c>
      <c r="E368" s="8" t="s">
        <v>26</v>
      </c>
      <c r="F368" s="9">
        <v>510</v>
      </c>
      <c r="G368" s="9">
        <v>476</v>
      </c>
      <c r="H368" s="9">
        <v>9</v>
      </c>
      <c r="I368" s="9">
        <f t="shared" si="45"/>
        <v>467</v>
      </c>
      <c r="J368" s="9">
        <v>25</v>
      </c>
      <c r="K368" s="10">
        <f t="shared" si="46"/>
        <v>5.2083333333333336E-2</v>
      </c>
      <c r="L368" s="17">
        <v>90</v>
      </c>
      <c r="M368" s="17">
        <v>30800</v>
      </c>
      <c r="N368" s="17">
        <f t="shared" si="47"/>
        <v>42030</v>
      </c>
      <c r="O368" s="17">
        <f t="shared" si="48"/>
        <v>11230</v>
      </c>
      <c r="P368" s="10">
        <f t="shared" si="49"/>
        <v>0.93333333333333335</v>
      </c>
      <c r="Q368" s="10">
        <f t="shared" si="50"/>
        <v>1.8907563025210083E-2</v>
      </c>
      <c r="R368" s="10">
        <f t="shared" si="51"/>
        <v>0.26719010230787532</v>
      </c>
      <c r="S368" s="18">
        <f t="shared" si="52"/>
        <v>65.952890792291214</v>
      </c>
      <c r="T368" s="8">
        <f>480-ProductionData[[#This Row],[Downtime Minutes]]</f>
        <v>455</v>
      </c>
      <c r="U368" s="11">
        <f t="shared" si="53"/>
        <v>1.0461538461538462</v>
      </c>
      <c r="V368" s="18">
        <f>ProductionData[[#This Row],[Profit]]/ProductionData[[#This Row],[Good Units]]</f>
        <v>24.047109207708779</v>
      </c>
      <c r="W368" s="11">
        <f>ProductionData[[#This Row],[Good Units]]/ProductionData[[#This Row],[Operating Minutes]]</f>
        <v>1.0263736263736263</v>
      </c>
    </row>
    <row r="369" spans="1:23">
      <c r="A369" s="7">
        <v>46244</v>
      </c>
      <c r="B369" s="8" t="s">
        <v>29</v>
      </c>
      <c r="C369" s="8" t="s">
        <v>28</v>
      </c>
      <c r="D369" s="8" t="s">
        <v>23</v>
      </c>
      <c r="E369" s="8" t="s">
        <v>22</v>
      </c>
      <c r="F369" s="9">
        <v>440</v>
      </c>
      <c r="G369" s="9">
        <v>411</v>
      </c>
      <c r="H369" s="9">
        <v>18</v>
      </c>
      <c r="I369" s="9">
        <f t="shared" si="45"/>
        <v>393</v>
      </c>
      <c r="J369" s="9">
        <v>41</v>
      </c>
      <c r="K369" s="10">
        <f t="shared" si="46"/>
        <v>8.5416666666666669E-2</v>
      </c>
      <c r="L369" s="17">
        <v>100</v>
      </c>
      <c r="M369" s="17">
        <v>30800</v>
      </c>
      <c r="N369" s="17">
        <f t="shared" si="47"/>
        <v>39300</v>
      </c>
      <c r="O369" s="17">
        <f t="shared" si="48"/>
        <v>8500</v>
      </c>
      <c r="P369" s="10">
        <f t="shared" si="49"/>
        <v>0.93409090909090908</v>
      </c>
      <c r="Q369" s="10">
        <f t="shared" si="50"/>
        <v>4.3795620437956206E-2</v>
      </c>
      <c r="R369" s="10">
        <f t="shared" si="51"/>
        <v>0.21628498727735368</v>
      </c>
      <c r="S369" s="18">
        <f t="shared" si="52"/>
        <v>78.371501272264638</v>
      </c>
      <c r="T369" s="8">
        <f>480-ProductionData[[#This Row],[Downtime Minutes]]</f>
        <v>439</v>
      </c>
      <c r="U369" s="11">
        <f t="shared" si="53"/>
        <v>0.9362186788154897</v>
      </c>
      <c r="V369" s="18">
        <f>ProductionData[[#This Row],[Profit]]/ProductionData[[#This Row],[Good Units]]</f>
        <v>21.628498727735369</v>
      </c>
      <c r="W369" s="11">
        <f>ProductionData[[#This Row],[Good Units]]/ProductionData[[#This Row],[Operating Minutes]]</f>
        <v>0.89521640091116172</v>
      </c>
    </row>
    <row r="370" spans="1:23">
      <c r="A370" s="7">
        <v>46244</v>
      </c>
      <c r="B370" s="8" t="s">
        <v>29</v>
      </c>
      <c r="C370" s="8" t="s">
        <v>28</v>
      </c>
      <c r="D370" s="8" t="s">
        <v>25</v>
      </c>
      <c r="E370" s="8" t="s">
        <v>24</v>
      </c>
      <c r="F370" s="9">
        <v>380</v>
      </c>
      <c r="G370" s="9">
        <v>359</v>
      </c>
      <c r="H370" s="9">
        <v>13</v>
      </c>
      <c r="I370" s="9">
        <f t="shared" si="45"/>
        <v>346</v>
      </c>
      <c r="J370" s="9">
        <v>43</v>
      </c>
      <c r="K370" s="10">
        <f t="shared" si="46"/>
        <v>8.9583333333333334E-2</v>
      </c>
      <c r="L370" s="17">
        <v>120</v>
      </c>
      <c r="M370" s="17">
        <v>30800</v>
      </c>
      <c r="N370" s="17">
        <f t="shared" si="47"/>
        <v>41520</v>
      </c>
      <c r="O370" s="17">
        <f t="shared" si="48"/>
        <v>10720</v>
      </c>
      <c r="P370" s="10">
        <f t="shared" si="49"/>
        <v>0.94473684210526321</v>
      </c>
      <c r="Q370" s="10">
        <f t="shared" si="50"/>
        <v>3.6211699164345405E-2</v>
      </c>
      <c r="R370" s="10">
        <f t="shared" si="51"/>
        <v>0.25818882466281312</v>
      </c>
      <c r="S370" s="18">
        <f t="shared" si="52"/>
        <v>89.017341040462426</v>
      </c>
      <c r="T370" s="8">
        <f>480-ProductionData[[#This Row],[Downtime Minutes]]</f>
        <v>437</v>
      </c>
      <c r="U370" s="11">
        <f t="shared" si="53"/>
        <v>0.82151029748283755</v>
      </c>
      <c r="V370" s="18">
        <f>ProductionData[[#This Row],[Profit]]/ProductionData[[#This Row],[Good Units]]</f>
        <v>30.982658959537574</v>
      </c>
      <c r="W370" s="11">
        <f>ProductionData[[#This Row],[Good Units]]/ProductionData[[#This Row],[Operating Minutes]]</f>
        <v>0.79176201372997712</v>
      </c>
    </row>
    <row r="371" spans="1:23">
      <c r="A371" s="7">
        <v>46245</v>
      </c>
      <c r="B371" s="8" t="s">
        <v>29</v>
      </c>
      <c r="C371" s="8" t="s">
        <v>20</v>
      </c>
      <c r="D371" s="8" t="s">
        <v>21</v>
      </c>
      <c r="E371" s="8" t="s">
        <v>24</v>
      </c>
      <c r="F371" s="9">
        <v>400</v>
      </c>
      <c r="G371" s="9">
        <v>384</v>
      </c>
      <c r="H371" s="9">
        <v>12</v>
      </c>
      <c r="I371" s="9">
        <f t="shared" si="45"/>
        <v>372</v>
      </c>
      <c r="J371" s="9">
        <v>27</v>
      </c>
      <c r="K371" s="10">
        <f t="shared" si="46"/>
        <v>5.6250000000000001E-2</v>
      </c>
      <c r="L371" s="17">
        <v>120</v>
      </c>
      <c r="M371" s="17">
        <v>30800</v>
      </c>
      <c r="N371" s="17">
        <f t="shared" si="47"/>
        <v>44640</v>
      </c>
      <c r="O371" s="17">
        <f t="shared" si="48"/>
        <v>13840</v>
      </c>
      <c r="P371" s="10">
        <f t="shared" si="49"/>
        <v>0.96</v>
      </c>
      <c r="Q371" s="10">
        <f t="shared" si="50"/>
        <v>3.125E-2</v>
      </c>
      <c r="R371" s="10">
        <f t="shared" si="51"/>
        <v>0.31003584229390679</v>
      </c>
      <c r="S371" s="18">
        <f t="shared" si="52"/>
        <v>82.795698924731184</v>
      </c>
      <c r="T371" s="8">
        <f>480-ProductionData[[#This Row],[Downtime Minutes]]</f>
        <v>453</v>
      </c>
      <c r="U371" s="11">
        <f t="shared" si="53"/>
        <v>0.84768211920529801</v>
      </c>
      <c r="V371" s="18">
        <f>ProductionData[[#This Row],[Profit]]/ProductionData[[#This Row],[Good Units]]</f>
        <v>37.204301075268816</v>
      </c>
      <c r="W371" s="11">
        <f>ProductionData[[#This Row],[Good Units]]/ProductionData[[#This Row],[Operating Minutes]]</f>
        <v>0.82119205298013243</v>
      </c>
    </row>
    <row r="372" spans="1:23">
      <c r="A372" s="7">
        <v>46245</v>
      </c>
      <c r="B372" s="8" t="s">
        <v>29</v>
      </c>
      <c r="C372" s="8" t="s">
        <v>20</v>
      </c>
      <c r="D372" s="8" t="s">
        <v>23</v>
      </c>
      <c r="E372" s="8" t="s">
        <v>26</v>
      </c>
      <c r="F372" s="9">
        <v>480</v>
      </c>
      <c r="G372" s="9">
        <v>434</v>
      </c>
      <c r="H372" s="9">
        <v>16</v>
      </c>
      <c r="I372" s="9">
        <f t="shared" si="45"/>
        <v>418</v>
      </c>
      <c r="J372" s="9">
        <v>35</v>
      </c>
      <c r="K372" s="10">
        <f t="shared" si="46"/>
        <v>7.2916666666666671E-2</v>
      </c>
      <c r="L372" s="17">
        <v>90</v>
      </c>
      <c r="M372" s="17">
        <v>30800</v>
      </c>
      <c r="N372" s="17">
        <f t="shared" si="47"/>
        <v>37620</v>
      </c>
      <c r="O372" s="17">
        <f t="shared" si="48"/>
        <v>6820</v>
      </c>
      <c r="P372" s="10">
        <f t="shared" si="49"/>
        <v>0.90416666666666667</v>
      </c>
      <c r="Q372" s="10">
        <f t="shared" si="50"/>
        <v>3.6866359447004608E-2</v>
      </c>
      <c r="R372" s="10">
        <f t="shared" si="51"/>
        <v>0.18128654970760233</v>
      </c>
      <c r="S372" s="18">
        <f t="shared" si="52"/>
        <v>73.684210526315795</v>
      </c>
      <c r="T372" s="8">
        <f>480-ProductionData[[#This Row],[Downtime Minutes]]</f>
        <v>445</v>
      </c>
      <c r="U372" s="11">
        <f t="shared" si="53"/>
        <v>0.97528089887640446</v>
      </c>
      <c r="V372" s="18">
        <f>ProductionData[[#This Row],[Profit]]/ProductionData[[#This Row],[Good Units]]</f>
        <v>16.315789473684209</v>
      </c>
      <c r="W372" s="11">
        <f>ProductionData[[#This Row],[Good Units]]/ProductionData[[#This Row],[Operating Minutes]]</f>
        <v>0.93932584269662922</v>
      </c>
    </row>
    <row r="373" spans="1:23">
      <c r="A373" s="7">
        <v>46245</v>
      </c>
      <c r="B373" s="8" t="s">
        <v>29</v>
      </c>
      <c r="C373" s="8" t="s">
        <v>20</v>
      </c>
      <c r="D373" s="8" t="s">
        <v>25</v>
      </c>
      <c r="E373" s="8" t="s">
        <v>22</v>
      </c>
      <c r="F373" s="9">
        <v>440</v>
      </c>
      <c r="G373" s="9">
        <v>399</v>
      </c>
      <c r="H373" s="9">
        <v>22</v>
      </c>
      <c r="I373" s="9">
        <f t="shared" si="45"/>
        <v>377</v>
      </c>
      <c r="J373" s="9">
        <v>58</v>
      </c>
      <c r="K373" s="10">
        <f t="shared" si="46"/>
        <v>0.12083333333333333</v>
      </c>
      <c r="L373" s="17">
        <v>100</v>
      </c>
      <c r="M373" s="17">
        <v>30800</v>
      </c>
      <c r="N373" s="17">
        <f t="shared" si="47"/>
        <v>37700</v>
      </c>
      <c r="O373" s="17">
        <f t="shared" si="48"/>
        <v>6900</v>
      </c>
      <c r="P373" s="10">
        <f t="shared" si="49"/>
        <v>0.90681818181818186</v>
      </c>
      <c r="Q373" s="10">
        <f t="shared" si="50"/>
        <v>5.5137844611528819E-2</v>
      </c>
      <c r="R373" s="10">
        <f t="shared" si="51"/>
        <v>0.1830238726790451</v>
      </c>
      <c r="S373" s="18">
        <f t="shared" si="52"/>
        <v>81.697612732095493</v>
      </c>
      <c r="T373" s="8">
        <f>480-ProductionData[[#This Row],[Downtime Minutes]]</f>
        <v>422</v>
      </c>
      <c r="U373" s="11">
        <f t="shared" si="53"/>
        <v>0.9454976303317536</v>
      </c>
      <c r="V373" s="18">
        <f>ProductionData[[#This Row],[Profit]]/ProductionData[[#This Row],[Good Units]]</f>
        <v>18.302387267904511</v>
      </c>
      <c r="W373" s="11">
        <f>ProductionData[[#This Row],[Good Units]]/ProductionData[[#This Row],[Operating Minutes]]</f>
        <v>0.89336492890995256</v>
      </c>
    </row>
    <row r="374" spans="1:23">
      <c r="A374" s="7">
        <v>46245</v>
      </c>
      <c r="B374" s="8" t="s">
        <v>29</v>
      </c>
      <c r="C374" s="8" t="s">
        <v>27</v>
      </c>
      <c r="D374" s="8" t="s">
        <v>21</v>
      </c>
      <c r="E374" s="8" t="s">
        <v>26</v>
      </c>
      <c r="F374" s="9">
        <v>510</v>
      </c>
      <c r="G374" s="9">
        <v>465</v>
      </c>
      <c r="H374" s="9">
        <v>27</v>
      </c>
      <c r="I374" s="9">
        <f t="shared" si="45"/>
        <v>438</v>
      </c>
      <c r="J374" s="9">
        <v>35</v>
      </c>
      <c r="K374" s="10">
        <f t="shared" si="46"/>
        <v>7.2916666666666671E-2</v>
      </c>
      <c r="L374" s="17">
        <v>90</v>
      </c>
      <c r="M374" s="17">
        <v>30800</v>
      </c>
      <c r="N374" s="17">
        <f t="shared" si="47"/>
        <v>39420</v>
      </c>
      <c r="O374" s="17">
        <f t="shared" si="48"/>
        <v>8620</v>
      </c>
      <c r="P374" s="10">
        <f t="shared" si="49"/>
        <v>0.91176470588235292</v>
      </c>
      <c r="Q374" s="10">
        <f t="shared" si="50"/>
        <v>5.8064516129032261E-2</v>
      </c>
      <c r="R374" s="10">
        <f t="shared" si="51"/>
        <v>0.21867072552004058</v>
      </c>
      <c r="S374" s="18">
        <f t="shared" si="52"/>
        <v>70.319634703196343</v>
      </c>
      <c r="T374" s="8">
        <f>480-ProductionData[[#This Row],[Downtime Minutes]]</f>
        <v>445</v>
      </c>
      <c r="U374" s="11">
        <f t="shared" si="53"/>
        <v>1.0449438202247192</v>
      </c>
      <c r="V374" s="18">
        <f>ProductionData[[#This Row],[Profit]]/ProductionData[[#This Row],[Good Units]]</f>
        <v>19.680365296803654</v>
      </c>
      <c r="W374" s="11">
        <f>ProductionData[[#This Row],[Good Units]]/ProductionData[[#This Row],[Operating Minutes]]</f>
        <v>0.98426966292134832</v>
      </c>
    </row>
    <row r="375" spans="1:23">
      <c r="A375" s="7">
        <v>46245</v>
      </c>
      <c r="B375" s="8" t="s">
        <v>29</v>
      </c>
      <c r="C375" s="8" t="s">
        <v>27</v>
      </c>
      <c r="D375" s="8" t="s">
        <v>23</v>
      </c>
      <c r="E375" s="8" t="s">
        <v>22</v>
      </c>
      <c r="F375" s="9">
        <v>450</v>
      </c>
      <c r="G375" s="9">
        <v>386</v>
      </c>
      <c r="H375" s="9">
        <v>24</v>
      </c>
      <c r="I375" s="9">
        <f t="shared" si="45"/>
        <v>362</v>
      </c>
      <c r="J375" s="9">
        <v>51</v>
      </c>
      <c r="K375" s="10">
        <f t="shared" si="46"/>
        <v>0.10625</v>
      </c>
      <c r="L375" s="17">
        <v>100</v>
      </c>
      <c r="M375" s="17">
        <v>30800</v>
      </c>
      <c r="N375" s="17">
        <f t="shared" si="47"/>
        <v>36200</v>
      </c>
      <c r="O375" s="17">
        <f t="shared" si="48"/>
        <v>5400</v>
      </c>
      <c r="P375" s="10">
        <f t="shared" si="49"/>
        <v>0.85777777777777775</v>
      </c>
      <c r="Q375" s="10">
        <f t="shared" si="50"/>
        <v>6.2176165803108807E-2</v>
      </c>
      <c r="R375" s="10">
        <f t="shared" si="51"/>
        <v>0.14917127071823205</v>
      </c>
      <c r="S375" s="18">
        <f t="shared" si="52"/>
        <v>85.082872928176798</v>
      </c>
      <c r="T375" s="8">
        <f>480-ProductionData[[#This Row],[Downtime Minutes]]</f>
        <v>429</v>
      </c>
      <c r="U375" s="11">
        <f t="shared" si="53"/>
        <v>0.89976689976689972</v>
      </c>
      <c r="V375" s="18">
        <f>ProductionData[[#This Row],[Profit]]/ProductionData[[#This Row],[Good Units]]</f>
        <v>14.917127071823204</v>
      </c>
      <c r="W375" s="11">
        <f>ProductionData[[#This Row],[Good Units]]/ProductionData[[#This Row],[Operating Minutes]]</f>
        <v>0.84382284382284378</v>
      </c>
    </row>
    <row r="376" spans="1:23">
      <c r="A376" s="7">
        <v>46245</v>
      </c>
      <c r="B376" s="8" t="s">
        <v>29</v>
      </c>
      <c r="C376" s="8" t="s">
        <v>27</v>
      </c>
      <c r="D376" s="8" t="s">
        <v>25</v>
      </c>
      <c r="E376" s="8" t="s">
        <v>24</v>
      </c>
      <c r="F376" s="9">
        <v>400</v>
      </c>
      <c r="G376" s="9">
        <v>332</v>
      </c>
      <c r="H376" s="9">
        <v>17</v>
      </c>
      <c r="I376" s="9">
        <f t="shared" si="45"/>
        <v>315</v>
      </c>
      <c r="J376" s="9">
        <v>61</v>
      </c>
      <c r="K376" s="10">
        <f t="shared" si="46"/>
        <v>0.12708333333333333</v>
      </c>
      <c r="L376" s="17">
        <v>120</v>
      </c>
      <c r="M376" s="17">
        <v>30800</v>
      </c>
      <c r="N376" s="17">
        <f t="shared" si="47"/>
        <v>37800</v>
      </c>
      <c r="O376" s="17">
        <f t="shared" si="48"/>
        <v>7000</v>
      </c>
      <c r="P376" s="10">
        <f t="shared" si="49"/>
        <v>0.83</v>
      </c>
      <c r="Q376" s="10">
        <f t="shared" si="50"/>
        <v>5.1204819277108432E-2</v>
      </c>
      <c r="R376" s="10">
        <f t="shared" si="51"/>
        <v>0.18518518518518517</v>
      </c>
      <c r="S376" s="18">
        <f t="shared" si="52"/>
        <v>97.777777777777771</v>
      </c>
      <c r="T376" s="8">
        <f>480-ProductionData[[#This Row],[Downtime Minutes]]</f>
        <v>419</v>
      </c>
      <c r="U376" s="11">
        <f t="shared" si="53"/>
        <v>0.79236276849642007</v>
      </c>
      <c r="V376" s="18">
        <f>ProductionData[[#This Row],[Profit]]/ProductionData[[#This Row],[Good Units]]</f>
        <v>22.222222222222221</v>
      </c>
      <c r="W376" s="11">
        <f>ProductionData[[#This Row],[Good Units]]/ProductionData[[#This Row],[Operating Minutes]]</f>
        <v>0.75178997613365151</v>
      </c>
    </row>
    <row r="377" spans="1:23">
      <c r="A377" s="7">
        <v>46245</v>
      </c>
      <c r="B377" s="8" t="s">
        <v>29</v>
      </c>
      <c r="C377" s="8" t="s">
        <v>28</v>
      </c>
      <c r="D377" s="8" t="s">
        <v>21</v>
      </c>
      <c r="E377" s="8" t="s">
        <v>22</v>
      </c>
      <c r="F377" s="9">
        <v>450</v>
      </c>
      <c r="G377" s="9">
        <v>445</v>
      </c>
      <c r="H377" s="9">
        <v>20</v>
      </c>
      <c r="I377" s="9">
        <f t="shared" si="45"/>
        <v>425</v>
      </c>
      <c r="J377" s="9">
        <v>25</v>
      </c>
      <c r="K377" s="10">
        <f t="shared" si="46"/>
        <v>5.2083333333333336E-2</v>
      </c>
      <c r="L377" s="17">
        <v>100</v>
      </c>
      <c r="M377" s="17">
        <v>30800</v>
      </c>
      <c r="N377" s="17">
        <f t="shared" si="47"/>
        <v>42500</v>
      </c>
      <c r="O377" s="17">
        <f t="shared" si="48"/>
        <v>11700</v>
      </c>
      <c r="P377" s="10">
        <f t="shared" si="49"/>
        <v>0.98888888888888893</v>
      </c>
      <c r="Q377" s="10">
        <f t="shared" si="50"/>
        <v>4.49438202247191E-2</v>
      </c>
      <c r="R377" s="10">
        <f t="shared" si="51"/>
        <v>0.2752941176470588</v>
      </c>
      <c r="S377" s="18">
        <f t="shared" si="52"/>
        <v>72.470588235294116</v>
      </c>
      <c r="T377" s="8">
        <f>480-ProductionData[[#This Row],[Downtime Minutes]]</f>
        <v>455</v>
      </c>
      <c r="U377" s="11">
        <f t="shared" si="53"/>
        <v>0.97802197802197799</v>
      </c>
      <c r="V377" s="18">
        <f>ProductionData[[#This Row],[Profit]]/ProductionData[[#This Row],[Good Units]]</f>
        <v>27.529411764705884</v>
      </c>
      <c r="W377" s="11">
        <f>ProductionData[[#This Row],[Good Units]]/ProductionData[[#This Row],[Operating Minutes]]</f>
        <v>0.93406593406593408</v>
      </c>
    </row>
    <row r="378" spans="1:23">
      <c r="A378" s="7">
        <v>46245</v>
      </c>
      <c r="B378" s="8" t="s">
        <v>29</v>
      </c>
      <c r="C378" s="8" t="s">
        <v>28</v>
      </c>
      <c r="D378" s="8" t="s">
        <v>23</v>
      </c>
      <c r="E378" s="8" t="s">
        <v>24</v>
      </c>
      <c r="F378" s="9">
        <v>410</v>
      </c>
      <c r="G378" s="9">
        <v>382</v>
      </c>
      <c r="H378" s="9">
        <v>8</v>
      </c>
      <c r="I378" s="9">
        <f t="shared" si="45"/>
        <v>374</v>
      </c>
      <c r="J378" s="9">
        <v>33</v>
      </c>
      <c r="K378" s="10">
        <f t="shared" si="46"/>
        <v>6.8750000000000006E-2</v>
      </c>
      <c r="L378" s="17">
        <v>120</v>
      </c>
      <c r="M378" s="17">
        <v>30800</v>
      </c>
      <c r="N378" s="17">
        <f t="shared" si="47"/>
        <v>44880</v>
      </c>
      <c r="O378" s="17">
        <f t="shared" si="48"/>
        <v>14080</v>
      </c>
      <c r="P378" s="10">
        <f t="shared" si="49"/>
        <v>0.93170731707317078</v>
      </c>
      <c r="Q378" s="10">
        <f t="shared" si="50"/>
        <v>2.0942408376963352E-2</v>
      </c>
      <c r="R378" s="10">
        <f t="shared" si="51"/>
        <v>0.31372549019607843</v>
      </c>
      <c r="S378" s="18">
        <f t="shared" si="52"/>
        <v>82.352941176470594</v>
      </c>
      <c r="T378" s="8">
        <f>480-ProductionData[[#This Row],[Downtime Minutes]]</f>
        <v>447</v>
      </c>
      <c r="U378" s="11">
        <f t="shared" si="53"/>
        <v>0.85458612975391501</v>
      </c>
      <c r="V378" s="18">
        <f>ProductionData[[#This Row],[Profit]]/ProductionData[[#This Row],[Good Units]]</f>
        <v>37.647058823529413</v>
      </c>
      <c r="W378" s="11">
        <f>ProductionData[[#This Row],[Good Units]]/ProductionData[[#This Row],[Operating Minutes]]</f>
        <v>0.83668903803131989</v>
      </c>
    </row>
    <row r="379" spans="1:23">
      <c r="A379" s="7">
        <v>46245</v>
      </c>
      <c r="B379" s="8" t="s">
        <v>29</v>
      </c>
      <c r="C379" s="8" t="s">
        <v>28</v>
      </c>
      <c r="D379" s="8" t="s">
        <v>25</v>
      </c>
      <c r="E379" s="8" t="s">
        <v>26</v>
      </c>
      <c r="F379" s="9">
        <v>500</v>
      </c>
      <c r="G379" s="9">
        <v>455</v>
      </c>
      <c r="H379" s="9">
        <v>14</v>
      </c>
      <c r="I379" s="9">
        <f t="shared" si="45"/>
        <v>441</v>
      </c>
      <c r="J379" s="9">
        <v>30</v>
      </c>
      <c r="K379" s="10">
        <f t="shared" si="46"/>
        <v>6.25E-2</v>
      </c>
      <c r="L379" s="17">
        <v>90</v>
      </c>
      <c r="M379" s="17">
        <v>30800</v>
      </c>
      <c r="N379" s="17">
        <f t="shared" si="47"/>
        <v>39690</v>
      </c>
      <c r="O379" s="17">
        <f t="shared" si="48"/>
        <v>8890</v>
      </c>
      <c r="P379" s="10">
        <f t="shared" si="49"/>
        <v>0.91</v>
      </c>
      <c r="Q379" s="10">
        <f t="shared" si="50"/>
        <v>3.0769230769230771E-2</v>
      </c>
      <c r="R379" s="10">
        <f t="shared" si="51"/>
        <v>0.22398589065255731</v>
      </c>
      <c r="S379" s="18">
        <f t="shared" si="52"/>
        <v>69.841269841269835</v>
      </c>
      <c r="T379" s="8">
        <f>480-ProductionData[[#This Row],[Downtime Minutes]]</f>
        <v>450</v>
      </c>
      <c r="U379" s="11">
        <f t="shared" si="53"/>
        <v>1.0111111111111111</v>
      </c>
      <c r="V379" s="18">
        <f>ProductionData[[#This Row],[Profit]]/ProductionData[[#This Row],[Good Units]]</f>
        <v>20.158730158730158</v>
      </c>
      <c r="W379" s="11">
        <f>ProductionData[[#This Row],[Good Units]]/ProductionData[[#This Row],[Operating Minutes]]</f>
        <v>0.98</v>
      </c>
    </row>
    <row r="380" spans="1:23">
      <c r="A380" s="7">
        <v>46246</v>
      </c>
      <c r="B380" s="8" t="s">
        <v>29</v>
      </c>
      <c r="C380" s="8" t="s">
        <v>20</v>
      </c>
      <c r="D380" s="8" t="s">
        <v>21</v>
      </c>
      <c r="E380" s="8" t="s">
        <v>26</v>
      </c>
      <c r="F380" s="9">
        <v>500</v>
      </c>
      <c r="G380" s="9">
        <v>462</v>
      </c>
      <c r="H380" s="9">
        <v>15</v>
      </c>
      <c r="I380" s="9">
        <f t="shared" si="45"/>
        <v>447</v>
      </c>
      <c r="J380" s="9">
        <v>14</v>
      </c>
      <c r="K380" s="10">
        <f t="shared" si="46"/>
        <v>2.9166666666666667E-2</v>
      </c>
      <c r="L380" s="17">
        <v>90</v>
      </c>
      <c r="M380" s="17">
        <v>30800</v>
      </c>
      <c r="N380" s="17">
        <f t="shared" si="47"/>
        <v>40230</v>
      </c>
      <c r="O380" s="17">
        <f t="shared" si="48"/>
        <v>9430</v>
      </c>
      <c r="P380" s="10">
        <f t="shared" si="49"/>
        <v>0.92400000000000004</v>
      </c>
      <c r="Q380" s="10">
        <f t="shared" si="50"/>
        <v>3.2467532467532464E-2</v>
      </c>
      <c r="R380" s="10">
        <f t="shared" si="51"/>
        <v>0.23440218742232166</v>
      </c>
      <c r="S380" s="18">
        <f t="shared" si="52"/>
        <v>68.903803131991054</v>
      </c>
      <c r="T380" s="8">
        <f>480-ProductionData[[#This Row],[Downtime Minutes]]</f>
        <v>466</v>
      </c>
      <c r="U380" s="11">
        <f t="shared" si="53"/>
        <v>0.99141630901287559</v>
      </c>
      <c r="V380" s="18">
        <f>ProductionData[[#This Row],[Profit]]/ProductionData[[#This Row],[Good Units]]</f>
        <v>21.096196868008949</v>
      </c>
      <c r="W380" s="11">
        <f>ProductionData[[#This Row],[Good Units]]/ProductionData[[#This Row],[Operating Minutes]]</f>
        <v>0.95922746781115875</v>
      </c>
    </row>
    <row r="381" spans="1:23">
      <c r="A381" s="7">
        <v>46246</v>
      </c>
      <c r="B381" s="8" t="s">
        <v>29</v>
      </c>
      <c r="C381" s="8" t="s">
        <v>20</v>
      </c>
      <c r="D381" s="8" t="s">
        <v>23</v>
      </c>
      <c r="E381" s="8" t="s">
        <v>22</v>
      </c>
      <c r="F381" s="9">
        <v>440</v>
      </c>
      <c r="G381" s="9">
        <v>412</v>
      </c>
      <c r="H381" s="9">
        <v>22</v>
      </c>
      <c r="I381" s="9">
        <f t="shared" si="45"/>
        <v>390</v>
      </c>
      <c r="J381" s="9">
        <v>51</v>
      </c>
      <c r="K381" s="10">
        <f t="shared" si="46"/>
        <v>0.10625</v>
      </c>
      <c r="L381" s="17">
        <v>100</v>
      </c>
      <c r="M381" s="17">
        <v>30800</v>
      </c>
      <c r="N381" s="17">
        <f t="shared" si="47"/>
        <v>39000</v>
      </c>
      <c r="O381" s="17">
        <f t="shared" si="48"/>
        <v>8200</v>
      </c>
      <c r="P381" s="10">
        <f t="shared" si="49"/>
        <v>0.9363636363636364</v>
      </c>
      <c r="Q381" s="10">
        <f t="shared" si="50"/>
        <v>5.3398058252427182E-2</v>
      </c>
      <c r="R381" s="10">
        <f t="shared" si="51"/>
        <v>0.21025641025641026</v>
      </c>
      <c r="S381" s="18">
        <f t="shared" si="52"/>
        <v>78.974358974358978</v>
      </c>
      <c r="T381" s="8">
        <f>480-ProductionData[[#This Row],[Downtime Minutes]]</f>
        <v>429</v>
      </c>
      <c r="U381" s="11">
        <f t="shared" si="53"/>
        <v>0.96037296037296038</v>
      </c>
      <c r="V381" s="18">
        <f>ProductionData[[#This Row],[Profit]]/ProductionData[[#This Row],[Good Units]]</f>
        <v>21.025641025641026</v>
      </c>
      <c r="W381" s="11">
        <f>ProductionData[[#This Row],[Good Units]]/ProductionData[[#This Row],[Operating Minutes]]</f>
        <v>0.90909090909090906</v>
      </c>
    </row>
    <row r="382" spans="1:23">
      <c r="A382" s="7">
        <v>46246</v>
      </c>
      <c r="B382" s="8" t="s">
        <v>29</v>
      </c>
      <c r="C382" s="8" t="s">
        <v>20</v>
      </c>
      <c r="D382" s="8" t="s">
        <v>25</v>
      </c>
      <c r="E382" s="8" t="s">
        <v>24</v>
      </c>
      <c r="F382" s="9">
        <v>390</v>
      </c>
      <c r="G382" s="9">
        <v>339</v>
      </c>
      <c r="H382" s="9">
        <v>12</v>
      </c>
      <c r="I382" s="9">
        <f t="shared" si="45"/>
        <v>327</v>
      </c>
      <c r="J382" s="9">
        <v>35</v>
      </c>
      <c r="K382" s="10">
        <f t="shared" si="46"/>
        <v>7.2916666666666671E-2</v>
      </c>
      <c r="L382" s="17">
        <v>120</v>
      </c>
      <c r="M382" s="17">
        <v>30800</v>
      </c>
      <c r="N382" s="17">
        <f t="shared" si="47"/>
        <v>39240</v>
      </c>
      <c r="O382" s="17">
        <f t="shared" si="48"/>
        <v>8440</v>
      </c>
      <c r="P382" s="10">
        <f t="shared" si="49"/>
        <v>0.86923076923076925</v>
      </c>
      <c r="Q382" s="10">
        <f t="shared" si="50"/>
        <v>3.5398230088495575E-2</v>
      </c>
      <c r="R382" s="10">
        <f t="shared" si="51"/>
        <v>0.21508664627930682</v>
      </c>
      <c r="S382" s="18">
        <f t="shared" si="52"/>
        <v>94.189602446483178</v>
      </c>
      <c r="T382" s="8">
        <f>480-ProductionData[[#This Row],[Downtime Minutes]]</f>
        <v>445</v>
      </c>
      <c r="U382" s="11">
        <f t="shared" si="53"/>
        <v>0.76179775280898876</v>
      </c>
      <c r="V382" s="18">
        <f>ProductionData[[#This Row],[Profit]]/ProductionData[[#This Row],[Good Units]]</f>
        <v>25.810397553516818</v>
      </c>
      <c r="W382" s="11">
        <f>ProductionData[[#This Row],[Good Units]]/ProductionData[[#This Row],[Operating Minutes]]</f>
        <v>0.73483146067415728</v>
      </c>
    </row>
    <row r="383" spans="1:23">
      <c r="A383" s="7">
        <v>46246</v>
      </c>
      <c r="B383" s="8" t="s">
        <v>29</v>
      </c>
      <c r="C383" s="8" t="s">
        <v>27</v>
      </c>
      <c r="D383" s="8" t="s">
        <v>21</v>
      </c>
      <c r="E383" s="8" t="s">
        <v>22</v>
      </c>
      <c r="F383" s="9">
        <v>460</v>
      </c>
      <c r="G383" s="9">
        <v>417</v>
      </c>
      <c r="H383" s="9">
        <v>25</v>
      </c>
      <c r="I383" s="9">
        <f t="shared" si="45"/>
        <v>392</v>
      </c>
      <c r="J383" s="9">
        <v>53</v>
      </c>
      <c r="K383" s="10">
        <f t="shared" si="46"/>
        <v>0.11041666666666666</v>
      </c>
      <c r="L383" s="17">
        <v>100</v>
      </c>
      <c r="M383" s="17">
        <v>30800</v>
      </c>
      <c r="N383" s="17">
        <f t="shared" si="47"/>
        <v>39200</v>
      </c>
      <c r="O383" s="17">
        <f t="shared" si="48"/>
        <v>8400</v>
      </c>
      <c r="P383" s="10">
        <f t="shared" si="49"/>
        <v>0.90652173913043477</v>
      </c>
      <c r="Q383" s="10">
        <f t="shared" si="50"/>
        <v>5.9952038369304558E-2</v>
      </c>
      <c r="R383" s="10">
        <f t="shared" si="51"/>
        <v>0.21428571428571427</v>
      </c>
      <c r="S383" s="18">
        <f t="shared" si="52"/>
        <v>78.571428571428569</v>
      </c>
      <c r="T383" s="8">
        <f>480-ProductionData[[#This Row],[Downtime Minutes]]</f>
        <v>427</v>
      </c>
      <c r="U383" s="11">
        <f t="shared" si="53"/>
        <v>0.97658079625292737</v>
      </c>
      <c r="V383" s="18">
        <f>ProductionData[[#This Row],[Profit]]/ProductionData[[#This Row],[Good Units]]</f>
        <v>21.428571428571427</v>
      </c>
      <c r="W383" s="11">
        <f>ProductionData[[#This Row],[Good Units]]/ProductionData[[#This Row],[Operating Minutes]]</f>
        <v>0.91803278688524592</v>
      </c>
    </row>
    <row r="384" spans="1:23">
      <c r="A384" s="7">
        <v>46246</v>
      </c>
      <c r="B384" s="8" t="s">
        <v>29</v>
      </c>
      <c r="C384" s="8" t="s">
        <v>27</v>
      </c>
      <c r="D384" s="8" t="s">
        <v>23</v>
      </c>
      <c r="E384" s="8" t="s">
        <v>24</v>
      </c>
      <c r="F384" s="9">
        <v>400</v>
      </c>
      <c r="G384" s="9">
        <v>345</v>
      </c>
      <c r="H384" s="9">
        <v>18</v>
      </c>
      <c r="I384" s="9">
        <f t="shared" si="45"/>
        <v>327</v>
      </c>
      <c r="J384" s="9">
        <v>45</v>
      </c>
      <c r="K384" s="10">
        <f t="shared" si="46"/>
        <v>9.375E-2</v>
      </c>
      <c r="L384" s="17">
        <v>120</v>
      </c>
      <c r="M384" s="17">
        <v>30800</v>
      </c>
      <c r="N384" s="17">
        <f t="shared" si="47"/>
        <v>39240</v>
      </c>
      <c r="O384" s="17">
        <f t="shared" si="48"/>
        <v>8440</v>
      </c>
      <c r="P384" s="10">
        <f t="shared" si="49"/>
        <v>0.86250000000000004</v>
      </c>
      <c r="Q384" s="10">
        <f t="shared" si="50"/>
        <v>5.2173913043478258E-2</v>
      </c>
      <c r="R384" s="10">
        <f t="shared" si="51"/>
        <v>0.21508664627930682</v>
      </c>
      <c r="S384" s="18">
        <f t="shared" si="52"/>
        <v>94.189602446483178</v>
      </c>
      <c r="T384" s="8">
        <f>480-ProductionData[[#This Row],[Downtime Minutes]]</f>
        <v>435</v>
      </c>
      <c r="U384" s="11">
        <f t="shared" si="53"/>
        <v>0.7931034482758621</v>
      </c>
      <c r="V384" s="18">
        <f>ProductionData[[#This Row],[Profit]]/ProductionData[[#This Row],[Good Units]]</f>
        <v>25.810397553516818</v>
      </c>
      <c r="W384" s="11">
        <f>ProductionData[[#This Row],[Good Units]]/ProductionData[[#This Row],[Operating Minutes]]</f>
        <v>0.75172413793103443</v>
      </c>
    </row>
    <row r="385" spans="1:23">
      <c r="A385" s="7">
        <v>46246</v>
      </c>
      <c r="B385" s="8" t="s">
        <v>29</v>
      </c>
      <c r="C385" s="8" t="s">
        <v>27</v>
      </c>
      <c r="D385" s="8" t="s">
        <v>25</v>
      </c>
      <c r="E385" s="8" t="s">
        <v>26</v>
      </c>
      <c r="F385" s="9">
        <v>500</v>
      </c>
      <c r="G385" s="9">
        <v>433</v>
      </c>
      <c r="H385" s="9">
        <v>26</v>
      </c>
      <c r="I385" s="9">
        <f t="shared" si="45"/>
        <v>407</v>
      </c>
      <c r="J385" s="9">
        <v>63</v>
      </c>
      <c r="K385" s="10">
        <f t="shared" si="46"/>
        <v>0.13125000000000001</v>
      </c>
      <c r="L385" s="17">
        <v>90</v>
      </c>
      <c r="M385" s="17">
        <v>30800</v>
      </c>
      <c r="N385" s="17">
        <f t="shared" si="47"/>
        <v>36630</v>
      </c>
      <c r="O385" s="17">
        <f t="shared" si="48"/>
        <v>5830</v>
      </c>
      <c r="P385" s="10">
        <f t="shared" si="49"/>
        <v>0.86599999999999999</v>
      </c>
      <c r="Q385" s="10">
        <f t="shared" si="50"/>
        <v>6.0046189376443418E-2</v>
      </c>
      <c r="R385" s="10">
        <f t="shared" si="51"/>
        <v>0.15915915915915915</v>
      </c>
      <c r="S385" s="18">
        <f t="shared" si="52"/>
        <v>75.675675675675677</v>
      </c>
      <c r="T385" s="8">
        <f>480-ProductionData[[#This Row],[Downtime Minutes]]</f>
        <v>417</v>
      </c>
      <c r="U385" s="11">
        <f t="shared" si="53"/>
        <v>1.0383693045563549</v>
      </c>
      <c r="V385" s="18">
        <f>ProductionData[[#This Row],[Profit]]/ProductionData[[#This Row],[Good Units]]</f>
        <v>14.324324324324325</v>
      </c>
      <c r="W385" s="11">
        <f>ProductionData[[#This Row],[Good Units]]/ProductionData[[#This Row],[Operating Minutes]]</f>
        <v>0.97601918465227822</v>
      </c>
    </row>
    <row r="386" spans="1:23">
      <c r="A386" s="7">
        <v>46246</v>
      </c>
      <c r="B386" s="8" t="s">
        <v>29</v>
      </c>
      <c r="C386" s="8" t="s">
        <v>28</v>
      </c>
      <c r="D386" s="8" t="s">
        <v>21</v>
      </c>
      <c r="E386" s="8" t="s">
        <v>24</v>
      </c>
      <c r="F386" s="9">
        <v>400</v>
      </c>
      <c r="G386" s="9">
        <v>375</v>
      </c>
      <c r="H386" s="9">
        <v>6</v>
      </c>
      <c r="I386" s="9">
        <f t="shared" ref="I386:I449" si="54">G386-H386</f>
        <v>369</v>
      </c>
      <c r="J386" s="9">
        <v>21</v>
      </c>
      <c r="K386" s="10">
        <f t="shared" ref="K386:K449" si="55">J386/480</f>
        <v>4.3749999999999997E-2</v>
      </c>
      <c r="L386" s="17">
        <v>120</v>
      </c>
      <c r="M386" s="17">
        <v>30800</v>
      </c>
      <c r="N386" s="17">
        <f t="shared" ref="N386:N449" si="56">I386*L386</f>
        <v>44280</v>
      </c>
      <c r="O386" s="17">
        <f t="shared" ref="O386:O449" si="57">N386-M386</f>
        <v>13480</v>
      </c>
      <c r="P386" s="10">
        <f t="shared" ref="P386:P449" si="58">G386/F386</f>
        <v>0.9375</v>
      </c>
      <c r="Q386" s="10">
        <f t="shared" ref="Q386:Q449" si="59">H386/G386</f>
        <v>1.6E-2</v>
      </c>
      <c r="R386" s="10">
        <f t="shared" ref="R386:R449" si="60">O386/N386</f>
        <v>0.30442637759710928</v>
      </c>
      <c r="S386" s="18">
        <f t="shared" ref="S386:S449" si="61">M386/I386</f>
        <v>83.468834688346888</v>
      </c>
      <c r="T386" s="8">
        <f>480-ProductionData[[#This Row],[Downtime Minutes]]</f>
        <v>459</v>
      </c>
      <c r="U386" s="11">
        <f t="shared" ref="U386:U449" si="62">G386/T386</f>
        <v>0.81699346405228757</v>
      </c>
      <c r="V386" s="18">
        <f>ProductionData[[#This Row],[Profit]]/ProductionData[[#This Row],[Good Units]]</f>
        <v>36.531165311653119</v>
      </c>
      <c r="W386" s="11">
        <f>ProductionData[[#This Row],[Good Units]]/ProductionData[[#This Row],[Operating Minutes]]</f>
        <v>0.80392156862745101</v>
      </c>
    </row>
    <row r="387" spans="1:23">
      <c r="A387" s="7">
        <v>46246</v>
      </c>
      <c r="B387" s="8" t="s">
        <v>29</v>
      </c>
      <c r="C387" s="8" t="s">
        <v>28</v>
      </c>
      <c r="D387" s="8" t="s">
        <v>23</v>
      </c>
      <c r="E387" s="8" t="s">
        <v>26</v>
      </c>
      <c r="F387" s="9">
        <v>500</v>
      </c>
      <c r="G387" s="9">
        <v>471</v>
      </c>
      <c r="H387" s="9">
        <v>12</v>
      </c>
      <c r="I387" s="9">
        <f t="shared" si="54"/>
        <v>459</v>
      </c>
      <c r="J387" s="9">
        <v>31</v>
      </c>
      <c r="K387" s="10">
        <f t="shared" si="55"/>
        <v>6.458333333333334E-2</v>
      </c>
      <c r="L387" s="17">
        <v>90</v>
      </c>
      <c r="M387" s="17">
        <v>30800</v>
      </c>
      <c r="N387" s="17">
        <f t="shared" si="56"/>
        <v>41310</v>
      </c>
      <c r="O387" s="17">
        <f t="shared" si="57"/>
        <v>10510</v>
      </c>
      <c r="P387" s="10">
        <f t="shared" si="58"/>
        <v>0.94199999999999995</v>
      </c>
      <c r="Q387" s="10">
        <f t="shared" si="59"/>
        <v>2.5477707006369428E-2</v>
      </c>
      <c r="R387" s="10">
        <f t="shared" si="60"/>
        <v>0.25441781650931977</v>
      </c>
      <c r="S387" s="18">
        <f t="shared" si="61"/>
        <v>67.102396514161214</v>
      </c>
      <c r="T387" s="8">
        <f>480-ProductionData[[#This Row],[Downtime Minutes]]</f>
        <v>449</v>
      </c>
      <c r="U387" s="11">
        <f t="shared" si="62"/>
        <v>1.0489977728285078</v>
      </c>
      <c r="V387" s="18">
        <f>ProductionData[[#This Row],[Profit]]/ProductionData[[#This Row],[Good Units]]</f>
        <v>22.897603485838779</v>
      </c>
      <c r="W387" s="11">
        <f>ProductionData[[#This Row],[Good Units]]/ProductionData[[#This Row],[Operating Minutes]]</f>
        <v>1.022271714922049</v>
      </c>
    </row>
    <row r="388" spans="1:23">
      <c r="A388" s="7">
        <v>46246</v>
      </c>
      <c r="B388" s="8" t="s">
        <v>29</v>
      </c>
      <c r="C388" s="8" t="s">
        <v>28</v>
      </c>
      <c r="D388" s="8" t="s">
        <v>25</v>
      </c>
      <c r="E388" s="8" t="s">
        <v>22</v>
      </c>
      <c r="F388" s="9">
        <v>450</v>
      </c>
      <c r="G388" s="9">
        <v>401</v>
      </c>
      <c r="H388" s="9">
        <v>17</v>
      </c>
      <c r="I388" s="9">
        <f t="shared" si="54"/>
        <v>384</v>
      </c>
      <c r="J388" s="9">
        <v>50</v>
      </c>
      <c r="K388" s="10">
        <f t="shared" si="55"/>
        <v>0.10416666666666667</v>
      </c>
      <c r="L388" s="17">
        <v>100</v>
      </c>
      <c r="M388" s="17">
        <v>30800</v>
      </c>
      <c r="N388" s="17">
        <f t="shared" si="56"/>
        <v>38400</v>
      </c>
      <c r="O388" s="17">
        <f t="shared" si="57"/>
        <v>7600</v>
      </c>
      <c r="P388" s="10">
        <f t="shared" si="58"/>
        <v>0.89111111111111108</v>
      </c>
      <c r="Q388" s="10">
        <f t="shared" si="59"/>
        <v>4.2394014962593519E-2</v>
      </c>
      <c r="R388" s="10">
        <f t="shared" si="60"/>
        <v>0.19791666666666666</v>
      </c>
      <c r="S388" s="18">
        <f t="shared" si="61"/>
        <v>80.208333333333329</v>
      </c>
      <c r="T388" s="8">
        <f>480-ProductionData[[#This Row],[Downtime Minutes]]</f>
        <v>430</v>
      </c>
      <c r="U388" s="11">
        <f t="shared" si="62"/>
        <v>0.93255813953488376</v>
      </c>
      <c r="V388" s="18">
        <f>ProductionData[[#This Row],[Profit]]/ProductionData[[#This Row],[Good Units]]</f>
        <v>19.791666666666668</v>
      </c>
      <c r="W388" s="11">
        <f>ProductionData[[#This Row],[Good Units]]/ProductionData[[#This Row],[Operating Minutes]]</f>
        <v>0.89302325581395348</v>
      </c>
    </row>
    <row r="389" spans="1:23">
      <c r="A389" s="7">
        <v>46247</v>
      </c>
      <c r="B389" s="8" t="s">
        <v>29</v>
      </c>
      <c r="C389" s="8" t="s">
        <v>20</v>
      </c>
      <c r="D389" s="8" t="s">
        <v>21</v>
      </c>
      <c r="E389" s="8" t="s">
        <v>22</v>
      </c>
      <c r="F389" s="9">
        <v>460</v>
      </c>
      <c r="G389" s="9">
        <v>432</v>
      </c>
      <c r="H389" s="9">
        <v>17</v>
      </c>
      <c r="I389" s="9">
        <f t="shared" si="54"/>
        <v>415</v>
      </c>
      <c r="J389" s="9">
        <v>39</v>
      </c>
      <c r="K389" s="10">
        <f t="shared" si="55"/>
        <v>8.1250000000000003E-2</v>
      </c>
      <c r="L389" s="17">
        <v>100</v>
      </c>
      <c r="M389" s="17">
        <v>30800</v>
      </c>
      <c r="N389" s="17">
        <f t="shared" si="56"/>
        <v>41500</v>
      </c>
      <c r="O389" s="17">
        <f t="shared" si="57"/>
        <v>10700</v>
      </c>
      <c r="P389" s="10">
        <f t="shared" si="58"/>
        <v>0.93913043478260871</v>
      </c>
      <c r="Q389" s="10">
        <f t="shared" si="59"/>
        <v>3.9351851851851853E-2</v>
      </c>
      <c r="R389" s="10">
        <f t="shared" si="60"/>
        <v>0.25783132530120484</v>
      </c>
      <c r="S389" s="18">
        <f t="shared" si="61"/>
        <v>74.216867469879517</v>
      </c>
      <c r="T389" s="8">
        <f>480-ProductionData[[#This Row],[Downtime Minutes]]</f>
        <v>441</v>
      </c>
      <c r="U389" s="11">
        <f t="shared" si="62"/>
        <v>0.97959183673469385</v>
      </c>
      <c r="V389" s="18">
        <f>ProductionData[[#This Row],[Profit]]/ProductionData[[#This Row],[Good Units]]</f>
        <v>25.783132530120483</v>
      </c>
      <c r="W389" s="11">
        <f>ProductionData[[#This Row],[Good Units]]/ProductionData[[#This Row],[Operating Minutes]]</f>
        <v>0.94104308390022673</v>
      </c>
    </row>
    <row r="390" spans="1:23">
      <c r="A390" s="7">
        <v>46247</v>
      </c>
      <c r="B390" s="8" t="s">
        <v>29</v>
      </c>
      <c r="C390" s="8" t="s">
        <v>20</v>
      </c>
      <c r="D390" s="8" t="s">
        <v>23</v>
      </c>
      <c r="E390" s="8" t="s">
        <v>24</v>
      </c>
      <c r="F390" s="9">
        <v>390</v>
      </c>
      <c r="G390" s="9">
        <v>365</v>
      </c>
      <c r="H390" s="9">
        <v>10</v>
      </c>
      <c r="I390" s="9">
        <f t="shared" si="54"/>
        <v>355</v>
      </c>
      <c r="J390" s="9">
        <v>44</v>
      </c>
      <c r="K390" s="10">
        <f t="shared" si="55"/>
        <v>9.166666666666666E-2</v>
      </c>
      <c r="L390" s="17">
        <v>120</v>
      </c>
      <c r="M390" s="17">
        <v>30800</v>
      </c>
      <c r="N390" s="17">
        <f t="shared" si="56"/>
        <v>42600</v>
      </c>
      <c r="O390" s="17">
        <f t="shared" si="57"/>
        <v>11800</v>
      </c>
      <c r="P390" s="10">
        <f t="shared" si="58"/>
        <v>0.9358974358974359</v>
      </c>
      <c r="Q390" s="10">
        <f t="shared" si="59"/>
        <v>2.7397260273972601E-2</v>
      </c>
      <c r="R390" s="10">
        <f t="shared" si="60"/>
        <v>0.27699530516431925</v>
      </c>
      <c r="S390" s="18">
        <f t="shared" si="61"/>
        <v>86.760563380281695</v>
      </c>
      <c r="T390" s="8">
        <f>480-ProductionData[[#This Row],[Downtime Minutes]]</f>
        <v>436</v>
      </c>
      <c r="U390" s="11">
        <f t="shared" si="62"/>
        <v>0.83715596330275233</v>
      </c>
      <c r="V390" s="18">
        <f>ProductionData[[#This Row],[Profit]]/ProductionData[[#This Row],[Good Units]]</f>
        <v>33.239436619718312</v>
      </c>
      <c r="W390" s="11">
        <f>ProductionData[[#This Row],[Good Units]]/ProductionData[[#This Row],[Operating Minutes]]</f>
        <v>0.81422018348623848</v>
      </c>
    </row>
    <row r="391" spans="1:23">
      <c r="A391" s="7">
        <v>46247</v>
      </c>
      <c r="B391" s="8" t="s">
        <v>29</v>
      </c>
      <c r="C391" s="8" t="s">
        <v>20</v>
      </c>
      <c r="D391" s="8" t="s">
        <v>25</v>
      </c>
      <c r="E391" s="8" t="s">
        <v>26</v>
      </c>
      <c r="F391" s="9">
        <v>500</v>
      </c>
      <c r="G391" s="9">
        <v>450</v>
      </c>
      <c r="H391" s="9">
        <v>20</v>
      </c>
      <c r="I391" s="9">
        <f t="shared" si="54"/>
        <v>430</v>
      </c>
      <c r="J391" s="9">
        <v>41</v>
      </c>
      <c r="K391" s="10">
        <f t="shared" si="55"/>
        <v>8.5416666666666669E-2</v>
      </c>
      <c r="L391" s="17">
        <v>90</v>
      </c>
      <c r="M391" s="17">
        <v>30800</v>
      </c>
      <c r="N391" s="17">
        <f t="shared" si="56"/>
        <v>38700</v>
      </c>
      <c r="O391" s="17">
        <f t="shared" si="57"/>
        <v>7900</v>
      </c>
      <c r="P391" s="10">
        <f t="shared" si="58"/>
        <v>0.9</v>
      </c>
      <c r="Q391" s="10">
        <f t="shared" si="59"/>
        <v>4.4444444444444446E-2</v>
      </c>
      <c r="R391" s="10">
        <f t="shared" si="60"/>
        <v>0.20413436692506459</v>
      </c>
      <c r="S391" s="18">
        <f t="shared" si="61"/>
        <v>71.627906976744185</v>
      </c>
      <c r="T391" s="8">
        <f>480-ProductionData[[#This Row],[Downtime Minutes]]</f>
        <v>439</v>
      </c>
      <c r="U391" s="11">
        <f t="shared" si="62"/>
        <v>1.0250569476082005</v>
      </c>
      <c r="V391" s="18">
        <f>ProductionData[[#This Row],[Profit]]/ProductionData[[#This Row],[Good Units]]</f>
        <v>18.372093023255815</v>
      </c>
      <c r="W391" s="11">
        <f>ProductionData[[#This Row],[Good Units]]/ProductionData[[#This Row],[Operating Minutes]]</f>
        <v>0.97949886104783601</v>
      </c>
    </row>
    <row r="392" spans="1:23">
      <c r="A392" s="7">
        <v>46247</v>
      </c>
      <c r="B392" s="8" t="s">
        <v>29</v>
      </c>
      <c r="C392" s="8" t="s">
        <v>27</v>
      </c>
      <c r="D392" s="8" t="s">
        <v>21</v>
      </c>
      <c r="E392" s="8" t="s">
        <v>24</v>
      </c>
      <c r="F392" s="9">
        <v>390</v>
      </c>
      <c r="G392" s="9">
        <v>354</v>
      </c>
      <c r="H392" s="9">
        <v>16</v>
      </c>
      <c r="I392" s="9">
        <f t="shared" si="54"/>
        <v>338</v>
      </c>
      <c r="J392" s="9">
        <v>57</v>
      </c>
      <c r="K392" s="10">
        <f t="shared" si="55"/>
        <v>0.11874999999999999</v>
      </c>
      <c r="L392" s="17">
        <v>120</v>
      </c>
      <c r="M392" s="17">
        <v>30800</v>
      </c>
      <c r="N392" s="17">
        <f t="shared" si="56"/>
        <v>40560</v>
      </c>
      <c r="O392" s="17">
        <f t="shared" si="57"/>
        <v>9760</v>
      </c>
      <c r="P392" s="10">
        <f t="shared" si="58"/>
        <v>0.90769230769230769</v>
      </c>
      <c r="Q392" s="10">
        <f t="shared" si="59"/>
        <v>4.519774011299435E-2</v>
      </c>
      <c r="R392" s="10">
        <f t="shared" si="60"/>
        <v>0.24063116370808679</v>
      </c>
      <c r="S392" s="18">
        <f t="shared" si="61"/>
        <v>91.124260355029591</v>
      </c>
      <c r="T392" s="8">
        <f>480-ProductionData[[#This Row],[Downtime Minutes]]</f>
        <v>423</v>
      </c>
      <c r="U392" s="11">
        <f t="shared" si="62"/>
        <v>0.83687943262411346</v>
      </c>
      <c r="V392" s="18">
        <f>ProductionData[[#This Row],[Profit]]/ProductionData[[#This Row],[Good Units]]</f>
        <v>28.875739644970412</v>
      </c>
      <c r="W392" s="11">
        <f>ProductionData[[#This Row],[Good Units]]/ProductionData[[#This Row],[Operating Minutes]]</f>
        <v>0.79905437352245867</v>
      </c>
    </row>
    <row r="393" spans="1:23">
      <c r="A393" s="7">
        <v>46247</v>
      </c>
      <c r="B393" s="8" t="s">
        <v>29</v>
      </c>
      <c r="C393" s="8" t="s">
        <v>27</v>
      </c>
      <c r="D393" s="8" t="s">
        <v>23</v>
      </c>
      <c r="E393" s="8" t="s">
        <v>26</v>
      </c>
      <c r="F393" s="9">
        <v>520</v>
      </c>
      <c r="G393" s="9">
        <v>459</v>
      </c>
      <c r="H393" s="9">
        <v>27</v>
      </c>
      <c r="I393" s="9">
        <f t="shared" si="54"/>
        <v>432</v>
      </c>
      <c r="J393" s="9">
        <v>61</v>
      </c>
      <c r="K393" s="10">
        <f t="shared" si="55"/>
        <v>0.12708333333333333</v>
      </c>
      <c r="L393" s="17">
        <v>90</v>
      </c>
      <c r="M393" s="17">
        <v>30800</v>
      </c>
      <c r="N393" s="17">
        <f t="shared" si="56"/>
        <v>38880</v>
      </c>
      <c r="O393" s="17">
        <f t="shared" si="57"/>
        <v>8080</v>
      </c>
      <c r="P393" s="10">
        <f t="shared" si="58"/>
        <v>0.88269230769230766</v>
      </c>
      <c r="Q393" s="10">
        <f t="shared" si="59"/>
        <v>5.8823529411764705E-2</v>
      </c>
      <c r="R393" s="10">
        <f t="shared" si="60"/>
        <v>0.20781893004115226</v>
      </c>
      <c r="S393" s="18">
        <f t="shared" si="61"/>
        <v>71.296296296296291</v>
      </c>
      <c r="T393" s="8">
        <f>480-ProductionData[[#This Row],[Downtime Minutes]]</f>
        <v>419</v>
      </c>
      <c r="U393" s="11">
        <f t="shared" si="62"/>
        <v>1.0954653937947494</v>
      </c>
      <c r="V393" s="18">
        <f>ProductionData[[#This Row],[Profit]]/ProductionData[[#This Row],[Good Units]]</f>
        <v>18.703703703703702</v>
      </c>
      <c r="W393" s="11">
        <f>ProductionData[[#This Row],[Good Units]]/ProductionData[[#This Row],[Operating Minutes]]</f>
        <v>1.0310262529832936</v>
      </c>
    </row>
    <row r="394" spans="1:23">
      <c r="A394" s="7">
        <v>46247</v>
      </c>
      <c r="B394" s="8" t="s">
        <v>29</v>
      </c>
      <c r="C394" s="8" t="s">
        <v>27</v>
      </c>
      <c r="D394" s="8" t="s">
        <v>25</v>
      </c>
      <c r="E394" s="8" t="s">
        <v>22</v>
      </c>
      <c r="F394" s="9">
        <v>430</v>
      </c>
      <c r="G394" s="9">
        <v>364</v>
      </c>
      <c r="H394" s="9">
        <v>30</v>
      </c>
      <c r="I394" s="9">
        <f t="shared" si="54"/>
        <v>334</v>
      </c>
      <c r="J394" s="9">
        <v>78</v>
      </c>
      <c r="K394" s="10">
        <f t="shared" si="55"/>
        <v>0.16250000000000001</v>
      </c>
      <c r="L394" s="17">
        <v>100</v>
      </c>
      <c r="M394" s="17">
        <v>30800</v>
      </c>
      <c r="N394" s="17">
        <f t="shared" si="56"/>
        <v>33400</v>
      </c>
      <c r="O394" s="17">
        <f t="shared" si="57"/>
        <v>2600</v>
      </c>
      <c r="P394" s="10">
        <f t="shared" si="58"/>
        <v>0.84651162790697676</v>
      </c>
      <c r="Q394" s="10">
        <f t="shared" si="59"/>
        <v>8.2417582417582416E-2</v>
      </c>
      <c r="R394" s="10">
        <f t="shared" si="60"/>
        <v>7.7844311377245512E-2</v>
      </c>
      <c r="S394" s="18">
        <f t="shared" si="61"/>
        <v>92.215568862275447</v>
      </c>
      <c r="T394" s="8">
        <f>480-ProductionData[[#This Row],[Downtime Minutes]]</f>
        <v>402</v>
      </c>
      <c r="U394" s="11">
        <f t="shared" si="62"/>
        <v>0.90547263681592038</v>
      </c>
      <c r="V394" s="18">
        <f>ProductionData[[#This Row],[Profit]]/ProductionData[[#This Row],[Good Units]]</f>
        <v>7.7844311377245505</v>
      </c>
      <c r="W394" s="11">
        <f>ProductionData[[#This Row],[Good Units]]/ProductionData[[#This Row],[Operating Minutes]]</f>
        <v>0.8308457711442786</v>
      </c>
    </row>
    <row r="395" spans="1:23">
      <c r="A395" s="7">
        <v>46247</v>
      </c>
      <c r="B395" s="8" t="s">
        <v>29</v>
      </c>
      <c r="C395" s="8" t="s">
        <v>28</v>
      </c>
      <c r="D395" s="8" t="s">
        <v>21</v>
      </c>
      <c r="E395" s="8" t="s">
        <v>26</v>
      </c>
      <c r="F395" s="9">
        <v>500</v>
      </c>
      <c r="G395" s="9">
        <v>486</v>
      </c>
      <c r="H395" s="9">
        <v>13</v>
      </c>
      <c r="I395" s="9">
        <f t="shared" si="54"/>
        <v>473</v>
      </c>
      <c r="J395" s="9">
        <v>10</v>
      </c>
      <c r="K395" s="10">
        <f t="shared" si="55"/>
        <v>2.0833333333333332E-2</v>
      </c>
      <c r="L395" s="17">
        <v>90</v>
      </c>
      <c r="M395" s="17">
        <v>30800</v>
      </c>
      <c r="N395" s="17">
        <f t="shared" si="56"/>
        <v>42570</v>
      </c>
      <c r="O395" s="17">
        <f t="shared" si="57"/>
        <v>11770</v>
      </c>
      <c r="P395" s="10">
        <f t="shared" si="58"/>
        <v>0.97199999999999998</v>
      </c>
      <c r="Q395" s="10">
        <f t="shared" si="59"/>
        <v>2.6748971193415638E-2</v>
      </c>
      <c r="R395" s="10">
        <f t="shared" si="60"/>
        <v>0.27648578811369506</v>
      </c>
      <c r="S395" s="18">
        <f t="shared" si="61"/>
        <v>65.116279069767444</v>
      </c>
      <c r="T395" s="8">
        <f>480-ProductionData[[#This Row],[Downtime Minutes]]</f>
        <v>470</v>
      </c>
      <c r="U395" s="11">
        <f t="shared" si="62"/>
        <v>1.0340425531914894</v>
      </c>
      <c r="V395" s="18">
        <f>ProductionData[[#This Row],[Profit]]/ProductionData[[#This Row],[Good Units]]</f>
        <v>24.88372093023256</v>
      </c>
      <c r="W395" s="11">
        <f>ProductionData[[#This Row],[Good Units]]/ProductionData[[#This Row],[Operating Minutes]]</f>
        <v>1.0063829787234042</v>
      </c>
    </row>
    <row r="396" spans="1:23">
      <c r="A396" s="7">
        <v>46247</v>
      </c>
      <c r="B396" s="8" t="s">
        <v>29</v>
      </c>
      <c r="C396" s="8" t="s">
        <v>28</v>
      </c>
      <c r="D396" s="8" t="s">
        <v>23</v>
      </c>
      <c r="E396" s="8" t="s">
        <v>22</v>
      </c>
      <c r="F396" s="9">
        <v>450</v>
      </c>
      <c r="G396" s="9">
        <v>430</v>
      </c>
      <c r="H396" s="9">
        <v>21</v>
      </c>
      <c r="I396" s="9">
        <f t="shared" si="54"/>
        <v>409</v>
      </c>
      <c r="J396" s="9">
        <v>26</v>
      </c>
      <c r="K396" s="10">
        <f t="shared" si="55"/>
        <v>5.4166666666666669E-2</v>
      </c>
      <c r="L396" s="17">
        <v>100</v>
      </c>
      <c r="M396" s="17">
        <v>30800</v>
      </c>
      <c r="N396" s="17">
        <f t="shared" si="56"/>
        <v>40900</v>
      </c>
      <c r="O396" s="17">
        <f t="shared" si="57"/>
        <v>10100</v>
      </c>
      <c r="P396" s="10">
        <f t="shared" si="58"/>
        <v>0.9555555555555556</v>
      </c>
      <c r="Q396" s="10">
        <f t="shared" si="59"/>
        <v>4.8837209302325581E-2</v>
      </c>
      <c r="R396" s="10">
        <f t="shared" si="60"/>
        <v>0.24694376528117359</v>
      </c>
      <c r="S396" s="18">
        <f t="shared" si="61"/>
        <v>75.30562347188264</v>
      </c>
      <c r="T396" s="8">
        <f>480-ProductionData[[#This Row],[Downtime Minutes]]</f>
        <v>454</v>
      </c>
      <c r="U396" s="11">
        <f t="shared" si="62"/>
        <v>0.94713656387665202</v>
      </c>
      <c r="V396" s="18">
        <f>ProductionData[[#This Row],[Profit]]/ProductionData[[#This Row],[Good Units]]</f>
        <v>24.69437652811736</v>
      </c>
      <c r="W396" s="11">
        <f>ProductionData[[#This Row],[Good Units]]/ProductionData[[#This Row],[Operating Minutes]]</f>
        <v>0.90088105726872247</v>
      </c>
    </row>
    <row r="397" spans="1:23">
      <c r="A397" s="7">
        <v>46247</v>
      </c>
      <c r="B397" s="8" t="s">
        <v>29</v>
      </c>
      <c r="C397" s="8" t="s">
        <v>28</v>
      </c>
      <c r="D397" s="8" t="s">
        <v>25</v>
      </c>
      <c r="E397" s="8" t="s">
        <v>24</v>
      </c>
      <c r="F397" s="9">
        <v>390</v>
      </c>
      <c r="G397" s="9">
        <v>360</v>
      </c>
      <c r="H397" s="9">
        <v>14</v>
      </c>
      <c r="I397" s="9">
        <f t="shared" si="54"/>
        <v>346</v>
      </c>
      <c r="J397" s="9">
        <v>29</v>
      </c>
      <c r="K397" s="10">
        <f t="shared" si="55"/>
        <v>6.0416666666666667E-2</v>
      </c>
      <c r="L397" s="17">
        <v>120</v>
      </c>
      <c r="M397" s="17">
        <v>30800</v>
      </c>
      <c r="N397" s="17">
        <f t="shared" si="56"/>
        <v>41520</v>
      </c>
      <c r="O397" s="17">
        <f t="shared" si="57"/>
        <v>10720</v>
      </c>
      <c r="P397" s="10">
        <f t="shared" si="58"/>
        <v>0.92307692307692313</v>
      </c>
      <c r="Q397" s="10">
        <f t="shared" si="59"/>
        <v>3.888888888888889E-2</v>
      </c>
      <c r="R397" s="10">
        <f t="shared" si="60"/>
        <v>0.25818882466281312</v>
      </c>
      <c r="S397" s="18">
        <f t="shared" si="61"/>
        <v>89.017341040462426</v>
      </c>
      <c r="T397" s="8">
        <f>480-ProductionData[[#This Row],[Downtime Minutes]]</f>
        <v>451</v>
      </c>
      <c r="U397" s="11">
        <f t="shared" si="62"/>
        <v>0.79822616407982261</v>
      </c>
      <c r="V397" s="18">
        <f>ProductionData[[#This Row],[Profit]]/ProductionData[[#This Row],[Good Units]]</f>
        <v>30.982658959537574</v>
      </c>
      <c r="W397" s="11">
        <f>ProductionData[[#This Row],[Good Units]]/ProductionData[[#This Row],[Operating Minutes]]</f>
        <v>0.76718403547671843</v>
      </c>
    </row>
    <row r="398" spans="1:23">
      <c r="A398" s="7">
        <v>46248</v>
      </c>
      <c r="B398" s="8" t="s">
        <v>29</v>
      </c>
      <c r="C398" s="8" t="s">
        <v>20</v>
      </c>
      <c r="D398" s="8" t="s">
        <v>21</v>
      </c>
      <c r="E398" s="8" t="s">
        <v>24</v>
      </c>
      <c r="F398" s="9">
        <v>400</v>
      </c>
      <c r="G398" s="9">
        <v>373</v>
      </c>
      <c r="H398" s="9">
        <v>10</v>
      </c>
      <c r="I398" s="9">
        <f t="shared" si="54"/>
        <v>363</v>
      </c>
      <c r="J398" s="9">
        <v>24</v>
      </c>
      <c r="K398" s="10">
        <f t="shared" si="55"/>
        <v>0.05</v>
      </c>
      <c r="L398" s="17">
        <v>120</v>
      </c>
      <c r="M398" s="17">
        <v>30800</v>
      </c>
      <c r="N398" s="17">
        <f t="shared" si="56"/>
        <v>43560</v>
      </c>
      <c r="O398" s="17">
        <f t="shared" si="57"/>
        <v>12760</v>
      </c>
      <c r="P398" s="10">
        <f t="shared" si="58"/>
        <v>0.9325</v>
      </c>
      <c r="Q398" s="10">
        <f t="shared" si="59"/>
        <v>2.6809651474530832E-2</v>
      </c>
      <c r="R398" s="10">
        <f t="shared" si="60"/>
        <v>0.29292929292929293</v>
      </c>
      <c r="S398" s="18">
        <f t="shared" si="61"/>
        <v>84.848484848484844</v>
      </c>
      <c r="T398" s="8">
        <f>480-ProductionData[[#This Row],[Downtime Minutes]]</f>
        <v>456</v>
      </c>
      <c r="U398" s="11">
        <f t="shared" si="62"/>
        <v>0.81798245614035092</v>
      </c>
      <c r="V398" s="18">
        <f>ProductionData[[#This Row],[Profit]]/ProductionData[[#This Row],[Good Units]]</f>
        <v>35.151515151515149</v>
      </c>
      <c r="W398" s="11">
        <f>ProductionData[[#This Row],[Good Units]]/ProductionData[[#This Row],[Operating Minutes]]</f>
        <v>0.79605263157894735</v>
      </c>
    </row>
    <row r="399" spans="1:23">
      <c r="A399" s="7">
        <v>46248</v>
      </c>
      <c r="B399" s="8" t="s">
        <v>29</v>
      </c>
      <c r="C399" s="8" t="s">
        <v>20</v>
      </c>
      <c r="D399" s="8" t="s">
        <v>23</v>
      </c>
      <c r="E399" s="8" t="s">
        <v>26</v>
      </c>
      <c r="F399" s="9">
        <v>500</v>
      </c>
      <c r="G399" s="9">
        <v>467</v>
      </c>
      <c r="H399" s="9">
        <v>17</v>
      </c>
      <c r="I399" s="9">
        <f t="shared" si="54"/>
        <v>450</v>
      </c>
      <c r="J399" s="9">
        <v>43</v>
      </c>
      <c r="K399" s="10">
        <f t="shared" si="55"/>
        <v>8.9583333333333334E-2</v>
      </c>
      <c r="L399" s="17">
        <v>90</v>
      </c>
      <c r="M399" s="17">
        <v>30800</v>
      </c>
      <c r="N399" s="17">
        <f t="shared" si="56"/>
        <v>40500</v>
      </c>
      <c r="O399" s="17">
        <f t="shared" si="57"/>
        <v>9700</v>
      </c>
      <c r="P399" s="10">
        <f t="shared" si="58"/>
        <v>0.93400000000000005</v>
      </c>
      <c r="Q399" s="10">
        <f t="shared" si="59"/>
        <v>3.6402569593147749E-2</v>
      </c>
      <c r="R399" s="10">
        <f t="shared" si="60"/>
        <v>0.23950617283950618</v>
      </c>
      <c r="S399" s="18">
        <f t="shared" si="61"/>
        <v>68.444444444444443</v>
      </c>
      <c r="T399" s="8">
        <f>480-ProductionData[[#This Row],[Downtime Minutes]]</f>
        <v>437</v>
      </c>
      <c r="U399" s="11">
        <f t="shared" si="62"/>
        <v>1.068649885583524</v>
      </c>
      <c r="V399" s="18">
        <f>ProductionData[[#This Row],[Profit]]/ProductionData[[#This Row],[Good Units]]</f>
        <v>21.555555555555557</v>
      </c>
      <c r="W399" s="11">
        <f>ProductionData[[#This Row],[Good Units]]/ProductionData[[#This Row],[Operating Minutes]]</f>
        <v>1.0297482837528604</v>
      </c>
    </row>
    <row r="400" spans="1:23">
      <c r="A400" s="7">
        <v>46248</v>
      </c>
      <c r="B400" s="8" t="s">
        <v>29</v>
      </c>
      <c r="C400" s="8" t="s">
        <v>20</v>
      </c>
      <c r="D400" s="8" t="s">
        <v>25</v>
      </c>
      <c r="E400" s="8" t="s">
        <v>22</v>
      </c>
      <c r="F400" s="9">
        <v>460</v>
      </c>
      <c r="G400" s="9">
        <v>413</v>
      </c>
      <c r="H400" s="9">
        <v>24</v>
      </c>
      <c r="I400" s="9">
        <f t="shared" si="54"/>
        <v>389</v>
      </c>
      <c r="J400" s="9">
        <v>57</v>
      </c>
      <c r="K400" s="10">
        <f t="shared" si="55"/>
        <v>0.11874999999999999</v>
      </c>
      <c r="L400" s="17">
        <v>100</v>
      </c>
      <c r="M400" s="17">
        <v>30800</v>
      </c>
      <c r="N400" s="17">
        <f t="shared" si="56"/>
        <v>38900</v>
      </c>
      <c r="O400" s="17">
        <f t="shared" si="57"/>
        <v>8100</v>
      </c>
      <c r="P400" s="10">
        <f t="shared" si="58"/>
        <v>0.89782608695652177</v>
      </c>
      <c r="Q400" s="10">
        <f t="shared" si="59"/>
        <v>5.8111380145278453E-2</v>
      </c>
      <c r="R400" s="10">
        <f t="shared" si="60"/>
        <v>0.20822622107969152</v>
      </c>
      <c r="S400" s="18">
        <f t="shared" si="61"/>
        <v>79.177377892030847</v>
      </c>
      <c r="T400" s="8">
        <f>480-ProductionData[[#This Row],[Downtime Minutes]]</f>
        <v>423</v>
      </c>
      <c r="U400" s="11">
        <f t="shared" si="62"/>
        <v>0.97635933806146569</v>
      </c>
      <c r="V400" s="18">
        <f>ProductionData[[#This Row],[Profit]]/ProductionData[[#This Row],[Good Units]]</f>
        <v>20.822622107969153</v>
      </c>
      <c r="W400" s="11">
        <f>ProductionData[[#This Row],[Good Units]]/ProductionData[[#This Row],[Operating Minutes]]</f>
        <v>0.91962174940898345</v>
      </c>
    </row>
    <row r="401" spans="1:23">
      <c r="A401" s="7">
        <v>46248</v>
      </c>
      <c r="B401" s="8" t="s">
        <v>29</v>
      </c>
      <c r="C401" s="8" t="s">
        <v>27</v>
      </c>
      <c r="D401" s="8" t="s">
        <v>21</v>
      </c>
      <c r="E401" s="8" t="s">
        <v>26</v>
      </c>
      <c r="F401" s="9">
        <v>500</v>
      </c>
      <c r="G401" s="9">
        <v>438</v>
      </c>
      <c r="H401" s="9">
        <v>20</v>
      </c>
      <c r="I401" s="9">
        <f t="shared" si="54"/>
        <v>418</v>
      </c>
      <c r="J401" s="9">
        <v>48</v>
      </c>
      <c r="K401" s="10">
        <f t="shared" si="55"/>
        <v>0.1</v>
      </c>
      <c r="L401" s="17">
        <v>90</v>
      </c>
      <c r="M401" s="17">
        <v>30800</v>
      </c>
      <c r="N401" s="17">
        <f t="shared" si="56"/>
        <v>37620</v>
      </c>
      <c r="O401" s="17">
        <f t="shared" si="57"/>
        <v>6820</v>
      </c>
      <c r="P401" s="10">
        <f t="shared" si="58"/>
        <v>0.876</v>
      </c>
      <c r="Q401" s="10">
        <f t="shared" si="59"/>
        <v>4.5662100456621002E-2</v>
      </c>
      <c r="R401" s="10">
        <f t="shared" si="60"/>
        <v>0.18128654970760233</v>
      </c>
      <c r="S401" s="18">
        <f t="shared" si="61"/>
        <v>73.684210526315795</v>
      </c>
      <c r="T401" s="8">
        <f>480-ProductionData[[#This Row],[Downtime Minutes]]</f>
        <v>432</v>
      </c>
      <c r="U401" s="11">
        <f t="shared" si="62"/>
        <v>1.0138888888888888</v>
      </c>
      <c r="V401" s="18">
        <f>ProductionData[[#This Row],[Profit]]/ProductionData[[#This Row],[Good Units]]</f>
        <v>16.315789473684209</v>
      </c>
      <c r="W401" s="11">
        <f>ProductionData[[#This Row],[Good Units]]/ProductionData[[#This Row],[Operating Minutes]]</f>
        <v>0.96759259259259256</v>
      </c>
    </row>
    <row r="402" spans="1:23">
      <c r="A402" s="7">
        <v>46248</v>
      </c>
      <c r="B402" s="8" t="s">
        <v>29</v>
      </c>
      <c r="C402" s="8" t="s">
        <v>27</v>
      </c>
      <c r="D402" s="8" t="s">
        <v>23</v>
      </c>
      <c r="E402" s="8" t="s">
        <v>22</v>
      </c>
      <c r="F402" s="9">
        <v>450</v>
      </c>
      <c r="G402" s="9">
        <v>400</v>
      </c>
      <c r="H402" s="9">
        <v>29</v>
      </c>
      <c r="I402" s="9">
        <f t="shared" si="54"/>
        <v>371</v>
      </c>
      <c r="J402" s="9">
        <v>69</v>
      </c>
      <c r="K402" s="10">
        <f t="shared" si="55"/>
        <v>0.14374999999999999</v>
      </c>
      <c r="L402" s="17">
        <v>100</v>
      </c>
      <c r="M402" s="17">
        <v>30800</v>
      </c>
      <c r="N402" s="17">
        <f t="shared" si="56"/>
        <v>37100</v>
      </c>
      <c r="O402" s="17">
        <f t="shared" si="57"/>
        <v>6300</v>
      </c>
      <c r="P402" s="10">
        <f t="shared" si="58"/>
        <v>0.88888888888888884</v>
      </c>
      <c r="Q402" s="10">
        <f t="shared" si="59"/>
        <v>7.2499999999999995E-2</v>
      </c>
      <c r="R402" s="10">
        <f t="shared" si="60"/>
        <v>0.16981132075471697</v>
      </c>
      <c r="S402" s="18">
        <f t="shared" si="61"/>
        <v>83.018867924528308</v>
      </c>
      <c r="T402" s="8">
        <f>480-ProductionData[[#This Row],[Downtime Minutes]]</f>
        <v>411</v>
      </c>
      <c r="U402" s="11">
        <f t="shared" si="62"/>
        <v>0.97323600973236013</v>
      </c>
      <c r="V402" s="18">
        <f>ProductionData[[#This Row],[Profit]]/ProductionData[[#This Row],[Good Units]]</f>
        <v>16.981132075471699</v>
      </c>
      <c r="W402" s="11">
        <f>ProductionData[[#This Row],[Good Units]]/ProductionData[[#This Row],[Operating Minutes]]</f>
        <v>0.902676399026764</v>
      </c>
    </row>
    <row r="403" spans="1:23">
      <c r="A403" s="7">
        <v>46248</v>
      </c>
      <c r="B403" s="8" t="s">
        <v>29</v>
      </c>
      <c r="C403" s="8" t="s">
        <v>27</v>
      </c>
      <c r="D403" s="8" t="s">
        <v>25</v>
      </c>
      <c r="E403" s="8" t="s">
        <v>24</v>
      </c>
      <c r="F403" s="9">
        <v>410</v>
      </c>
      <c r="G403" s="9">
        <v>342</v>
      </c>
      <c r="H403" s="9">
        <v>20</v>
      </c>
      <c r="I403" s="9">
        <f t="shared" si="54"/>
        <v>322</v>
      </c>
      <c r="J403" s="9">
        <v>56</v>
      </c>
      <c r="K403" s="10">
        <f t="shared" si="55"/>
        <v>0.11666666666666667</v>
      </c>
      <c r="L403" s="17">
        <v>120</v>
      </c>
      <c r="M403" s="17">
        <v>30800</v>
      </c>
      <c r="N403" s="17">
        <f t="shared" si="56"/>
        <v>38640</v>
      </c>
      <c r="O403" s="17">
        <f t="shared" si="57"/>
        <v>7840</v>
      </c>
      <c r="P403" s="10">
        <f t="shared" si="58"/>
        <v>0.8341463414634146</v>
      </c>
      <c r="Q403" s="10">
        <f t="shared" si="59"/>
        <v>5.8479532163742687E-2</v>
      </c>
      <c r="R403" s="10">
        <f t="shared" si="60"/>
        <v>0.20289855072463769</v>
      </c>
      <c r="S403" s="18">
        <f t="shared" si="61"/>
        <v>95.652173913043484</v>
      </c>
      <c r="T403" s="8">
        <f>480-ProductionData[[#This Row],[Downtime Minutes]]</f>
        <v>424</v>
      </c>
      <c r="U403" s="11">
        <f t="shared" si="62"/>
        <v>0.80660377358490565</v>
      </c>
      <c r="V403" s="18">
        <f>ProductionData[[#This Row],[Profit]]/ProductionData[[#This Row],[Good Units]]</f>
        <v>24.347826086956523</v>
      </c>
      <c r="W403" s="11">
        <f>ProductionData[[#This Row],[Good Units]]/ProductionData[[#This Row],[Operating Minutes]]</f>
        <v>0.75943396226415094</v>
      </c>
    </row>
    <row r="404" spans="1:23">
      <c r="A404" s="7">
        <v>46248</v>
      </c>
      <c r="B404" s="8" t="s">
        <v>29</v>
      </c>
      <c r="C404" s="8" t="s">
        <v>28</v>
      </c>
      <c r="D404" s="8" t="s">
        <v>21</v>
      </c>
      <c r="E404" s="8" t="s">
        <v>22</v>
      </c>
      <c r="F404" s="9">
        <v>450</v>
      </c>
      <c r="G404" s="9">
        <v>423</v>
      </c>
      <c r="H404" s="9">
        <v>19</v>
      </c>
      <c r="I404" s="9">
        <f t="shared" si="54"/>
        <v>404</v>
      </c>
      <c r="J404" s="9">
        <v>24</v>
      </c>
      <c r="K404" s="10">
        <f t="shared" si="55"/>
        <v>0.05</v>
      </c>
      <c r="L404" s="17">
        <v>100</v>
      </c>
      <c r="M404" s="17">
        <v>30800</v>
      </c>
      <c r="N404" s="17">
        <f t="shared" si="56"/>
        <v>40400</v>
      </c>
      <c r="O404" s="17">
        <f t="shared" si="57"/>
        <v>9600</v>
      </c>
      <c r="P404" s="10">
        <f t="shared" si="58"/>
        <v>0.94</v>
      </c>
      <c r="Q404" s="10">
        <f t="shared" si="59"/>
        <v>4.4917257683215132E-2</v>
      </c>
      <c r="R404" s="10">
        <f t="shared" si="60"/>
        <v>0.23762376237623761</v>
      </c>
      <c r="S404" s="18">
        <f t="shared" si="61"/>
        <v>76.237623762376231</v>
      </c>
      <c r="T404" s="8">
        <f>480-ProductionData[[#This Row],[Downtime Minutes]]</f>
        <v>456</v>
      </c>
      <c r="U404" s="11">
        <f t="shared" si="62"/>
        <v>0.92763157894736847</v>
      </c>
      <c r="V404" s="18">
        <f>ProductionData[[#This Row],[Profit]]/ProductionData[[#This Row],[Good Units]]</f>
        <v>23.762376237623762</v>
      </c>
      <c r="W404" s="11">
        <f>ProductionData[[#This Row],[Good Units]]/ProductionData[[#This Row],[Operating Minutes]]</f>
        <v>0.88596491228070173</v>
      </c>
    </row>
    <row r="405" spans="1:23">
      <c r="A405" s="7">
        <v>46248</v>
      </c>
      <c r="B405" s="8" t="s">
        <v>29</v>
      </c>
      <c r="C405" s="8" t="s">
        <v>28</v>
      </c>
      <c r="D405" s="8" t="s">
        <v>23</v>
      </c>
      <c r="E405" s="8" t="s">
        <v>24</v>
      </c>
      <c r="F405" s="9">
        <v>410</v>
      </c>
      <c r="G405" s="9">
        <v>393</v>
      </c>
      <c r="H405" s="9">
        <v>11</v>
      </c>
      <c r="I405" s="9">
        <f t="shared" si="54"/>
        <v>382</v>
      </c>
      <c r="J405" s="9">
        <v>32</v>
      </c>
      <c r="K405" s="10">
        <f t="shared" si="55"/>
        <v>6.6666666666666666E-2</v>
      </c>
      <c r="L405" s="17">
        <v>120</v>
      </c>
      <c r="M405" s="17">
        <v>30800</v>
      </c>
      <c r="N405" s="17">
        <f t="shared" si="56"/>
        <v>45840</v>
      </c>
      <c r="O405" s="17">
        <f t="shared" si="57"/>
        <v>15040</v>
      </c>
      <c r="P405" s="10">
        <f t="shared" si="58"/>
        <v>0.95853658536585362</v>
      </c>
      <c r="Q405" s="10">
        <f t="shared" si="59"/>
        <v>2.7989821882951654E-2</v>
      </c>
      <c r="R405" s="10">
        <f t="shared" si="60"/>
        <v>0.32809773123909247</v>
      </c>
      <c r="S405" s="18">
        <f t="shared" si="61"/>
        <v>80.6282722513089</v>
      </c>
      <c r="T405" s="8">
        <f>480-ProductionData[[#This Row],[Downtime Minutes]]</f>
        <v>448</v>
      </c>
      <c r="U405" s="11">
        <f t="shared" si="62"/>
        <v>0.8772321428571429</v>
      </c>
      <c r="V405" s="18">
        <f>ProductionData[[#This Row],[Profit]]/ProductionData[[#This Row],[Good Units]]</f>
        <v>39.3717277486911</v>
      </c>
      <c r="W405" s="11">
        <f>ProductionData[[#This Row],[Good Units]]/ProductionData[[#This Row],[Operating Minutes]]</f>
        <v>0.8526785714285714</v>
      </c>
    </row>
    <row r="406" spans="1:23">
      <c r="A406" s="7">
        <v>46248</v>
      </c>
      <c r="B406" s="8" t="s">
        <v>29</v>
      </c>
      <c r="C406" s="8" t="s">
        <v>28</v>
      </c>
      <c r="D406" s="8" t="s">
        <v>25</v>
      </c>
      <c r="E406" s="8" t="s">
        <v>26</v>
      </c>
      <c r="F406" s="9">
        <v>500</v>
      </c>
      <c r="G406" s="9">
        <v>472</v>
      </c>
      <c r="H406" s="9">
        <v>20</v>
      </c>
      <c r="I406" s="9">
        <f t="shared" si="54"/>
        <v>452</v>
      </c>
      <c r="J406" s="9">
        <v>27</v>
      </c>
      <c r="K406" s="10">
        <f t="shared" si="55"/>
        <v>5.6250000000000001E-2</v>
      </c>
      <c r="L406" s="17">
        <v>90</v>
      </c>
      <c r="M406" s="17">
        <v>30800</v>
      </c>
      <c r="N406" s="17">
        <f t="shared" si="56"/>
        <v>40680</v>
      </c>
      <c r="O406" s="17">
        <f t="shared" si="57"/>
        <v>9880</v>
      </c>
      <c r="P406" s="10">
        <f t="shared" si="58"/>
        <v>0.94399999999999995</v>
      </c>
      <c r="Q406" s="10">
        <f t="shared" si="59"/>
        <v>4.2372881355932202E-2</v>
      </c>
      <c r="R406" s="10">
        <f t="shared" si="60"/>
        <v>0.24287118977384464</v>
      </c>
      <c r="S406" s="18">
        <f t="shared" si="61"/>
        <v>68.141592920353986</v>
      </c>
      <c r="T406" s="8">
        <f>480-ProductionData[[#This Row],[Downtime Minutes]]</f>
        <v>453</v>
      </c>
      <c r="U406" s="11">
        <f t="shared" si="62"/>
        <v>1.0419426048565121</v>
      </c>
      <c r="V406" s="18">
        <f>ProductionData[[#This Row],[Profit]]/ProductionData[[#This Row],[Good Units]]</f>
        <v>21.858407079646017</v>
      </c>
      <c r="W406" s="11">
        <f>ProductionData[[#This Row],[Good Units]]/ProductionData[[#This Row],[Operating Minutes]]</f>
        <v>0.99779249448123619</v>
      </c>
    </row>
    <row r="407" spans="1:23">
      <c r="A407" s="7">
        <v>46249</v>
      </c>
      <c r="B407" s="8" t="s">
        <v>29</v>
      </c>
      <c r="C407" s="8" t="s">
        <v>20</v>
      </c>
      <c r="D407" s="8" t="s">
        <v>21</v>
      </c>
      <c r="E407" s="8" t="s">
        <v>26</v>
      </c>
      <c r="F407" s="9">
        <v>500</v>
      </c>
      <c r="G407" s="9">
        <v>470</v>
      </c>
      <c r="H407" s="9">
        <v>18</v>
      </c>
      <c r="I407" s="9">
        <f t="shared" si="54"/>
        <v>452</v>
      </c>
      <c r="J407" s="9">
        <v>25</v>
      </c>
      <c r="K407" s="10">
        <f t="shared" si="55"/>
        <v>5.2083333333333336E-2</v>
      </c>
      <c r="L407" s="17">
        <v>90</v>
      </c>
      <c r="M407" s="17">
        <v>30800</v>
      </c>
      <c r="N407" s="17">
        <f t="shared" si="56"/>
        <v>40680</v>
      </c>
      <c r="O407" s="17">
        <f t="shared" si="57"/>
        <v>9880</v>
      </c>
      <c r="P407" s="10">
        <f t="shared" si="58"/>
        <v>0.94</v>
      </c>
      <c r="Q407" s="10">
        <f t="shared" si="59"/>
        <v>3.8297872340425532E-2</v>
      </c>
      <c r="R407" s="10">
        <f t="shared" si="60"/>
        <v>0.24287118977384464</v>
      </c>
      <c r="S407" s="18">
        <f t="shared" si="61"/>
        <v>68.141592920353986</v>
      </c>
      <c r="T407" s="8">
        <f>480-ProductionData[[#This Row],[Downtime Minutes]]</f>
        <v>455</v>
      </c>
      <c r="U407" s="11">
        <f t="shared" si="62"/>
        <v>1.0329670329670331</v>
      </c>
      <c r="V407" s="18">
        <f>ProductionData[[#This Row],[Profit]]/ProductionData[[#This Row],[Good Units]]</f>
        <v>21.858407079646017</v>
      </c>
      <c r="W407" s="11">
        <f>ProductionData[[#This Row],[Good Units]]/ProductionData[[#This Row],[Operating Minutes]]</f>
        <v>0.99340659340659343</v>
      </c>
    </row>
    <row r="408" spans="1:23">
      <c r="A408" s="7">
        <v>46249</v>
      </c>
      <c r="B408" s="8" t="s">
        <v>29</v>
      </c>
      <c r="C408" s="8" t="s">
        <v>20</v>
      </c>
      <c r="D408" s="8" t="s">
        <v>23</v>
      </c>
      <c r="E408" s="8" t="s">
        <v>22</v>
      </c>
      <c r="F408" s="9">
        <v>470</v>
      </c>
      <c r="G408" s="9">
        <v>444</v>
      </c>
      <c r="H408" s="9">
        <v>20</v>
      </c>
      <c r="I408" s="9">
        <f t="shared" si="54"/>
        <v>424</v>
      </c>
      <c r="J408" s="9">
        <v>39</v>
      </c>
      <c r="K408" s="10">
        <f t="shared" si="55"/>
        <v>8.1250000000000003E-2</v>
      </c>
      <c r="L408" s="17">
        <v>100</v>
      </c>
      <c r="M408" s="17">
        <v>30800</v>
      </c>
      <c r="N408" s="17">
        <f t="shared" si="56"/>
        <v>42400</v>
      </c>
      <c r="O408" s="17">
        <f t="shared" si="57"/>
        <v>11600</v>
      </c>
      <c r="P408" s="10">
        <f t="shared" si="58"/>
        <v>0.94468085106382982</v>
      </c>
      <c r="Q408" s="10">
        <f t="shared" si="59"/>
        <v>4.5045045045045043E-2</v>
      </c>
      <c r="R408" s="10">
        <f t="shared" si="60"/>
        <v>0.27358490566037735</v>
      </c>
      <c r="S408" s="18">
        <f t="shared" si="61"/>
        <v>72.64150943396227</v>
      </c>
      <c r="T408" s="8">
        <f>480-ProductionData[[#This Row],[Downtime Minutes]]</f>
        <v>441</v>
      </c>
      <c r="U408" s="11">
        <f t="shared" si="62"/>
        <v>1.0068027210884354</v>
      </c>
      <c r="V408" s="18">
        <f>ProductionData[[#This Row],[Profit]]/ProductionData[[#This Row],[Good Units]]</f>
        <v>27.358490566037737</v>
      </c>
      <c r="W408" s="11">
        <f>ProductionData[[#This Row],[Good Units]]/ProductionData[[#This Row],[Operating Minutes]]</f>
        <v>0.96145124716553287</v>
      </c>
    </row>
    <row r="409" spans="1:23">
      <c r="A409" s="7">
        <v>46249</v>
      </c>
      <c r="B409" s="8" t="s">
        <v>29</v>
      </c>
      <c r="C409" s="8" t="s">
        <v>20</v>
      </c>
      <c r="D409" s="8" t="s">
        <v>25</v>
      </c>
      <c r="E409" s="8" t="s">
        <v>24</v>
      </c>
      <c r="F409" s="9">
        <v>400</v>
      </c>
      <c r="G409" s="9">
        <v>357</v>
      </c>
      <c r="H409" s="9">
        <v>13</v>
      </c>
      <c r="I409" s="9">
        <f t="shared" si="54"/>
        <v>344</v>
      </c>
      <c r="J409" s="9">
        <v>46</v>
      </c>
      <c r="K409" s="10">
        <f t="shared" si="55"/>
        <v>9.583333333333334E-2</v>
      </c>
      <c r="L409" s="17">
        <v>120</v>
      </c>
      <c r="M409" s="17">
        <v>30800</v>
      </c>
      <c r="N409" s="17">
        <f t="shared" si="56"/>
        <v>41280</v>
      </c>
      <c r="O409" s="17">
        <f t="shared" si="57"/>
        <v>10480</v>
      </c>
      <c r="P409" s="10">
        <f t="shared" si="58"/>
        <v>0.89249999999999996</v>
      </c>
      <c r="Q409" s="10">
        <f t="shared" si="59"/>
        <v>3.6414565826330535E-2</v>
      </c>
      <c r="R409" s="10">
        <f t="shared" si="60"/>
        <v>0.25387596899224807</v>
      </c>
      <c r="S409" s="18">
        <f t="shared" si="61"/>
        <v>89.534883720930239</v>
      </c>
      <c r="T409" s="8">
        <f>480-ProductionData[[#This Row],[Downtime Minutes]]</f>
        <v>434</v>
      </c>
      <c r="U409" s="11">
        <f t="shared" si="62"/>
        <v>0.82258064516129037</v>
      </c>
      <c r="V409" s="18">
        <f>ProductionData[[#This Row],[Profit]]/ProductionData[[#This Row],[Good Units]]</f>
        <v>30.465116279069768</v>
      </c>
      <c r="W409" s="11">
        <f>ProductionData[[#This Row],[Good Units]]/ProductionData[[#This Row],[Operating Minutes]]</f>
        <v>0.79262672811059909</v>
      </c>
    </row>
    <row r="410" spans="1:23">
      <c r="A410" s="7">
        <v>46249</v>
      </c>
      <c r="B410" s="8" t="s">
        <v>29</v>
      </c>
      <c r="C410" s="8" t="s">
        <v>27</v>
      </c>
      <c r="D410" s="8" t="s">
        <v>21</v>
      </c>
      <c r="E410" s="8" t="s">
        <v>22</v>
      </c>
      <c r="F410" s="9">
        <v>440</v>
      </c>
      <c r="G410" s="9">
        <v>391</v>
      </c>
      <c r="H410" s="9">
        <v>27</v>
      </c>
      <c r="I410" s="9">
        <f t="shared" si="54"/>
        <v>364</v>
      </c>
      <c r="J410" s="9">
        <v>63</v>
      </c>
      <c r="K410" s="10">
        <f t="shared" si="55"/>
        <v>0.13125000000000001</v>
      </c>
      <c r="L410" s="17">
        <v>100</v>
      </c>
      <c r="M410" s="17">
        <v>30800</v>
      </c>
      <c r="N410" s="17">
        <f t="shared" si="56"/>
        <v>36400</v>
      </c>
      <c r="O410" s="17">
        <f t="shared" si="57"/>
        <v>5600</v>
      </c>
      <c r="P410" s="10">
        <f t="shared" si="58"/>
        <v>0.88863636363636367</v>
      </c>
      <c r="Q410" s="10">
        <f t="shared" si="59"/>
        <v>6.9053708439897693E-2</v>
      </c>
      <c r="R410" s="10">
        <f t="shared" si="60"/>
        <v>0.15384615384615385</v>
      </c>
      <c r="S410" s="18">
        <f t="shared" si="61"/>
        <v>84.615384615384613</v>
      </c>
      <c r="T410" s="8">
        <f>480-ProductionData[[#This Row],[Downtime Minutes]]</f>
        <v>417</v>
      </c>
      <c r="U410" s="11">
        <f t="shared" si="62"/>
        <v>0.93764988009592332</v>
      </c>
      <c r="V410" s="18">
        <f>ProductionData[[#This Row],[Profit]]/ProductionData[[#This Row],[Good Units]]</f>
        <v>15.384615384615385</v>
      </c>
      <c r="W410" s="11">
        <f>ProductionData[[#This Row],[Good Units]]/ProductionData[[#This Row],[Operating Minutes]]</f>
        <v>0.87290167865707435</v>
      </c>
    </row>
    <row r="411" spans="1:23">
      <c r="A411" s="7">
        <v>46249</v>
      </c>
      <c r="B411" s="8" t="s">
        <v>29</v>
      </c>
      <c r="C411" s="8" t="s">
        <v>27</v>
      </c>
      <c r="D411" s="8" t="s">
        <v>23</v>
      </c>
      <c r="E411" s="8" t="s">
        <v>24</v>
      </c>
      <c r="F411" s="9">
        <v>390</v>
      </c>
      <c r="G411" s="9">
        <v>345</v>
      </c>
      <c r="H411" s="9">
        <v>18</v>
      </c>
      <c r="I411" s="9">
        <f t="shared" si="54"/>
        <v>327</v>
      </c>
      <c r="J411" s="9">
        <v>50</v>
      </c>
      <c r="K411" s="10">
        <f t="shared" si="55"/>
        <v>0.10416666666666667</v>
      </c>
      <c r="L411" s="17">
        <v>120</v>
      </c>
      <c r="M411" s="17">
        <v>30800</v>
      </c>
      <c r="N411" s="17">
        <f t="shared" si="56"/>
        <v>39240</v>
      </c>
      <c r="O411" s="17">
        <f t="shared" si="57"/>
        <v>8440</v>
      </c>
      <c r="P411" s="10">
        <f t="shared" si="58"/>
        <v>0.88461538461538458</v>
      </c>
      <c r="Q411" s="10">
        <f t="shared" si="59"/>
        <v>5.2173913043478258E-2</v>
      </c>
      <c r="R411" s="10">
        <f t="shared" si="60"/>
        <v>0.21508664627930682</v>
      </c>
      <c r="S411" s="18">
        <f t="shared" si="61"/>
        <v>94.189602446483178</v>
      </c>
      <c r="T411" s="8">
        <f>480-ProductionData[[#This Row],[Downtime Minutes]]</f>
        <v>430</v>
      </c>
      <c r="U411" s="11">
        <f t="shared" si="62"/>
        <v>0.80232558139534882</v>
      </c>
      <c r="V411" s="18">
        <f>ProductionData[[#This Row],[Profit]]/ProductionData[[#This Row],[Good Units]]</f>
        <v>25.810397553516818</v>
      </c>
      <c r="W411" s="11">
        <f>ProductionData[[#This Row],[Good Units]]/ProductionData[[#This Row],[Operating Minutes]]</f>
        <v>0.76046511627906976</v>
      </c>
    </row>
    <row r="412" spans="1:23">
      <c r="A412" s="7">
        <v>46249</v>
      </c>
      <c r="B412" s="8" t="s">
        <v>29</v>
      </c>
      <c r="C412" s="8" t="s">
        <v>27</v>
      </c>
      <c r="D412" s="8" t="s">
        <v>25</v>
      </c>
      <c r="E412" s="8" t="s">
        <v>26</v>
      </c>
      <c r="F412" s="9">
        <v>510</v>
      </c>
      <c r="G412" s="9">
        <v>433</v>
      </c>
      <c r="H412" s="9">
        <v>28</v>
      </c>
      <c r="I412" s="9">
        <f t="shared" si="54"/>
        <v>405</v>
      </c>
      <c r="J412" s="9">
        <v>45</v>
      </c>
      <c r="K412" s="10">
        <f t="shared" si="55"/>
        <v>9.375E-2</v>
      </c>
      <c r="L412" s="17">
        <v>90</v>
      </c>
      <c r="M412" s="17">
        <v>30800</v>
      </c>
      <c r="N412" s="17">
        <f t="shared" si="56"/>
        <v>36450</v>
      </c>
      <c r="O412" s="17">
        <f t="shared" si="57"/>
        <v>5650</v>
      </c>
      <c r="P412" s="10">
        <f t="shared" si="58"/>
        <v>0.84901960784313724</v>
      </c>
      <c r="Q412" s="10">
        <f t="shared" si="59"/>
        <v>6.4665127020785224E-2</v>
      </c>
      <c r="R412" s="10">
        <f t="shared" si="60"/>
        <v>0.15500685871056241</v>
      </c>
      <c r="S412" s="18">
        <f t="shared" si="61"/>
        <v>76.049382716049379</v>
      </c>
      <c r="T412" s="8">
        <f>480-ProductionData[[#This Row],[Downtime Minutes]]</f>
        <v>435</v>
      </c>
      <c r="U412" s="11">
        <f t="shared" si="62"/>
        <v>0.99540229885057474</v>
      </c>
      <c r="V412" s="18">
        <f>ProductionData[[#This Row],[Profit]]/ProductionData[[#This Row],[Good Units]]</f>
        <v>13.950617283950617</v>
      </c>
      <c r="W412" s="11">
        <f>ProductionData[[#This Row],[Good Units]]/ProductionData[[#This Row],[Operating Minutes]]</f>
        <v>0.93103448275862066</v>
      </c>
    </row>
    <row r="413" spans="1:23">
      <c r="A413" s="7">
        <v>46249</v>
      </c>
      <c r="B413" s="8" t="s">
        <v>29</v>
      </c>
      <c r="C413" s="8" t="s">
        <v>28</v>
      </c>
      <c r="D413" s="8" t="s">
        <v>21</v>
      </c>
      <c r="E413" s="8" t="s">
        <v>24</v>
      </c>
      <c r="F413" s="9">
        <v>400</v>
      </c>
      <c r="G413" s="9">
        <v>388</v>
      </c>
      <c r="H413" s="9">
        <v>6</v>
      </c>
      <c r="I413" s="9">
        <f t="shared" si="54"/>
        <v>382</v>
      </c>
      <c r="J413" s="9">
        <v>34</v>
      </c>
      <c r="K413" s="10">
        <f t="shared" si="55"/>
        <v>7.0833333333333331E-2</v>
      </c>
      <c r="L413" s="17">
        <v>120</v>
      </c>
      <c r="M413" s="17">
        <v>30800</v>
      </c>
      <c r="N413" s="17">
        <f t="shared" si="56"/>
        <v>45840</v>
      </c>
      <c r="O413" s="17">
        <f t="shared" si="57"/>
        <v>15040</v>
      </c>
      <c r="P413" s="10">
        <f t="shared" si="58"/>
        <v>0.97</v>
      </c>
      <c r="Q413" s="10">
        <f t="shared" si="59"/>
        <v>1.5463917525773196E-2</v>
      </c>
      <c r="R413" s="10">
        <f t="shared" si="60"/>
        <v>0.32809773123909247</v>
      </c>
      <c r="S413" s="18">
        <f t="shared" si="61"/>
        <v>80.6282722513089</v>
      </c>
      <c r="T413" s="8">
        <f>480-ProductionData[[#This Row],[Downtime Minutes]]</f>
        <v>446</v>
      </c>
      <c r="U413" s="11">
        <f t="shared" si="62"/>
        <v>0.8699551569506726</v>
      </c>
      <c r="V413" s="18">
        <f>ProductionData[[#This Row],[Profit]]/ProductionData[[#This Row],[Good Units]]</f>
        <v>39.3717277486911</v>
      </c>
      <c r="W413" s="11">
        <f>ProductionData[[#This Row],[Good Units]]/ProductionData[[#This Row],[Operating Minutes]]</f>
        <v>0.8565022421524664</v>
      </c>
    </row>
    <row r="414" spans="1:23">
      <c r="A414" s="7">
        <v>46249</v>
      </c>
      <c r="B414" s="8" t="s">
        <v>29</v>
      </c>
      <c r="C414" s="8" t="s">
        <v>28</v>
      </c>
      <c r="D414" s="8" t="s">
        <v>23</v>
      </c>
      <c r="E414" s="8" t="s">
        <v>26</v>
      </c>
      <c r="F414" s="9">
        <v>480</v>
      </c>
      <c r="G414" s="9">
        <v>456</v>
      </c>
      <c r="H414" s="9">
        <v>17</v>
      </c>
      <c r="I414" s="9">
        <f t="shared" si="54"/>
        <v>439</v>
      </c>
      <c r="J414" s="9">
        <v>25</v>
      </c>
      <c r="K414" s="10">
        <f t="shared" si="55"/>
        <v>5.2083333333333336E-2</v>
      </c>
      <c r="L414" s="17">
        <v>90</v>
      </c>
      <c r="M414" s="17">
        <v>30800</v>
      </c>
      <c r="N414" s="17">
        <f t="shared" si="56"/>
        <v>39510</v>
      </c>
      <c r="O414" s="17">
        <f t="shared" si="57"/>
        <v>8710</v>
      </c>
      <c r="P414" s="10">
        <f t="shared" si="58"/>
        <v>0.95</v>
      </c>
      <c r="Q414" s="10">
        <f t="shared" si="59"/>
        <v>3.7280701754385963E-2</v>
      </c>
      <c r="R414" s="10">
        <f t="shared" si="60"/>
        <v>0.22045051885598582</v>
      </c>
      <c r="S414" s="18">
        <f t="shared" si="61"/>
        <v>70.159453302961282</v>
      </c>
      <c r="T414" s="8">
        <f>480-ProductionData[[#This Row],[Downtime Minutes]]</f>
        <v>455</v>
      </c>
      <c r="U414" s="11">
        <f t="shared" si="62"/>
        <v>1.0021978021978022</v>
      </c>
      <c r="V414" s="18">
        <f>ProductionData[[#This Row],[Profit]]/ProductionData[[#This Row],[Good Units]]</f>
        <v>19.840546697038725</v>
      </c>
      <c r="W414" s="11">
        <f>ProductionData[[#This Row],[Good Units]]/ProductionData[[#This Row],[Operating Minutes]]</f>
        <v>0.96483516483516485</v>
      </c>
    </row>
    <row r="415" spans="1:23">
      <c r="A415" s="7">
        <v>46249</v>
      </c>
      <c r="B415" s="8" t="s">
        <v>29</v>
      </c>
      <c r="C415" s="8" t="s">
        <v>28</v>
      </c>
      <c r="D415" s="8" t="s">
        <v>25</v>
      </c>
      <c r="E415" s="8" t="s">
        <v>22</v>
      </c>
      <c r="F415" s="9">
        <v>470</v>
      </c>
      <c r="G415" s="9">
        <v>441</v>
      </c>
      <c r="H415" s="9">
        <v>22</v>
      </c>
      <c r="I415" s="9">
        <f t="shared" si="54"/>
        <v>419</v>
      </c>
      <c r="J415" s="9">
        <v>34</v>
      </c>
      <c r="K415" s="10">
        <f t="shared" si="55"/>
        <v>7.0833333333333331E-2</v>
      </c>
      <c r="L415" s="17">
        <v>100</v>
      </c>
      <c r="M415" s="17">
        <v>30800</v>
      </c>
      <c r="N415" s="17">
        <f t="shared" si="56"/>
        <v>41900</v>
      </c>
      <c r="O415" s="17">
        <f t="shared" si="57"/>
        <v>11100</v>
      </c>
      <c r="P415" s="10">
        <f t="shared" si="58"/>
        <v>0.9382978723404255</v>
      </c>
      <c r="Q415" s="10">
        <f t="shared" si="59"/>
        <v>4.9886621315192746E-2</v>
      </c>
      <c r="R415" s="10">
        <f t="shared" si="60"/>
        <v>0.2649164677804296</v>
      </c>
      <c r="S415" s="18">
        <f t="shared" si="61"/>
        <v>73.508353221957037</v>
      </c>
      <c r="T415" s="8">
        <f>480-ProductionData[[#This Row],[Downtime Minutes]]</f>
        <v>446</v>
      </c>
      <c r="U415" s="11">
        <f t="shared" si="62"/>
        <v>0.9887892376681614</v>
      </c>
      <c r="V415" s="18">
        <f>ProductionData[[#This Row],[Profit]]/ProductionData[[#This Row],[Good Units]]</f>
        <v>26.491646778042959</v>
      </c>
      <c r="W415" s="11">
        <f>ProductionData[[#This Row],[Good Units]]/ProductionData[[#This Row],[Operating Minutes]]</f>
        <v>0.9394618834080718</v>
      </c>
    </row>
    <row r="416" spans="1:23">
      <c r="A416" s="7">
        <v>46250</v>
      </c>
      <c r="B416" s="8" t="s">
        <v>29</v>
      </c>
      <c r="C416" s="8" t="s">
        <v>20</v>
      </c>
      <c r="D416" s="8" t="s">
        <v>21</v>
      </c>
      <c r="E416" s="8" t="s">
        <v>22</v>
      </c>
      <c r="F416" s="9">
        <v>440</v>
      </c>
      <c r="G416" s="9">
        <v>415</v>
      </c>
      <c r="H416" s="9">
        <v>21</v>
      </c>
      <c r="I416" s="9">
        <f t="shared" si="54"/>
        <v>394</v>
      </c>
      <c r="J416" s="9">
        <v>25</v>
      </c>
      <c r="K416" s="10">
        <f t="shared" si="55"/>
        <v>5.2083333333333336E-2</v>
      </c>
      <c r="L416" s="17">
        <v>100</v>
      </c>
      <c r="M416" s="17">
        <v>30800</v>
      </c>
      <c r="N416" s="17">
        <f t="shared" si="56"/>
        <v>39400</v>
      </c>
      <c r="O416" s="17">
        <f t="shared" si="57"/>
        <v>8600</v>
      </c>
      <c r="P416" s="10">
        <f t="shared" si="58"/>
        <v>0.94318181818181823</v>
      </c>
      <c r="Q416" s="10">
        <f t="shared" si="59"/>
        <v>5.0602409638554217E-2</v>
      </c>
      <c r="R416" s="10">
        <f t="shared" si="60"/>
        <v>0.21827411167512689</v>
      </c>
      <c r="S416" s="18">
        <f t="shared" si="61"/>
        <v>78.172588832487307</v>
      </c>
      <c r="T416" s="8">
        <f>480-ProductionData[[#This Row],[Downtime Minutes]]</f>
        <v>455</v>
      </c>
      <c r="U416" s="11">
        <f t="shared" si="62"/>
        <v>0.91208791208791207</v>
      </c>
      <c r="V416" s="18">
        <f>ProductionData[[#This Row],[Profit]]/ProductionData[[#This Row],[Good Units]]</f>
        <v>21.82741116751269</v>
      </c>
      <c r="W416" s="11">
        <f>ProductionData[[#This Row],[Good Units]]/ProductionData[[#This Row],[Operating Minutes]]</f>
        <v>0.86593406593406597</v>
      </c>
    </row>
    <row r="417" spans="1:23">
      <c r="A417" s="7">
        <v>46250</v>
      </c>
      <c r="B417" s="8" t="s">
        <v>29</v>
      </c>
      <c r="C417" s="8" t="s">
        <v>20</v>
      </c>
      <c r="D417" s="8" t="s">
        <v>23</v>
      </c>
      <c r="E417" s="8" t="s">
        <v>24</v>
      </c>
      <c r="F417" s="9">
        <v>400</v>
      </c>
      <c r="G417" s="9">
        <v>371</v>
      </c>
      <c r="H417" s="9">
        <v>14</v>
      </c>
      <c r="I417" s="9">
        <f t="shared" si="54"/>
        <v>357</v>
      </c>
      <c r="J417" s="9">
        <v>26</v>
      </c>
      <c r="K417" s="10">
        <f t="shared" si="55"/>
        <v>5.4166666666666669E-2</v>
      </c>
      <c r="L417" s="17">
        <v>120</v>
      </c>
      <c r="M417" s="17">
        <v>30800</v>
      </c>
      <c r="N417" s="17">
        <f t="shared" si="56"/>
        <v>42840</v>
      </c>
      <c r="O417" s="17">
        <f t="shared" si="57"/>
        <v>12040</v>
      </c>
      <c r="P417" s="10">
        <f t="shared" si="58"/>
        <v>0.92749999999999999</v>
      </c>
      <c r="Q417" s="10">
        <f t="shared" si="59"/>
        <v>3.7735849056603772E-2</v>
      </c>
      <c r="R417" s="10">
        <f t="shared" si="60"/>
        <v>0.28104575163398693</v>
      </c>
      <c r="S417" s="18">
        <f t="shared" si="61"/>
        <v>86.274509803921575</v>
      </c>
      <c r="T417" s="8">
        <f>480-ProductionData[[#This Row],[Downtime Minutes]]</f>
        <v>454</v>
      </c>
      <c r="U417" s="11">
        <f t="shared" si="62"/>
        <v>0.81718061674008813</v>
      </c>
      <c r="V417" s="18">
        <f>ProductionData[[#This Row],[Profit]]/ProductionData[[#This Row],[Good Units]]</f>
        <v>33.725490196078432</v>
      </c>
      <c r="W417" s="11">
        <f>ProductionData[[#This Row],[Good Units]]/ProductionData[[#This Row],[Operating Minutes]]</f>
        <v>0.78634361233480177</v>
      </c>
    </row>
    <row r="418" spans="1:23">
      <c r="A418" s="7">
        <v>46250</v>
      </c>
      <c r="B418" s="8" t="s">
        <v>29</v>
      </c>
      <c r="C418" s="8" t="s">
        <v>20</v>
      </c>
      <c r="D418" s="8" t="s">
        <v>25</v>
      </c>
      <c r="E418" s="8" t="s">
        <v>26</v>
      </c>
      <c r="F418" s="9">
        <v>500</v>
      </c>
      <c r="G418" s="9">
        <v>458</v>
      </c>
      <c r="H418" s="9">
        <v>24</v>
      </c>
      <c r="I418" s="9">
        <f t="shared" si="54"/>
        <v>434</v>
      </c>
      <c r="J418" s="9">
        <v>27</v>
      </c>
      <c r="K418" s="10">
        <f t="shared" si="55"/>
        <v>5.6250000000000001E-2</v>
      </c>
      <c r="L418" s="17">
        <v>90</v>
      </c>
      <c r="M418" s="17">
        <v>30800</v>
      </c>
      <c r="N418" s="17">
        <f t="shared" si="56"/>
        <v>39060</v>
      </c>
      <c r="O418" s="17">
        <f t="shared" si="57"/>
        <v>8260</v>
      </c>
      <c r="P418" s="10">
        <f t="shared" si="58"/>
        <v>0.91600000000000004</v>
      </c>
      <c r="Q418" s="10">
        <f t="shared" si="59"/>
        <v>5.2401746724890827E-2</v>
      </c>
      <c r="R418" s="10">
        <f t="shared" si="60"/>
        <v>0.21146953405017921</v>
      </c>
      <c r="S418" s="18">
        <f t="shared" si="61"/>
        <v>70.967741935483872</v>
      </c>
      <c r="T418" s="8">
        <f>480-ProductionData[[#This Row],[Downtime Minutes]]</f>
        <v>453</v>
      </c>
      <c r="U418" s="11">
        <f t="shared" si="62"/>
        <v>1.011037527593819</v>
      </c>
      <c r="V418" s="18">
        <f>ProductionData[[#This Row],[Profit]]/ProductionData[[#This Row],[Good Units]]</f>
        <v>19.032258064516128</v>
      </c>
      <c r="W418" s="11">
        <f>ProductionData[[#This Row],[Good Units]]/ProductionData[[#This Row],[Operating Minutes]]</f>
        <v>0.95805739514348787</v>
      </c>
    </row>
    <row r="419" spans="1:23">
      <c r="A419" s="7">
        <v>46250</v>
      </c>
      <c r="B419" s="8" t="s">
        <v>29</v>
      </c>
      <c r="C419" s="8" t="s">
        <v>27</v>
      </c>
      <c r="D419" s="8" t="s">
        <v>21</v>
      </c>
      <c r="E419" s="8" t="s">
        <v>24</v>
      </c>
      <c r="F419" s="9">
        <v>410</v>
      </c>
      <c r="G419" s="9">
        <v>355</v>
      </c>
      <c r="H419" s="9">
        <v>18</v>
      </c>
      <c r="I419" s="9">
        <f t="shared" si="54"/>
        <v>337</v>
      </c>
      <c r="J419" s="9">
        <v>45</v>
      </c>
      <c r="K419" s="10">
        <f t="shared" si="55"/>
        <v>9.375E-2</v>
      </c>
      <c r="L419" s="17">
        <v>120</v>
      </c>
      <c r="M419" s="17">
        <v>30800</v>
      </c>
      <c r="N419" s="17">
        <f t="shared" si="56"/>
        <v>40440</v>
      </c>
      <c r="O419" s="17">
        <f t="shared" si="57"/>
        <v>9640</v>
      </c>
      <c r="P419" s="10">
        <f t="shared" si="58"/>
        <v>0.86585365853658536</v>
      </c>
      <c r="Q419" s="10">
        <f t="shared" si="59"/>
        <v>5.0704225352112678E-2</v>
      </c>
      <c r="R419" s="10">
        <f t="shared" si="60"/>
        <v>0.23837784371909002</v>
      </c>
      <c r="S419" s="18">
        <f t="shared" si="61"/>
        <v>91.394658753709194</v>
      </c>
      <c r="T419" s="8">
        <f>480-ProductionData[[#This Row],[Downtime Minutes]]</f>
        <v>435</v>
      </c>
      <c r="U419" s="11">
        <f t="shared" si="62"/>
        <v>0.81609195402298851</v>
      </c>
      <c r="V419" s="18">
        <f>ProductionData[[#This Row],[Profit]]/ProductionData[[#This Row],[Good Units]]</f>
        <v>28.605341246290802</v>
      </c>
      <c r="W419" s="11">
        <f>ProductionData[[#This Row],[Good Units]]/ProductionData[[#This Row],[Operating Minutes]]</f>
        <v>0.77471264367816095</v>
      </c>
    </row>
    <row r="420" spans="1:23">
      <c r="A420" s="7">
        <v>46250</v>
      </c>
      <c r="B420" s="8" t="s">
        <v>29</v>
      </c>
      <c r="C420" s="8" t="s">
        <v>27</v>
      </c>
      <c r="D420" s="8" t="s">
        <v>23</v>
      </c>
      <c r="E420" s="8" t="s">
        <v>26</v>
      </c>
      <c r="F420" s="9">
        <v>480</v>
      </c>
      <c r="G420" s="9">
        <v>422</v>
      </c>
      <c r="H420" s="9">
        <v>21</v>
      </c>
      <c r="I420" s="9">
        <f t="shared" si="54"/>
        <v>401</v>
      </c>
      <c r="J420" s="9">
        <v>48</v>
      </c>
      <c r="K420" s="10">
        <f t="shared" si="55"/>
        <v>0.1</v>
      </c>
      <c r="L420" s="17">
        <v>90</v>
      </c>
      <c r="M420" s="17">
        <v>30800</v>
      </c>
      <c r="N420" s="17">
        <f t="shared" si="56"/>
        <v>36090</v>
      </c>
      <c r="O420" s="17">
        <f t="shared" si="57"/>
        <v>5290</v>
      </c>
      <c r="P420" s="10">
        <f t="shared" si="58"/>
        <v>0.87916666666666665</v>
      </c>
      <c r="Q420" s="10">
        <f t="shared" si="59"/>
        <v>4.9763033175355451E-2</v>
      </c>
      <c r="R420" s="10">
        <f t="shared" si="60"/>
        <v>0.14657799944582986</v>
      </c>
      <c r="S420" s="18">
        <f t="shared" si="61"/>
        <v>76.807980049875312</v>
      </c>
      <c r="T420" s="8">
        <f>480-ProductionData[[#This Row],[Downtime Minutes]]</f>
        <v>432</v>
      </c>
      <c r="U420" s="11">
        <f t="shared" si="62"/>
        <v>0.97685185185185186</v>
      </c>
      <c r="V420" s="18">
        <f>ProductionData[[#This Row],[Profit]]/ProductionData[[#This Row],[Good Units]]</f>
        <v>13.192019950124688</v>
      </c>
      <c r="W420" s="11">
        <f>ProductionData[[#This Row],[Good Units]]/ProductionData[[#This Row],[Operating Minutes]]</f>
        <v>0.9282407407407407</v>
      </c>
    </row>
    <row r="421" spans="1:23">
      <c r="A421" s="7">
        <v>46250</v>
      </c>
      <c r="B421" s="8" t="s">
        <v>29</v>
      </c>
      <c r="C421" s="8" t="s">
        <v>27</v>
      </c>
      <c r="D421" s="8" t="s">
        <v>25</v>
      </c>
      <c r="E421" s="8" t="s">
        <v>22</v>
      </c>
      <c r="F421" s="9">
        <v>450</v>
      </c>
      <c r="G421" s="9">
        <v>384</v>
      </c>
      <c r="H421" s="9">
        <v>29</v>
      </c>
      <c r="I421" s="9">
        <f t="shared" si="54"/>
        <v>355</v>
      </c>
      <c r="J421" s="9">
        <v>58</v>
      </c>
      <c r="K421" s="10">
        <f t="shared" si="55"/>
        <v>0.12083333333333333</v>
      </c>
      <c r="L421" s="17">
        <v>100</v>
      </c>
      <c r="M421" s="17">
        <v>30800</v>
      </c>
      <c r="N421" s="17">
        <f t="shared" si="56"/>
        <v>35500</v>
      </c>
      <c r="O421" s="17">
        <f t="shared" si="57"/>
        <v>4700</v>
      </c>
      <c r="P421" s="10">
        <f t="shared" si="58"/>
        <v>0.85333333333333339</v>
      </c>
      <c r="Q421" s="10">
        <f t="shared" si="59"/>
        <v>7.5520833333333329E-2</v>
      </c>
      <c r="R421" s="10">
        <f t="shared" si="60"/>
        <v>0.13239436619718309</v>
      </c>
      <c r="S421" s="18">
        <f t="shared" si="61"/>
        <v>86.760563380281695</v>
      </c>
      <c r="T421" s="8">
        <f>480-ProductionData[[#This Row],[Downtime Minutes]]</f>
        <v>422</v>
      </c>
      <c r="U421" s="11">
        <f t="shared" si="62"/>
        <v>0.90995260663507105</v>
      </c>
      <c r="V421" s="18">
        <f>ProductionData[[#This Row],[Profit]]/ProductionData[[#This Row],[Good Units]]</f>
        <v>13.23943661971831</v>
      </c>
      <c r="W421" s="11">
        <f>ProductionData[[#This Row],[Good Units]]/ProductionData[[#This Row],[Operating Minutes]]</f>
        <v>0.84123222748815163</v>
      </c>
    </row>
    <row r="422" spans="1:23">
      <c r="A422" s="7">
        <v>46250</v>
      </c>
      <c r="B422" s="8" t="s">
        <v>29</v>
      </c>
      <c r="C422" s="8" t="s">
        <v>28</v>
      </c>
      <c r="D422" s="8" t="s">
        <v>21</v>
      </c>
      <c r="E422" s="8" t="s">
        <v>26</v>
      </c>
      <c r="F422" s="9">
        <v>500</v>
      </c>
      <c r="G422" s="9">
        <v>469</v>
      </c>
      <c r="H422" s="9">
        <v>9</v>
      </c>
      <c r="I422" s="9">
        <f t="shared" si="54"/>
        <v>460</v>
      </c>
      <c r="J422" s="9">
        <v>10</v>
      </c>
      <c r="K422" s="10">
        <f t="shared" si="55"/>
        <v>2.0833333333333332E-2</v>
      </c>
      <c r="L422" s="17">
        <v>90</v>
      </c>
      <c r="M422" s="17">
        <v>30800</v>
      </c>
      <c r="N422" s="17">
        <f t="shared" si="56"/>
        <v>41400</v>
      </c>
      <c r="O422" s="17">
        <f t="shared" si="57"/>
        <v>10600</v>
      </c>
      <c r="P422" s="10">
        <f t="shared" si="58"/>
        <v>0.93799999999999994</v>
      </c>
      <c r="Q422" s="10">
        <f t="shared" si="59"/>
        <v>1.9189765458422176E-2</v>
      </c>
      <c r="R422" s="10">
        <f t="shared" si="60"/>
        <v>0.2560386473429952</v>
      </c>
      <c r="S422" s="18">
        <f t="shared" si="61"/>
        <v>66.956521739130437</v>
      </c>
      <c r="T422" s="8">
        <f>480-ProductionData[[#This Row],[Downtime Minutes]]</f>
        <v>470</v>
      </c>
      <c r="U422" s="11">
        <f t="shared" si="62"/>
        <v>0.99787234042553197</v>
      </c>
      <c r="V422" s="18">
        <f>ProductionData[[#This Row],[Profit]]/ProductionData[[#This Row],[Good Units]]</f>
        <v>23.043478260869566</v>
      </c>
      <c r="W422" s="11">
        <f>ProductionData[[#This Row],[Good Units]]/ProductionData[[#This Row],[Operating Minutes]]</f>
        <v>0.97872340425531912</v>
      </c>
    </row>
    <row r="423" spans="1:23">
      <c r="A423" s="7">
        <v>46250</v>
      </c>
      <c r="B423" s="8" t="s">
        <v>29</v>
      </c>
      <c r="C423" s="8" t="s">
        <v>28</v>
      </c>
      <c r="D423" s="8" t="s">
        <v>23</v>
      </c>
      <c r="E423" s="8" t="s">
        <v>22</v>
      </c>
      <c r="F423" s="9">
        <v>460</v>
      </c>
      <c r="G423" s="9">
        <v>441</v>
      </c>
      <c r="H423" s="9">
        <v>16</v>
      </c>
      <c r="I423" s="9">
        <f t="shared" si="54"/>
        <v>425</v>
      </c>
      <c r="J423" s="9">
        <v>32</v>
      </c>
      <c r="K423" s="10">
        <f t="shared" si="55"/>
        <v>6.6666666666666666E-2</v>
      </c>
      <c r="L423" s="17">
        <v>100</v>
      </c>
      <c r="M423" s="17">
        <v>30800</v>
      </c>
      <c r="N423" s="17">
        <f t="shared" si="56"/>
        <v>42500</v>
      </c>
      <c r="O423" s="17">
        <f t="shared" si="57"/>
        <v>11700</v>
      </c>
      <c r="P423" s="10">
        <f t="shared" si="58"/>
        <v>0.95869565217391306</v>
      </c>
      <c r="Q423" s="10">
        <f t="shared" si="59"/>
        <v>3.6281179138321996E-2</v>
      </c>
      <c r="R423" s="10">
        <f t="shared" si="60"/>
        <v>0.2752941176470588</v>
      </c>
      <c r="S423" s="18">
        <f t="shared" si="61"/>
        <v>72.470588235294116</v>
      </c>
      <c r="T423" s="8">
        <f>480-ProductionData[[#This Row],[Downtime Minutes]]</f>
        <v>448</v>
      </c>
      <c r="U423" s="11">
        <f t="shared" si="62"/>
        <v>0.984375</v>
      </c>
      <c r="V423" s="18">
        <f>ProductionData[[#This Row],[Profit]]/ProductionData[[#This Row],[Good Units]]</f>
        <v>27.529411764705884</v>
      </c>
      <c r="W423" s="11">
        <f>ProductionData[[#This Row],[Good Units]]/ProductionData[[#This Row],[Operating Minutes]]</f>
        <v>0.9486607142857143</v>
      </c>
    </row>
    <row r="424" spans="1:23">
      <c r="A424" s="7">
        <v>46250</v>
      </c>
      <c r="B424" s="8" t="s">
        <v>29</v>
      </c>
      <c r="C424" s="8" t="s">
        <v>28</v>
      </c>
      <c r="D424" s="8" t="s">
        <v>25</v>
      </c>
      <c r="E424" s="8" t="s">
        <v>24</v>
      </c>
      <c r="F424" s="9">
        <v>400</v>
      </c>
      <c r="G424" s="9">
        <v>372</v>
      </c>
      <c r="H424" s="9">
        <v>11</v>
      </c>
      <c r="I424" s="9">
        <f t="shared" si="54"/>
        <v>361</v>
      </c>
      <c r="J424" s="9">
        <v>43</v>
      </c>
      <c r="K424" s="10">
        <f t="shared" si="55"/>
        <v>8.9583333333333334E-2</v>
      </c>
      <c r="L424" s="17">
        <v>120</v>
      </c>
      <c r="M424" s="17">
        <v>30800</v>
      </c>
      <c r="N424" s="17">
        <f t="shared" si="56"/>
        <v>43320</v>
      </c>
      <c r="O424" s="17">
        <f t="shared" si="57"/>
        <v>12520</v>
      </c>
      <c r="P424" s="10">
        <f t="shared" si="58"/>
        <v>0.93</v>
      </c>
      <c r="Q424" s="10">
        <f t="shared" si="59"/>
        <v>2.9569892473118281E-2</v>
      </c>
      <c r="R424" s="10">
        <f t="shared" si="60"/>
        <v>0.28901200369344415</v>
      </c>
      <c r="S424" s="18">
        <f t="shared" si="61"/>
        <v>85.31855955678671</v>
      </c>
      <c r="T424" s="8">
        <f>480-ProductionData[[#This Row],[Downtime Minutes]]</f>
        <v>437</v>
      </c>
      <c r="U424" s="11">
        <f t="shared" si="62"/>
        <v>0.85125858123569798</v>
      </c>
      <c r="V424" s="18">
        <f>ProductionData[[#This Row],[Profit]]/ProductionData[[#This Row],[Good Units]]</f>
        <v>34.681440443213297</v>
      </c>
      <c r="W424" s="11">
        <f>ProductionData[[#This Row],[Good Units]]/ProductionData[[#This Row],[Operating Minutes]]</f>
        <v>0.82608695652173914</v>
      </c>
    </row>
    <row r="425" spans="1:23">
      <c r="A425" s="7">
        <v>46251</v>
      </c>
      <c r="B425" s="8" t="s">
        <v>29</v>
      </c>
      <c r="C425" s="8" t="s">
        <v>20</v>
      </c>
      <c r="D425" s="8" t="s">
        <v>21</v>
      </c>
      <c r="E425" s="8" t="s">
        <v>24</v>
      </c>
      <c r="F425" s="9">
        <v>410</v>
      </c>
      <c r="G425" s="9">
        <v>384</v>
      </c>
      <c r="H425" s="9">
        <v>8</v>
      </c>
      <c r="I425" s="9">
        <f t="shared" si="54"/>
        <v>376</v>
      </c>
      <c r="J425" s="9">
        <v>39</v>
      </c>
      <c r="K425" s="10">
        <f t="shared" si="55"/>
        <v>8.1250000000000003E-2</v>
      </c>
      <c r="L425" s="17">
        <v>120</v>
      </c>
      <c r="M425" s="17">
        <v>30800</v>
      </c>
      <c r="N425" s="17">
        <f t="shared" si="56"/>
        <v>45120</v>
      </c>
      <c r="O425" s="17">
        <f t="shared" si="57"/>
        <v>14320</v>
      </c>
      <c r="P425" s="10">
        <f t="shared" si="58"/>
        <v>0.93658536585365859</v>
      </c>
      <c r="Q425" s="10">
        <f t="shared" si="59"/>
        <v>2.0833333333333332E-2</v>
      </c>
      <c r="R425" s="10">
        <f t="shared" si="60"/>
        <v>0.31737588652482268</v>
      </c>
      <c r="S425" s="18">
        <f t="shared" si="61"/>
        <v>81.914893617021278</v>
      </c>
      <c r="T425" s="8">
        <f>480-ProductionData[[#This Row],[Downtime Minutes]]</f>
        <v>441</v>
      </c>
      <c r="U425" s="11">
        <f t="shared" si="62"/>
        <v>0.87074829931972786</v>
      </c>
      <c r="V425" s="18">
        <f>ProductionData[[#This Row],[Profit]]/ProductionData[[#This Row],[Good Units]]</f>
        <v>38.085106382978722</v>
      </c>
      <c r="W425" s="11">
        <f>ProductionData[[#This Row],[Good Units]]/ProductionData[[#This Row],[Operating Minutes]]</f>
        <v>0.85260770975056688</v>
      </c>
    </row>
    <row r="426" spans="1:23">
      <c r="A426" s="7">
        <v>46251</v>
      </c>
      <c r="B426" s="8" t="s">
        <v>29</v>
      </c>
      <c r="C426" s="8" t="s">
        <v>20</v>
      </c>
      <c r="D426" s="8" t="s">
        <v>23</v>
      </c>
      <c r="E426" s="8" t="s">
        <v>26</v>
      </c>
      <c r="F426" s="9">
        <v>490</v>
      </c>
      <c r="G426" s="9">
        <v>442</v>
      </c>
      <c r="H426" s="9">
        <v>15</v>
      </c>
      <c r="I426" s="9">
        <f t="shared" si="54"/>
        <v>427</v>
      </c>
      <c r="J426" s="9">
        <v>27</v>
      </c>
      <c r="K426" s="10">
        <f t="shared" si="55"/>
        <v>5.6250000000000001E-2</v>
      </c>
      <c r="L426" s="17">
        <v>90</v>
      </c>
      <c r="M426" s="17">
        <v>30800</v>
      </c>
      <c r="N426" s="17">
        <f t="shared" si="56"/>
        <v>38430</v>
      </c>
      <c r="O426" s="17">
        <f t="shared" si="57"/>
        <v>7630</v>
      </c>
      <c r="P426" s="10">
        <f t="shared" si="58"/>
        <v>0.90204081632653066</v>
      </c>
      <c r="Q426" s="10">
        <f t="shared" si="59"/>
        <v>3.3936651583710405E-2</v>
      </c>
      <c r="R426" s="10">
        <f t="shared" si="60"/>
        <v>0.19854280510018216</v>
      </c>
      <c r="S426" s="18">
        <f t="shared" si="61"/>
        <v>72.131147540983605</v>
      </c>
      <c r="T426" s="8">
        <f>480-ProductionData[[#This Row],[Downtime Minutes]]</f>
        <v>453</v>
      </c>
      <c r="U426" s="11">
        <f t="shared" si="62"/>
        <v>0.97571743929359822</v>
      </c>
      <c r="V426" s="18">
        <f>ProductionData[[#This Row],[Profit]]/ProductionData[[#This Row],[Good Units]]</f>
        <v>17.868852459016395</v>
      </c>
      <c r="W426" s="11">
        <f>ProductionData[[#This Row],[Good Units]]/ProductionData[[#This Row],[Operating Minutes]]</f>
        <v>0.94260485651214132</v>
      </c>
    </row>
    <row r="427" spans="1:23">
      <c r="A427" s="7">
        <v>46251</v>
      </c>
      <c r="B427" s="8" t="s">
        <v>29</v>
      </c>
      <c r="C427" s="8" t="s">
        <v>20</v>
      </c>
      <c r="D427" s="8" t="s">
        <v>25</v>
      </c>
      <c r="E427" s="8" t="s">
        <v>22</v>
      </c>
      <c r="F427" s="9">
        <v>440</v>
      </c>
      <c r="G427" s="9">
        <v>387</v>
      </c>
      <c r="H427" s="9">
        <v>24</v>
      </c>
      <c r="I427" s="9">
        <f t="shared" si="54"/>
        <v>363</v>
      </c>
      <c r="J427" s="9">
        <v>46</v>
      </c>
      <c r="K427" s="10">
        <f t="shared" si="55"/>
        <v>9.583333333333334E-2</v>
      </c>
      <c r="L427" s="17">
        <v>100</v>
      </c>
      <c r="M427" s="17">
        <v>30800</v>
      </c>
      <c r="N427" s="17">
        <f t="shared" si="56"/>
        <v>36300</v>
      </c>
      <c r="O427" s="17">
        <f t="shared" si="57"/>
        <v>5500</v>
      </c>
      <c r="P427" s="10">
        <f t="shared" si="58"/>
        <v>0.87954545454545452</v>
      </c>
      <c r="Q427" s="10">
        <f t="shared" si="59"/>
        <v>6.2015503875968991E-2</v>
      </c>
      <c r="R427" s="10">
        <f t="shared" si="60"/>
        <v>0.15151515151515152</v>
      </c>
      <c r="S427" s="18">
        <f t="shared" si="61"/>
        <v>84.848484848484844</v>
      </c>
      <c r="T427" s="8">
        <f>480-ProductionData[[#This Row],[Downtime Minutes]]</f>
        <v>434</v>
      </c>
      <c r="U427" s="11">
        <f t="shared" si="62"/>
        <v>0.89170506912442393</v>
      </c>
      <c r="V427" s="18">
        <f>ProductionData[[#This Row],[Profit]]/ProductionData[[#This Row],[Good Units]]</f>
        <v>15.151515151515152</v>
      </c>
      <c r="W427" s="11">
        <f>ProductionData[[#This Row],[Good Units]]/ProductionData[[#This Row],[Operating Minutes]]</f>
        <v>0.83640552995391704</v>
      </c>
    </row>
    <row r="428" spans="1:23">
      <c r="A428" s="7">
        <v>46251</v>
      </c>
      <c r="B428" s="8" t="s">
        <v>29</v>
      </c>
      <c r="C428" s="8" t="s">
        <v>27</v>
      </c>
      <c r="D428" s="8" t="s">
        <v>21</v>
      </c>
      <c r="E428" s="8" t="s">
        <v>26</v>
      </c>
      <c r="F428" s="9">
        <v>500</v>
      </c>
      <c r="G428" s="9">
        <v>444</v>
      </c>
      <c r="H428" s="9">
        <v>21</v>
      </c>
      <c r="I428" s="9">
        <f t="shared" si="54"/>
        <v>423</v>
      </c>
      <c r="J428" s="9">
        <v>42</v>
      </c>
      <c r="K428" s="10">
        <f t="shared" si="55"/>
        <v>8.7499999999999994E-2</v>
      </c>
      <c r="L428" s="17">
        <v>90</v>
      </c>
      <c r="M428" s="17">
        <v>30800</v>
      </c>
      <c r="N428" s="17">
        <f t="shared" si="56"/>
        <v>38070</v>
      </c>
      <c r="O428" s="17">
        <f t="shared" si="57"/>
        <v>7270</v>
      </c>
      <c r="P428" s="10">
        <f t="shared" si="58"/>
        <v>0.88800000000000001</v>
      </c>
      <c r="Q428" s="10">
        <f t="shared" si="59"/>
        <v>4.72972972972973E-2</v>
      </c>
      <c r="R428" s="10">
        <f t="shared" si="60"/>
        <v>0.19096401365904911</v>
      </c>
      <c r="S428" s="18">
        <f t="shared" si="61"/>
        <v>72.813238770685572</v>
      </c>
      <c r="T428" s="8">
        <f>480-ProductionData[[#This Row],[Downtime Minutes]]</f>
        <v>438</v>
      </c>
      <c r="U428" s="11">
        <f t="shared" si="62"/>
        <v>1.0136986301369864</v>
      </c>
      <c r="V428" s="18">
        <f>ProductionData[[#This Row],[Profit]]/ProductionData[[#This Row],[Good Units]]</f>
        <v>17.186761229314421</v>
      </c>
      <c r="W428" s="11">
        <f>ProductionData[[#This Row],[Good Units]]/ProductionData[[#This Row],[Operating Minutes]]</f>
        <v>0.96575342465753422</v>
      </c>
    </row>
    <row r="429" spans="1:23">
      <c r="A429" s="7">
        <v>46251</v>
      </c>
      <c r="B429" s="8" t="s">
        <v>29</v>
      </c>
      <c r="C429" s="8" t="s">
        <v>27</v>
      </c>
      <c r="D429" s="8" t="s">
        <v>23</v>
      </c>
      <c r="E429" s="8" t="s">
        <v>22</v>
      </c>
      <c r="F429" s="9">
        <v>430</v>
      </c>
      <c r="G429" s="9">
        <v>366</v>
      </c>
      <c r="H429" s="9">
        <v>23</v>
      </c>
      <c r="I429" s="9">
        <f t="shared" si="54"/>
        <v>343</v>
      </c>
      <c r="J429" s="9">
        <v>60</v>
      </c>
      <c r="K429" s="10">
        <f t="shared" si="55"/>
        <v>0.125</v>
      </c>
      <c r="L429" s="17">
        <v>100</v>
      </c>
      <c r="M429" s="17">
        <v>30800</v>
      </c>
      <c r="N429" s="17">
        <f t="shared" si="56"/>
        <v>34300</v>
      </c>
      <c r="O429" s="17">
        <f t="shared" si="57"/>
        <v>3500</v>
      </c>
      <c r="P429" s="10">
        <f t="shared" si="58"/>
        <v>0.85116279069767442</v>
      </c>
      <c r="Q429" s="10">
        <f t="shared" si="59"/>
        <v>6.2841530054644809E-2</v>
      </c>
      <c r="R429" s="10">
        <f t="shared" si="60"/>
        <v>0.10204081632653061</v>
      </c>
      <c r="S429" s="18">
        <f t="shared" si="61"/>
        <v>89.795918367346943</v>
      </c>
      <c r="T429" s="8">
        <f>480-ProductionData[[#This Row],[Downtime Minutes]]</f>
        <v>420</v>
      </c>
      <c r="U429" s="11">
        <f t="shared" si="62"/>
        <v>0.87142857142857144</v>
      </c>
      <c r="V429" s="18">
        <f>ProductionData[[#This Row],[Profit]]/ProductionData[[#This Row],[Good Units]]</f>
        <v>10.204081632653061</v>
      </c>
      <c r="W429" s="11">
        <f>ProductionData[[#This Row],[Good Units]]/ProductionData[[#This Row],[Operating Minutes]]</f>
        <v>0.81666666666666665</v>
      </c>
    </row>
    <row r="430" spans="1:23">
      <c r="A430" s="7">
        <v>46251</v>
      </c>
      <c r="B430" s="8" t="s">
        <v>29</v>
      </c>
      <c r="C430" s="8" t="s">
        <v>27</v>
      </c>
      <c r="D430" s="8" t="s">
        <v>25</v>
      </c>
      <c r="E430" s="8" t="s">
        <v>24</v>
      </c>
      <c r="F430" s="9">
        <v>410</v>
      </c>
      <c r="G430" s="9">
        <v>356</v>
      </c>
      <c r="H430" s="9">
        <v>23</v>
      </c>
      <c r="I430" s="9">
        <f t="shared" si="54"/>
        <v>333</v>
      </c>
      <c r="J430" s="9">
        <v>71</v>
      </c>
      <c r="K430" s="10">
        <f t="shared" si="55"/>
        <v>0.14791666666666667</v>
      </c>
      <c r="L430" s="17">
        <v>120</v>
      </c>
      <c r="M430" s="17">
        <v>30800</v>
      </c>
      <c r="N430" s="17">
        <f t="shared" si="56"/>
        <v>39960</v>
      </c>
      <c r="O430" s="17">
        <f t="shared" si="57"/>
        <v>9160</v>
      </c>
      <c r="P430" s="10">
        <f t="shared" si="58"/>
        <v>0.86829268292682926</v>
      </c>
      <c r="Q430" s="10">
        <f t="shared" si="59"/>
        <v>6.4606741573033713E-2</v>
      </c>
      <c r="R430" s="10">
        <f t="shared" si="60"/>
        <v>0.22922922922922923</v>
      </c>
      <c r="S430" s="18">
        <f t="shared" si="61"/>
        <v>92.492492492492488</v>
      </c>
      <c r="T430" s="8">
        <f>480-ProductionData[[#This Row],[Downtime Minutes]]</f>
        <v>409</v>
      </c>
      <c r="U430" s="11">
        <f t="shared" si="62"/>
        <v>0.8704156479217604</v>
      </c>
      <c r="V430" s="18">
        <f>ProductionData[[#This Row],[Profit]]/ProductionData[[#This Row],[Good Units]]</f>
        <v>27.507507507507508</v>
      </c>
      <c r="W430" s="11">
        <f>ProductionData[[#This Row],[Good Units]]/ProductionData[[#This Row],[Operating Minutes]]</f>
        <v>0.81418092909535456</v>
      </c>
    </row>
    <row r="431" spans="1:23">
      <c r="A431" s="7">
        <v>46251</v>
      </c>
      <c r="B431" s="8" t="s">
        <v>29</v>
      </c>
      <c r="C431" s="8" t="s">
        <v>28</v>
      </c>
      <c r="D431" s="8" t="s">
        <v>21</v>
      </c>
      <c r="E431" s="8" t="s">
        <v>22</v>
      </c>
      <c r="F431" s="9">
        <v>450</v>
      </c>
      <c r="G431" s="9">
        <v>441</v>
      </c>
      <c r="H431" s="9">
        <v>16</v>
      </c>
      <c r="I431" s="9">
        <f t="shared" si="54"/>
        <v>425</v>
      </c>
      <c r="J431" s="9">
        <v>22</v>
      </c>
      <c r="K431" s="10">
        <f t="shared" si="55"/>
        <v>4.583333333333333E-2</v>
      </c>
      <c r="L431" s="17">
        <v>100</v>
      </c>
      <c r="M431" s="17">
        <v>30800</v>
      </c>
      <c r="N431" s="17">
        <f t="shared" si="56"/>
        <v>42500</v>
      </c>
      <c r="O431" s="17">
        <f t="shared" si="57"/>
        <v>11700</v>
      </c>
      <c r="P431" s="10">
        <f t="shared" si="58"/>
        <v>0.98</v>
      </c>
      <c r="Q431" s="10">
        <f t="shared" si="59"/>
        <v>3.6281179138321996E-2</v>
      </c>
      <c r="R431" s="10">
        <f t="shared" si="60"/>
        <v>0.2752941176470588</v>
      </c>
      <c r="S431" s="18">
        <f t="shared" si="61"/>
        <v>72.470588235294116</v>
      </c>
      <c r="T431" s="8">
        <f>480-ProductionData[[#This Row],[Downtime Minutes]]</f>
        <v>458</v>
      </c>
      <c r="U431" s="11">
        <f t="shared" si="62"/>
        <v>0.96288209606986896</v>
      </c>
      <c r="V431" s="18">
        <f>ProductionData[[#This Row],[Profit]]/ProductionData[[#This Row],[Good Units]]</f>
        <v>27.529411764705884</v>
      </c>
      <c r="W431" s="11">
        <f>ProductionData[[#This Row],[Good Units]]/ProductionData[[#This Row],[Operating Minutes]]</f>
        <v>0.92794759825327511</v>
      </c>
    </row>
    <row r="432" spans="1:23">
      <c r="A432" s="7">
        <v>46251</v>
      </c>
      <c r="B432" s="8" t="s">
        <v>29</v>
      </c>
      <c r="C432" s="8" t="s">
        <v>28</v>
      </c>
      <c r="D432" s="8" t="s">
        <v>23</v>
      </c>
      <c r="E432" s="8" t="s">
        <v>24</v>
      </c>
      <c r="F432" s="9">
        <v>410</v>
      </c>
      <c r="G432" s="9">
        <v>387</v>
      </c>
      <c r="H432" s="9">
        <v>10</v>
      </c>
      <c r="I432" s="9">
        <f t="shared" si="54"/>
        <v>377</v>
      </c>
      <c r="J432" s="9">
        <v>36</v>
      </c>
      <c r="K432" s="10">
        <f t="shared" si="55"/>
        <v>7.4999999999999997E-2</v>
      </c>
      <c r="L432" s="17">
        <v>120</v>
      </c>
      <c r="M432" s="17">
        <v>30800</v>
      </c>
      <c r="N432" s="17">
        <f t="shared" si="56"/>
        <v>45240</v>
      </c>
      <c r="O432" s="17">
        <f t="shared" si="57"/>
        <v>14440</v>
      </c>
      <c r="P432" s="10">
        <f t="shared" si="58"/>
        <v>0.94390243902439019</v>
      </c>
      <c r="Q432" s="10">
        <f t="shared" si="59"/>
        <v>2.5839793281653745E-2</v>
      </c>
      <c r="R432" s="10">
        <f t="shared" si="60"/>
        <v>0.31918656056587091</v>
      </c>
      <c r="S432" s="18">
        <f t="shared" si="61"/>
        <v>81.697612732095493</v>
      </c>
      <c r="T432" s="8">
        <f>480-ProductionData[[#This Row],[Downtime Minutes]]</f>
        <v>444</v>
      </c>
      <c r="U432" s="11">
        <f t="shared" si="62"/>
        <v>0.8716216216216216</v>
      </c>
      <c r="V432" s="18">
        <f>ProductionData[[#This Row],[Profit]]/ProductionData[[#This Row],[Good Units]]</f>
        <v>38.302387267904507</v>
      </c>
      <c r="W432" s="11">
        <f>ProductionData[[#This Row],[Good Units]]/ProductionData[[#This Row],[Operating Minutes]]</f>
        <v>0.84909909909909909</v>
      </c>
    </row>
    <row r="433" spans="1:23">
      <c r="A433" s="7">
        <v>46251</v>
      </c>
      <c r="B433" s="8" t="s">
        <v>29</v>
      </c>
      <c r="C433" s="8" t="s">
        <v>28</v>
      </c>
      <c r="D433" s="8" t="s">
        <v>25</v>
      </c>
      <c r="E433" s="8" t="s">
        <v>26</v>
      </c>
      <c r="F433" s="9">
        <v>500</v>
      </c>
      <c r="G433" s="9">
        <v>459</v>
      </c>
      <c r="H433" s="9">
        <v>18</v>
      </c>
      <c r="I433" s="9">
        <f t="shared" si="54"/>
        <v>441</v>
      </c>
      <c r="J433" s="9">
        <v>35</v>
      </c>
      <c r="K433" s="10">
        <f t="shared" si="55"/>
        <v>7.2916666666666671E-2</v>
      </c>
      <c r="L433" s="17">
        <v>90</v>
      </c>
      <c r="M433" s="17">
        <v>30800</v>
      </c>
      <c r="N433" s="17">
        <f t="shared" si="56"/>
        <v>39690</v>
      </c>
      <c r="O433" s="17">
        <f t="shared" si="57"/>
        <v>8890</v>
      </c>
      <c r="P433" s="10">
        <f t="shared" si="58"/>
        <v>0.91800000000000004</v>
      </c>
      <c r="Q433" s="10">
        <f t="shared" si="59"/>
        <v>3.9215686274509803E-2</v>
      </c>
      <c r="R433" s="10">
        <f t="shared" si="60"/>
        <v>0.22398589065255731</v>
      </c>
      <c r="S433" s="18">
        <f t="shared" si="61"/>
        <v>69.841269841269835</v>
      </c>
      <c r="T433" s="8">
        <f>480-ProductionData[[#This Row],[Downtime Minutes]]</f>
        <v>445</v>
      </c>
      <c r="U433" s="11">
        <f t="shared" si="62"/>
        <v>1.0314606741573034</v>
      </c>
      <c r="V433" s="18">
        <f>ProductionData[[#This Row],[Profit]]/ProductionData[[#This Row],[Good Units]]</f>
        <v>20.158730158730158</v>
      </c>
      <c r="W433" s="11">
        <f>ProductionData[[#This Row],[Good Units]]/ProductionData[[#This Row],[Operating Minutes]]</f>
        <v>0.99101123595505614</v>
      </c>
    </row>
    <row r="434" spans="1:23">
      <c r="A434" s="7">
        <v>46252</v>
      </c>
      <c r="B434" s="8" t="s">
        <v>29</v>
      </c>
      <c r="C434" s="8" t="s">
        <v>20</v>
      </c>
      <c r="D434" s="8" t="s">
        <v>21</v>
      </c>
      <c r="E434" s="8" t="s">
        <v>26</v>
      </c>
      <c r="F434" s="9">
        <v>510</v>
      </c>
      <c r="G434" s="9">
        <v>484</v>
      </c>
      <c r="H434" s="9">
        <v>17</v>
      </c>
      <c r="I434" s="9">
        <f t="shared" si="54"/>
        <v>467</v>
      </c>
      <c r="J434" s="9">
        <v>32</v>
      </c>
      <c r="K434" s="10">
        <f t="shared" si="55"/>
        <v>6.6666666666666666E-2</v>
      </c>
      <c r="L434" s="17">
        <v>90</v>
      </c>
      <c r="M434" s="17">
        <v>30800</v>
      </c>
      <c r="N434" s="17">
        <f t="shared" si="56"/>
        <v>42030</v>
      </c>
      <c r="O434" s="17">
        <f t="shared" si="57"/>
        <v>11230</v>
      </c>
      <c r="P434" s="10">
        <f t="shared" si="58"/>
        <v>0.94901960784313721</v>
      </c>
      <c r="Q434" s="10">
        <f t="shared" si="59"/>
        <v>3.5123966942148761E-2</v>
      </c>
      <c r="R434" s="10">
        <f t="shared" si="60"/>
        <v>0.26719010230787532</v>
      </c>
      <c r="S434" s="18">
        <f t="shared" si="61"/>
        <v>65.952890792291214</v>
      </c>
      <c r="T434" s="8">
        <f>480-ProductionData[[#This Row],[Downtime Minutes]]</f>
        <v>448</v>
      </c>
      <c r="U434" s="11">
        <f t="shared" si="62"/>
        <v>1.0803571428571428</v>
      </c>
      <c r="V434" s="18">
        <f>ProductionData[[#This Row],[Profit]]/ProductionData[[#This Row],[Good Units]]</f>
        <v>24.047109207708779</v>
      </c>
      <c r="W434" s="11">
        <f>ProductionData[[#This Row],[Good Units]]/ProductionData[[#This Row],[Operating Minutes]]</f>
        <v>1.0424107142857142</v>
      </c>
    </row>
    <row r="435" spans="1:23">
      <c r="A435" s="7">
        <v>46252</v>
      </c>
      <c r="B435" s="8" t="s">
        <v>29</v>
      </c>
      <c r="C435" s="8" t="s">
        <v>20</v>
      </c>
      <c r="D435" s="8" t="s">
        <v>23</v>
      </c>
      <c r="E435" s="8" t="s">
        <v>22</v>
      </c>
      <c r="F435" s="9">
        <v>450</v>
      </c>
      <c r="G435" s="9">
        <v>416</v>
      </c>
      <c r="H435" s="9">
        <v>19</v>
      </c>
      <c r="I435" s="9">
        <f t="shared" si="54"/>
        <v>397</v>
      </c>
      <c r="J435" s="9">
        <v>48</v>
      </c>
      <c r="K435" s="10">
        <f t="shared" si="55"/>
        <v>0.1</v>
      </c>
      <c r="L435" s="17">
        <v>100</v>
      </c>
      <c r="M435" s="17">
        <v>30800</v>
      </c>
      <c r="N435" s="17">
        <f t="shared" si="56"/>
        <v>39700</v>
      </c>
      <c r="O435" s="17">
        <f t="shared" si="57"/>
        <v>8900</v>
      </c>
      <c r="P435" s="10">
        <f t="shared" si="58"/>
        <v>0.9244444444444444</v>
      </c>
      <c r="Q435" s="10">
        <f t="shared" si="59"/>
        <v>4.567307692307692E-2</v>
      </c>
      <c r="R435" s="10">
        <f t="shared" si="60"/>
        <v>0.22418136020151133</v>
      </c>
      <c r="S435" s="18">
        <f t="shared" si="61"/>
        <v>77.581863979848862</v>
      </c>
      <c r="T435" s="8">
        <f>480-ProductionData[[#This Row],[Downtime Minutes]]</f>
        <v>432</v>
      </c>
      <c r="U435" s="11">
        <f t="shared" si="62"/>
        <v>0.96296296296296291</v>
      </c>
      <c r="V435" s="18">
        <f>ProductionData[[#This Row],[Profit]]/ProductionData[[#This Row],[Good Units]]</f>
        <v>22.418136020151135</v>
      </c>
      <c r="W435" s="11">
        <f>ProductionData[[#This Row],[Good Units]]/ProductionData[[#This Row],[Operating Minutes]]</f>
        <v>0.91898148148148151</v>
      </c>
    </row>
    <row r="436" spans="1:23">
      <c r="A436" s="7">
        <v>46252</v>
      </c>
      <c r="B436" s="8" t="s">
        <v>29</v>
      </c>
      <c r="C436" s="8" t="s">
        <v>20</v>
      </c>
      <c r="D436" s="8" t="s">
        <v>25</v>
      </c>
      <c r="E436" s="8" t="s">
        <v>24</v>
      </c>
      <c r="F436" s="9">
        <v>390</v>
      </c>
      <c r="G436" s="9">
        <v>350</v>
      </c>
      <c r="H436" s="9">
        <v>14</v>
      </c>
      <c r="I436" s="9">
        <f t="shared" si="54"/>
        <v>336</v>
      </c>
      <c r="J436" s="9">
        <v>49</v>
      </c>
      <c r="K436" s="10">
        <f t="shared" si="55"/>
        <v>0.10208333333333333</v>
      </c>
      <c r="L436" s="17">
        <v>120</v>
      </c>
      <c r="M436" s="17">
        <v>30800</v>
      </c>
      <c r="N436" s="17">
        <f t="shared" si="56"/>
        <v>40320</v>
      </c>
      <c r="O436" s="17">
        <f t="shared" si="57"/>
        <v>9520</v>
      </c>
      <c r="P436" s="10">
        <f t="shared" si="58"/>
        <v>0.89743589743589747</v>
      </c>
      <c r="Q436" s="10">
        <f t="shared" si="59"/>
        <v>0.04</v>
      </c>
      <c r="R436" s="10">
        <f t="shared" si="60"/>
        <v>0.2361111111111111</v>
      </c>
      <c r="S436" s="18">
        <f t="shared" si="61"/>
        <v>91.666666666666671</v>
      </c>
      <c r="T436" s="8">
        <f>480-ProductionData[[#This Row],[Downtime Minutes]]</f>
        <v>431</v>
      </c>
      <c r="U436" s="11">
        <f t="shared" si="62"/>
        <v>0.81206496519721583</v>
      </c>
      <c r="V436" s="18">
        <f>ProductionData[[#This Row],[Profit]]/ProductionData[[#This Row],[Good Units]]</f>
        <v>28.333333333333332</v>
      </c>
      <c r="W436" s="11">
        <f>ProductionData[[#This Row],[Good Units]]/ProductionData[[#This Row],[Operating Minutes]]</f>
        <v>0.77958236658932711</v>
      </c>
    </row>
    <row r="437" spans="1:23">
      <c r="A437" s="7">
        <v>46252</v>
      </c>
      <c r="B437" s="8" t="s">
        <v>29</v>
      </c>
      <c r="C437" s="8" t="s">
        <v>27</v>
      </c>
      <c r="D437" s="8" t="s">
        <v>21</v>
      </c>
      <c r="E437" s="8" t="s">
        <v>22</v>
      </c>
      <c r="F437" s="9">
        <v>440</v>
      </c>
      <c r="G437" s="9">
        <v>384</v>
      </c>
      <c r="H437" s="9">
        <v>24</v>
      </c>
      <c r="I437" s="9">
        <f t="shared" si="54"/>
        <v>360</v>
      </c>
      <c r="J437" s="9">
        <v>44</v>
      </c>
      <c r="K437" s="10">
        <f t="shared" si="55"/>
        <v>9.166666666666666E-2</v>
      </c>
      <c r="L437" s="17">
        <v>100</v>
      </c>
      <c r="M437" s="17">
        <v>30800</v>
      </c>
      <c r="N437" s="17">
        <f t="shared" si="56"/>
        <v>36000</v>
      </c>
      <c r="O437" s="17">
        <f t="shared" si="57"/>
        <v>5200</v>
      </c>
      <c r="P437" s="10">
        <f t="shared" si="58"/>
        <v>0.87272727272727268</v>
      </c>
      <c r="Q437" s="10">
        <f t="shared" si="59"/>
        <v>6.25E-2</v>
      </c>
      <c r="R437" s="10">
        <f t="shared" si="60"/>
        <v>0.14444444444444443</v>
      </c>
      <c r="S437" s="18">
        <f t="shared" si="61"/>
        <v>85.555555555555557</v>
      </c>
      <c r="T437" s="8">
        <f>480-ProductionData[[#This Row],[Downtime Minutes]]</f>
        <v>436</v>
      </c>
      <c r="U437" s="11">
        <f t="shared" si="62"/>
        <v>0.88073394495412849</v>
      </c>
      <c r="V437" s="18">
        <f>ProductionData[[#This Row],[Profit]]/ProductionData[[#This Row],[Good Units]]</f>
        <v>14.444444444444445</v>
      </c>
      <c r="W437" s="11">
        <f>ProductionData[[#This Row],[Good Units]]/ProductionData[[#This Row],[Operating Minutes]]</f>
        <v>0.82568807339449546</v>
      </c>
    </row>
    <row r="438" spans="1:23">
      <c r="A438" s="7">
        <v>46252</v>
      </c>
      <c r="B438" s="8" t="s">
        <v>29</v>
      </c>
      <c r="C438" s="8" t="s">
        <v>27</v>
      </c>
      <c r="D438" s="8" t="s">
        <v>23</v>
      </c>
      <c r="E438" s="8" t="s">
        <v>24</v>
      </c>
      <c r="F438" s="9">
        <v>390</v>
      </c>
      <c r="G438" s="9">
        <v>343</v>
      </c>
      <c r="H438" s="9">
        <v>15</v>
      </c>
      <c r="I438" s="9">
        <f t="shared" si="54"/>
        <v>328</v>
      </c>
      <c r="J438" s="9">
        <v>59</v>
      </c>
      <c r="K438" s="10">
        <f t="shared" si="55"/>
        <v>0.12291666666666666</v>
      </c>
      <c r="L438" s="17">
        <v>120</v>
      </c>
      <c r="M438" s="17">
        <v>30800</v>
      </c>
      <c r="N438" s="17">
        <f t="shared" si="56"/>
        <v>39360</v>
      </c>
      <c r="O438" s="17">
        <f t="shared" si="57"/>
        <v>8560</v>
      </c>
      <c r="P438" s="10">
        <f t="shared" si="58"/>
        <v>0.87948717948717947</v>
      </c>
      <c r="Q438" s="10">
        <f t="shared" si="59"/>
        <v>4.3731778425655975E-2</v>
      </c>
      <c r="R438" s="10">
        <f t="shared" si="60"/>
        <v>0.21747967479674796</v>
      </c>
      <c r="S438" s="18">
        <f t="shared" si="61"/>
        <v>93.902439024390247</v>
      </c>
      <c r="T438" s="8">
        <f>480-ProductionData[[#This Row],[Downtime Minutes]]</f>
        <v>421</v>
      </c>
      <c r="U438" s="11">
        <f t="shared" si="62"/>
        <v>0.81472684085510694</v>
      </c>
      <c r="V438" s="18">
        <f>ProductionData[[#This Row],[Profit]]/ProductionData[[#This Row],[Good Units]]</f>
        <v>26.097560975609756</v>
      </c>
      <c r="W438" s="11">
        <f>ProductionData[[#This Row],[Good Units]]/ProductionData[[#This Row],[Operating Minutes]]</f>
        <v>0.77909738717339672</v>
      </c>
    </row>
    <row r="439" spans="1:23">
      <c r="A439" s="7">
        <v>46252</v>
      </c>
      <c r="B439" s="8" t="s">
        <v>29</v>
      </c>
      <c r="C439" s="8" t="s">
        <v>27</v>
      </c>
      <c r="D439" s="8" t="s">
        <v>25</v>
      </c>
      <c r="E439" s="8" t="s">
        <v>26</v>
      </c>
      <c r="F439" s="9">
        <v>510</v>
      </c>
      <c r="G439" s="9">
        <v>429</v>
      </c>
      <c r="H439" s="9">
        <v>27</v>
      </c>
      <c r="I439" s="9">
        <f t="shared" si="54"/>
        <v>402</v>
      </c>
      <c r="J439" s="9">
        <v>58</v>
      </c>
      <c r="K439" s="10">
        <f t="shared" si="55"/>
        <v>0.12083333333333333</v>
      </c>
      <c r="L439" s="17">
        <v>90</v>
      </c>
      <c r="M439" s="17">
        <v>30800</v>
      </c>
      <c r="N439" s="17">
        <f t="shared" si="56"/>
        <v>36180</v>
      </c>
      <c r="O439" s="17">
        <f t="shared" si="57"/>
        <v>5380</v>
      </c>
      <c r="P439" s="10">
        <f t="shared" si="58"/>
        <v>0.8411764705882353</v>
      </c>
      <c r="Q439" s="10">
        <f t="shared" si="59"/>
        <v>6.2937062937062943E-2</v>
      </c>
      <c r="R439" s="10">
        <f t="shared" si="60"/>
        <v>0.14870093974571585</v>
      </c>
      <c r="S439" s="18">
        <f t="shared" si="61"/>
        <v>76.616915422885569</v>
      </c>
      <c r="T439" s="8">
        <f>480-ProductionData[[#This Row],[Downtime Minutes]]</f>
        <v>422</v>
      </c>
      <c r="U439" s="11">
        <f t="shared" si="62"/>
        <v>1.0165876777251184</v>
      </c>
      <c r="V439" s="18">
        <f>ProductionData[[#This Row],[Profit]]/ProductionData[[#This Row],[Good Units]]</f>
        <v>13.383084577114428</v>
      </c>
      <c r="W439" s="11">
        <f>ProductionData[[#This Row],[Good Units]]/ProductionData[[#This Row],[Operating Minutes]]</f>
        <v>0.95260663507109</v>
      </c>
    </row>
    <row r="440" spans="1:23">
      <c r="A440" s="7">
        <v>46252</v>
      </c>
      <c r="B440" s="8" t="s">
        <v>29</v>
      </c>
      <c r="C440" s="8" t="s">
        <v>28</v>
      </c>
      <c r="D440" s="8" t="s">
        <v>21</v>
      </c>
      <c r="E440" s="8" t="s">
        <v>24</v>
      </c>
      <c r="F440" s="9">
        <v>390</v>
      </c>
      <c r="G440" s="9">
        <v>371</v>
      </c>
      <c r="H440" s="9">
        <v>10</v>
      </c>
      <c r="I440" s="9">
        <f t="shared" si="54"/>
        <v>361</v>
      </c>
      <c r="J440" s="9">
        <v>33</v>
      </c>
      <c r="K440" s="10">
        <f t="shared" si="55"/>
        <v>6.8750000000000006E-2</v>
      </c>
      <c r="L440" s="17">
        <v>120</v>
      </c>
      <c r="M440" s="17">
        <v>30800</v>
      </c>
      <c r="N440" s="17">
        <f t="shared" si="56"/>
        <v>43320</v>
      </c>
      <c r="O440" s="17">
        <f t="shared" si="57"/>
        <v>12520</v>
      </c>
      <c r="P440" s="10">
        <f t="shared" si="58"/>
        <v>0.95128205128205123</v>
      </c>
      <c r="Q440" s="10">
        <f t="shared" si="59"/>
        <v>2.6954177897574125E-2</v>
      </c>
      <c r="R440" s="10">
        <f t="shared" si="60"/>
        <v>0.28901200369344415</v>
      </c>
      <c r="S440" s="18">
        <f t="shared" si="61"/>
        <v>85.31855955678671</v>
      </c>
      <c r="T440" s="8">
        <f>480-ProductionData[[#This Row],[Downtime Minutes]]</f>
        <v>447</v>
      </c>
      <c r="U440" s="11">
        <f t="shared" si="62"/>
        <v>0.82997762863534674</v>
      </c>
      <c r="V440" s="18">
        <f>ProductionData[[#This Row],[Profit]]/ProductionData[[#This Row],[Good Units]]</f>
        <v>34.681440443213297</v>
      </c>
      <c r="W440" s="11">
        <f>ProductionData[[#This Row],[Good Units]]/ProductionData[[#This Row],[Operating Minutes]]</f>
        <v>0.80760626398210289</v>
      </c>
    </row>
    <row r="441" spans="1:23">
      <c r="A441" s="7">
        <v>46252</v>
      </c>
      <c r="B441" s="8" t="s">
        <v>29</v>
      </c>
      <c r="C441" s="8" t="s">
        <v>28</v>
      </c>
      <c r="D441" s="8" t="s">
        <v>23</v>
      </c>
      <c r="E441" s="8" t="s">
        <v>26</v>
      </c>
      <c r="F441" s="9">
        <v>500</v>
      </c>
      <c r="G441" s="9">
        <v>481</v>
      </c>
      <c r="H441" s="9">
        <v>17</v>
      </c>
      <c r="I441" s="9">
        <f t="shared" si="54"/>
        <v>464</v>
      </c>
      <c r="J441" s="9">
        <v>30</v>
      </c>
      <c r="K441" s="10">
        <f t="shared" si="55"/>
        <v>6.25E-2</v>
      </c>
      <c r="L441" s="17">
        <v>90</v>
      </c>
      <c r="M441" s="17">
        <v>30800</v>
      </c>
      <c r="N441" s="17">
        <f t="shared" si="56"/>
        <v>41760</v>
      </c>
      <c r="O441" s="17">
        <f t="shared" si="57"/>
        <v>10960</v>
      </c>
      <c r="P441" s="10">
        <f t="shared" si="58"/>
        <v>0.96199999999999997</v>
      </c>
      <c r="Q441" s="10">
        <f t="shared" si="59"/>
        <v>3.5343035343035345E-2</v>
      </c>
      <c r="R441" s="10">
        <f t="shared" si="60"/>
        <v>0.26245210727969348</v>
      </c>
      <c r="S441" s="18">
        <f t="shared" si="61"/>
        <v>66.379310344827587</v>
      </c>
      <c r="T441" s="8">
        <f>480-ProductionData[[#This Row],[Downtime Minutes]]</f>
        <v>450</v>
      </c>
      <c r="U441" s="11">
        <f t="shared" si="62"/>
        <v>1.068888888888889</v>
      </c>
      <c r="V441" s="18">
        <f>ProductionData[[#This Row],[Profit]]/ProductionData[[#This Row],[Good Units]]</f>
        <v>23.620689655172413</v>
      </c>
      <c r="W441" s="11">
        <f>ProductionData[[#This Row],[Good Units]]/ProductionData[[#This Row],[Operating Minutes]]</f>
        <v>1.0311111111111111</v>
      </c>
    </row>
    <row r="442" spans="1:23">
      <c r="A442" s="7">
        <v>46252</v>
      </c>
      <c r="B442" s="8" t="s">
        <v>29</v>
      </c>
      <c r="C442" s="8" t="s">
        <v>28</v>
      </c>
      <c r="D442" s="8" t="s">
        <v>25</v>
      </c>
      <c r="E442" s="8" t="s">
        <v>22</v>
      </c>
      <c r="F442" s="9">
        <v>430</v>
      </c>
      <c r="G442" s="9">
        <v>389</v>
      </c>
      <c r="H442" s="9">
        <v>17</v>
      </c>
      <c r="I442" s="9">
        <f t="shared" si="54"/>
        <v>372</v>
      </c>
      <c r="J442" s="9">
        <v>29</v>
      </c>
      <c r="K442" s="10">
        <f t="shared" si="55"/>
        <v>6.0416666666666667E-2</v>
      </c>
      <c r="L442" s="17">
        <v>100</v>
      </c>
      <c r="M442" s="17">
        <v>30800</v>
      </c>
      <c r="N442" s="17">
        <f t="shared" si="56"/>
        <v>37200</v>
      </c>
      <c r="O442" s="17">
        <f t="shared" si="57"/>
        <v>6400</v>
      </c>
      <c r="P442" s="10">
        <f t="shared" si="58"/>
        <v>0.90465116279069768</v>
      </c>
      <c r="Q442" s="10">
        <f t="shared" si="59"/>
        <v>4.3701799485861184E-2</v>
      </c>
      <c r="R442" s="10">
        <f t="shared" si="60"/>
        <v>0.17204301075268819</v>
      </c>
      <c r="S442" s="18">
        <f t="shared" si="61"/>
        <v>82.795698924731184</v>
      </c>
      <c r="T442" s="8">
        <f>480-ProductionData[[#This Row],[Downtime Minutes]]</f>
        <v>451</v>
      </c>
      <c r="U442" s="11">
        <f t="shared" si="62"/>
        <v>0.86252771618625279</v>
      </c>
      <c r="V442" s="18">
        <f>ProductionData[[#This Row],[Profit]]/ProductionData[[#This Row],[Good Units]]</f>
        <v>17.204301075268816</v>
      </c>
      <c r="W442" s="11">
        <f>ProductionData[[#This Row],[Good Units]]/ProductionData[[#This Row],[Operating Minutes]]</f>
        <v>0.82483370288248337</v>
      </c>
    </row>
    <row r="443" spans="1:23">
      <c r="A443" s="7">
        <v>46253</v>
      </c>
      <c r="B443" s="8" t="s">
        <v>29</v>
      </c>
      <c r="C443" s="8" t="s">
        <v>20</v>
      </c>
      <c r="D443" s="8" t="s">
        <v>21</v>
      </c>
      <c r="E443" s="8" t="s">
        <v>22</v>
      </c>
      <c r="F443" s="9">
        <v>470</v>
      </c>
      <c r="G443" s="9">
        <v>438</v>
      </c>
      <c r="H443" s="9">
        <v>18</v>
      </c>
      <c r="I443" s="9">
        <f t="shared" si="54"/>
        <v>420</v>
      </c>
      <c r="J443" s="9">
        <v>28</v>
      </c>
      <c r="K443" s="10">
        <f t="shared" si="55"/>
        <v>5.8333333333333334E-2</v>
      </c>
      <c r="L443" s="17">
        <v>100</v>
      </c>
      <c r="M443" s="17">
        <v>30800</v>
      </c>
      <c r="N443" s="17">
        <f t="shared" si="56"/>
        <v>42000</v>
      </c>
      <c r="O443" s="17">
        <f t="shared" si="57"/>
        <v>11200</v>
      </c>
      <c r="P443" s="10">
        <f t="shared" si="58"/>
        <v>0.93191489361702129</v>
      </c>
      <c r="Q443" s="10">
        <f t="shared" si="59"/>
        <v>4.1095890410958902E-2</v>
      </c>
      <c r="R443" s="10">
        <f t="shared" si="60"/>
        <v>0.26666666666666666</v>
      </c>
      <c r="S443" s="18">
        <f t="shared" si="61"/>
        <v>73.333333333333329</v>
      </c>
      <c r="T443" s="8">
        <f>480-ProductionData[[#This Row],[Downtime Minutes]]</f>
        <v>452</v>
      </c>
      <c r="U443" s="11">
        <f t="shared" si="62"/>
        <v>0.96902654867256632</v>
      </c>
      <c r="V443" s="18">
        <f>ProductionData[[#This Row],[Profit]]/ProductionData[[#This Row],[Good Units]]</f>
        <v>26.666666666666668</v>
      </c>
      <c r="W443" s="11">
        <f>ProductionData[[#This Row],[Good Units]]/ProductionData[[#This Row],[Operating Minutes]]</f>
        <v>0.92920353982300885</v>
      </c>
    </row>
    <row r="444" spans="1:23">
      <c r="A444" s="7">
        <v>46253</v>
      </c>
      <c r="B444" s="8" t="s">
        <v>29</v>
      </c>
      <c r="C444" s="8" t="s">
        <v>20</v>
      </c>
      <c r="D444" s="8" t="s">
        <v>23</v>
      </c>
      <c r="E444" s="8" t="s">
        <v>24</v>
      </c>
      <c r="F444" s="9">
        <v>410</v>
      </c>
      <c r="G444" s="9">
        <v>390</v>
      </c>
      <c r="H444" s="9">
        <v>14</v>
      </c>
      <c r="I444" s="9">
        <f t="shared" si="54"/>
        <v>376</v>
      </c>
      <c r="J444" s="9">
        <v>38</v>
      </c>
      <c r="K444" s="10">
        <f t="shared" si="55"/>
        <v>7.9166666666666663E-2</v>
      </c>
      <c r="L444" s="17">
        <v>120</v>
      </c>
      <c r="M444" s="17">
        <v>30800</v>
      </c>
      <c r="N444" s="17">
        <f t="shared" si="56"/>
        <v>45120</v>
      </c>
      <c r="O444" s="17">
        <f t="shared" si="57"/>
        <v>14320</v>
      </c>
      <c r="P444" s="10">
        <f t="shared" si="58"/>
        <v>0.95121951219512191</v>
      </c>
      <c r="Q444" s="10">
        <f t="shared" si="59"/>
        <v>3.5897435897435895E-2</v>
      </c>
      <c r="R444" s="10">
        <f t="shared" si="60"/>
        <v>0.31737588652482268</v>
      </c>
      <c r="S444" s="18">
        <f t="shared" si="61"/>
        <v>81.914893617021278</v>
      </c>
      <c r="T444" s="8">
        <f>480-ProductionData[[#This Row],[Downtime Minutes]]</f>
        <v>442</v>
      </c>
      <c r="U444" s="11">
        <f t="shared" si="62"/>
        <v>0.88235294117647056</v>
      </c>
      <c r="V444" s="18">
        <f>ProductionData[[#This Row],[Profit]]/ProductionData[[#This Row],[Good Units]]</f>
        <v>38.085106382978722</v>
      </c>
      <c r="W444" s="11">
        <f>ProductionData[[#This Row],[Good Units]]/ProductionData[[#This Row],[Operating Minutes]]</f>
        <v>0.85067873303167418</v>
      </c>
    </row>
    <row r="445" spans="1:23">
      <c r="A445" s="7">
        <v>46253</v>
      </c>
      <c r="B445" s="8" t="s">
        <v>29</v>
      </c>
      <c r="C445" s="8" t="s">
        <v>20</v>
      </c>
      <c r="D445" s="8" t="s">
        <v>25</v>
      </c>
      <c r="E445" s="8" t="s">
        <v>26</v>
      </c>
      <c r="F445" s="9">
        <v>520</v>
      </c>
      <c r="G445" s="9">
        <v>461</v>
      </c>
      <c r="H445" s="9">
        <v>23</v>
      </c>
      <c r="I445" s="9">
        <f t="shared" si="54"/>
        <v>438</v>
      </c>
      <c r="J445" s="9">
        <v>38</v>
      </c>
      <c r="K445" s="10">
        <f t="shared" si="55"/>
        <v>7.9166666666666663E-2</v>
      </c>
      <c r="L445" s="17">
        <v>90</v>
      </c>
      <c r="M445" s="17">
        <v>30800</v>
      </c>
      <c r="N445" s="17">
        <f t="shared" si="56"/>
        <v>39420</v>
      </c>
      <c r="O445" s="17">
        <f t="shared" si="57"/>
        <v>8620</v>
      </c>
      <c r="P445" s="10">
        <f t="shared" si="58"/>
        <v>0.8865384615384615</v>
      </c>
      <c r="Q445" s="10">
        <f t="shared" si="59"/>
        <v>4.9891540130151846E-2</v>
      </c>
      <c r="R445" s="10">
        <f t="shared" si="60"/>
        <v>0.21867072552004058</v>
      </c>
      <c r="S445" s="18">
        <f t="shared" si="61"/>
        <v>70.319634703196343</v>
      </c>
      <c r="T445" s="8">
        <f>480-ProductionData[[#This Row],[Downtime Minutes]]</f>
        <v>442</v>
      </c>
      <c r="U445" s="11">
        <f t="shared" si="62"/>
        <v>1.0429864253393666</v>
      </c>
      <c r="V445" s="18">
        <f>ProductionData[[#This Row],[Profit]]/ProductionData[[#This Row],[Good Units]]</f>
        <v>19.680365296803654</v>
      </c>
      <c r="W445" s="11">
        <f>ProductionData[[#This Row],[Good Units]]/ProductionData[[#This Row],[Operating Minutes]]</f>
        <v>0.99095022624434392</v>
      </c>
    </row>
    <row r="446" spans="1:23">
      <c r="A446" s="7">
        <v>46253</v>
      </c>
      <c r="B446" s="8" t="s">
        <v>29</v>
      </c>
      <c r="C446" s="8" t="s">
        <v>27</v>
      </c>
      <c r="D446" s="8" t="s">
        <v>21</v>
      </c>
      <c r="E446" s="8" t="s">
        <v>24</v>
      </c>
      <c r="F446" s="9">
        <v>390</v>
      </c>
      <c r="G446" s="9">
        <v>355</v>
      </c>
      <c r="H446" s="9">
        <v>18</v>
      </c>
      <c r="I446" s="9">
        <f t="shared" si="54"/>
        <v>337</v>
      </c>
      <c r="J446" s="9">
        <v>40</v>
      </c>
      <c r="K446" s="10">
        <f t="shared" si="55"/>
        <v>8.3333333333333329E-2</v>
      </c>
      <c r="L446" s="17">
        <v>120</v>
      </c>
      <c r="M446" s="17">
        <v>30800</v>
      </c>
      <c r="N446" s="17">
        <f t="shared" si="56"/>
        <v>40440</v>
      </c>
      <c r="O446" s="17">
        <f t="shared" si="57"/>
        <v>9640</v>
      </c>
      <c r="P446" s="10">
        <f t="shared" si="58"/>
        <v>0.91025641025641024</v>
      </c>
      <c r="Q446" s="10">
        <f t="shared" si="59"/>
        <v>5.0704225352112678E-2</v>
      </c>
      <c r="R446" s="10">
        <f t="shared" si="60"/>
        <v>0.23837784371909002</v>
      </c>
      <c r="S446" s="18">
        <f t="shared" si="61"/>
        <v>91.394658753709194</v>
      </c>
      <c r="T446" s="8">
        <f>480-ProductionData[[#This Row],[Downtime Minutes]]</f>
        <v>440</v>
      </c>
      <c r="U446" s="11">
        <f t="shared" si="62"/>
        <v>0.80681818181818177</v>
      </c>
      <c r="V446" s="18">
        <f>ProductionData[[#This Row],[Profit]]/ProductionData[[#This Row],[Good Units]]</f>
        <v>28.605341246290802</v>
      </c>
      <c r="W446" s="11">
        <f>ProductionData[[#This Row],[Good Units]]/ProductionData[[#This Row],[Operating Minutes]]</f>
        <v>0.76590909090909087</v>
      </c>
    </row>
    <row r="447" spans="1:23">
      <c r="A447" s="7">
        <v>46253</v>
      </c>
      <c r="B447" s="8" t="s">
        <v>29</v>
      </c>
      <c r="C447" s="8" t="s">
        <v>27</v>
      </c>
      <c r="D447" s="8" t="s">
        <v>23</v>
      </c>
      <c r="E447" s="8" t="s">
        <v>26</v>
      </c>
      <c r="F447" s="9">
        <v>510</v>
      </c>
      <c r="G447" s="9">
        <v>433</v>
      </c>
      <c r="H447" s="9">
        <v>27</v>
      </c>
      <c r="I447" s="9">
        <f t="shared" si="54"/>
        <v>406</v>
      </c>
      <c r="J447" s="9">
        <v>50</v>
      </c>
      <c r="K447" s="10">
        <f t="shared" si="55"/>
        <v>0.10416666666666667</v>
      </c>
      <c r="L447" s="17">
        <v>90</v>
      </c>
      <c r="M447" s="17">
        <v>30800</v>
      </c>
      <c r="N447" s="17">
        <f t="shared" si="56"/>
        <v>36540</v>
      </c>
      <c r="O447" s="17">
        <f t="shared" si="57"/>
        <v>5740</v>
      </c>
      <c r="P447" s="10">
        <f t="shared" si="58"/>
        <v>0.84901960784313724</v>
      </c>
      <c r="Q447" s="10">
        <f t="shared" si="59"/>
        <v>6.2355658198614321E-2</v>
      </c>
      <c r="R447" s="10">
        <f t="shared" si="60"/>
        <v>0.15708812260536398</v>
      </c>
      <c r="S447" s="18">
        <f t="shared" si="61"/>
        <v>75.862068965517238</v>
      </c>
      <c r="T447" s="8">
        <f>480-ProductionData[[#This Row],[Downtime Minutes]]</f>
        <v>430</v>
      </c>
      <c r="U447" s="11">
        <f t="shared" si="62"/>
        <v>1.0069767441860464</v>
      </c>
      <c r="V447" s="18">
        <f>ProductionData[[#This Row],[Profit]]/ProductionData[[#This Row],[Good Units]]</f>
        <v>14.137931034482758</v>
      </c>
      <c r="W447" s="11">
        <f>ProductionData[[#This Row],[Good Units]]/ProductionData[[#This Row],[Operating Minutes]]</f>
        <v>0.94418604651162785</v>
      </c>
    </row>
    <row r="448" spans="1:23">
      <c r="A448" s="7">
        <v>46253</v>
      </c>
      <c r="B448" s="8" t="s">
        <v>29</v>
      </c>
      <c r="C448" s="8" t="s">
        <v>27</v>
      </c>
      <c r="D448" s="8" t="s">
        <v>25</v>
      </c>
      <c r="E448" s="8" t="s">
        <v>22</v>
      </c>
      <c r="F448" s="9">
        <v>440</v>
      </c>
      <c r="G448" s="9">
        <v>384</v>
      </c>
      <c r="H448" s="9">
        <v>31</v>
      </c>
      <c r="I448" s="9">
        <f t="shared" si="54"/>
        <v>353</v>
      </c>
      <c r="J448" s="9">
        <v>78</v>
      </c>
      <c r="K448" s="10">
        <f t="shared" si="55"/>
        <v>0.16250000000000001</v>
      </c>
      <c r="L448" s="17">
        <v>100</v>
      </c>
      <c r="M448" s="17">
        <v>30800</v>
      </c>
      <c r="N448" s="17">
        <f t="shared" si="56"/>
        <v>35300</v>
      </c>
      <c r="O448" s="17">
        <f t="shared" si="57"/>
        <v>4500</v>
      </c>
      <c r="P448" s="10">
        <f t="shared" si="58"/>
        <v>0.87272727272727268</v>
      </c>
      <c r="Q448" s="10">
        <f t="shared" si="59"/>
        <v>8.0729166666666671E-2</v>
      </c>
      <c r="R448" s="10">
        <f t="shared" si="60"/>
        <v>0.12747875354107649</v>
      </c>
      <c r="S448" s="18">
        <f t="shared" si="61"/>
        <v>87.252124645892351</v>
      </c>
      <c r="T448" s="8">
        <f>480-ProductionData[[#This Row],[Downtime Minutes]]</f>
        <v>402</v>
      </c>
      <c r="U448" s="11">
        <f t="shared" si="62"/>
        <v>0.95522388059701491</v>
      </c>
      <c r="V448" s="18">
        <f>ProductionData[[#This Row],[Profit]]/ProductionData[[#This Row],[Good Units]]</f>
        <v>12.747875354107649</v>
      </c>
      <c r="W448" s="11">
        <f>ProductionData[[#This Row],[Good Units]]/ProductionData[[#This Row],[Operating Minutes]]</f>
        <v>0.87810945273631846</v>
      </c>
    </row>
    <row r="449" spans="1:23">
      <c r="A449" s="7">
        <v>46253</v>
      </c>
      <c r="B449" s="8" t="s">
        <v>29</v>
      </c>
      <c r="C449" s="8" t="s">
        <v>28</v>
      </c>
      <c r="D449" s="8" t="s">
        <v>21</v>
      </c>
      <c r="E449" s="8" t="s">
        <v>26</v>
      </c>
      <c r="F449" s="9">
        <v>520</v>
      </c>
      <c r="G449" s="9">
        <v>494</v>
      </c>
      <c r="H449" s="9">
        <v>15</v>
      </c>
      <c r="I449" s="9">
        <f t="shared" si="54"/>
        <v>479</v>
      </c>
      <c r="J449" s="9">
        <v>18</v>
      </c>
      <c r="K449" s="10">
        <f t="shared" si="55"/>
        <v>3.7499999999999999E-2</v>
      </c>
      <c r="L449" s="17">
        <v>90</v>
      </c>
      <c r="M449" s="17">
        <v>30800</v>
      </c>
      <c r="N449" s="17">
        <f t="shared" si="56"/>
        <v>43110</v>
      </c>
      <c r="O449" s="17">
        <f t="shared" si="57"/>
        <v>12310</v>
      </c>
      <c r="P449" s="10">
        <f t="shared" si="58"/>
        <v>0.95</v>
      </c>
      <c r="Q449" s="10">
        <f t="shared" si="59"/>
        <v>3.0364372469635626E-2</v>
      </c>
      <c r="R449" s="10">
        <f t="shared" si="60"/>
        <v>0.28554859661331478</v>
      </c>
      <c r="S449" s="18">
        <f t="shared" si="61"/>
        <v>64.300626304801668</v>
      </c>
      <c r="T449" s="8">
        <f>480-ProductionData[[#This Row],[Downtime Minutes]]</f>
        <v>462</v>
      </c>
      <c r="U449" s="11">
        <f t="shared" si="62"/>
        <v>1.0692640692640694</v>
      </c>
      <c r="V449" s="18">
        <f>ProductionData[[#This Row],[Profit]]/ProductionData[[#This Row],[Good Units]]</f>
        <v>25.699373695198329</v>
      </c>
      <c r="W449" s="11">
        <f>ProductionData[[#This Row],[Good Units]]/ProductionData[[#This Row],[Operating Minutes]]</f>
        <v>1.0367965367965368</v>
      </c>
    </row>
    <row r="450" spans="1:23">
      <c r="A450" s="7">
        <v>46253</v>
      </c>
      <c r="B450" s="8" t="s">
        <v>29</v>
      </c>
      <c r="C450" s="8" t="s">
        <v>28</v>
      </c>
      <c r="D450" s="8" t="s">
        <v>23</v>
      </c>
      <c r="E450" s="8" t="s">
        <v>22</v>
      </c>
      <c r="F450" s="9">
        <v>450</v>
      </c>
      <c r="G450" s="9">
        <v>417</v>
      </c>
      <c r="H450" s="9">
        <v>18</v>
      </c>
      <c r="I450" s="9">
        <f t="shared" ref="I450:I513" si="63">G450-H450</f>
        <v>399</v>
      </c>
      <c r="J450" s="9">
        <v>26</v>
      </c>
      <c r="K450" s="10">
        <f t="shared" ref="K450:K513" si="64">J450/480</f>
        <v>5.4166666666666669E-2</v>
      </c>
      <c r="L450" s="17">
        <v>100</v>
      </c>
      <c r="M450" s="17">
        <v>30800</v>
      </c>
      <c r="N450" s="17">
        <f t="shared" ref="N450:N513" si="65">I450*L450</f>
        <v>39900</v>
      </c>
      <c r="O450" s="17">
        <f t="shared" ref="O450:O513" si="66">N450-M450</f>
        <v>9100</v>
      </c>
      <c r="P450" s="10">
        <f t="shared" ref="P450:P513" si="67">G450/F450</f>
        <v>0.92666666666666664</v>
      </c>
      <c r="Q450" s="10">
        <f t="shared" ref="Q450:Q513" si="68">H450/G450</f>
        <v>4.3165467625899283E-2</v>
      </c>
      <c r="R450" s="10">
        <f t="shared" ref="R450:R513" si="69">O450/N450</f>
        <v>0.22807017543859648</v>
      </c>
      <c r="S450" s="18">
        <f t="shared" ref="S450:S513" si="70">M450/I450</f>
        <v>77.192982456140356</v>
      </c>
      <c r="T450" s="8">
        <f>480-ProductionData[[#This Row],[Downtime Minutes]]</f>
        <v>454</v>
      </c>
      <c r="U450" s="11">
        <f t="shared" ref="U450:U513" si="71">G450/T450</f>
        <v>0.91850220264317184</v>
      </c>
      <c r="V450" s="18">
        <f>ProductionData[[#This Row],[Profit]]/ProductionData[[#This Row],[Good Units]]</f>
        <v>22.807017543859651</v>
      </c>
      <c r="W450" s="11">
        <f>ProductionData[[#This Row],[Good Units]]/ProductionData[[#This Row],[Operating Minutes]]</f>
        <v>0.87885462555066074</v>
      </c>
    </row>
    <row r="451" spans="1:23">
      <c r="A451" s="7">
        <v>46253</v>
      </c>
      <c r="B451" s="8" t="s">
        <v>29</v>
      </c>
      <c r="C451" s="8" t="s">
        <v>28</v>
      </c>
      <c r="D451" s="8" t="s">
        <v>25</v>
      </c>
      <c r="E451" s="8" t="s">
        <v>24</v>
      </c>
      <c r="F451" s="9">
        <v>390</v>
      </c>
      <c r="G451" s="9">
        <v>365</v>
      </c>
      <c r="H451" s="9">
        <v>14</v>
      </c>
      <c r="I451" s="9">
        <f t="shared" si="63"/>
        <v>351</v>
      </c>
      <c r="J451" s="9">
        <v>24</v>
      </c>
      <c r="K451" s="10">
        <f t="shared" si="64"/>
        <v>0.05</v>
      </c>
      <c r="L451" s="17">
        <v>120</v>
      </c>
      <c r="M451" s="17">
        <v>30800</v>
      </c>
      <c r="N451" s="17">
        <f t="shared" si="65"/>
        <v>42120</v>
      </c>
      <c r="O451" s="17">
        <f t="shared" si="66"/>
        <v>11320</v>
      </c>
      <c r="P451" s="10">
        <f t="shared" si="67"/>
        <v>0.9358974358974359</v>
      </c>
      <c r="Q451" s="10">
        <f t="shared" si="68"/>
        <v>3.8356164383561646E-2</v>
      </c>
      <c r="R451" s="10">
        <f t="shared" si="69"/>
        <v>0.26875593542260207</v>
      </c>
      <c r="S451" s="18">
        <f t="shared" si="70"/>
        <v>87.749287749287745</v>
      </c>
      <c r="T451" s="8">
        <f>480-ProductionData[[#This Row],[Downtime Minutes]]</f>
        <v>456</v>
      </c>
      <c r="U451" s="11">
        <f t="shared" si="71"/>
        <v>0.80043859649122806</v>
      </c>
      <c r="V451" s="18">
        <f>ProductionData[[#This Row],[Profit]]/ProductionData[[#This Row],[Good Units]]</f>
        <v>32.250712250712247</v>
      </c>
      <c r="W451" s="11">
        <f>ProductionData[[#This Row],[Good Units]]/ProductionData[[#This Row],[Operating Minutes]]</f>
        <v>0.76973684210526316</v>
      </c>
    </row>
    <row r="452" spans="1:23">
      <c r="A452" s="7">
        <v>46254</v>
      </c>
      <c r="B452" s="8" t="s">
        <v>29</v>
      </c>
      <c r="C452" s="8" t="s">
        <v>20</v>
      </c>
      <c r="D452" s="8" t="s">
        <v>21</v>
      </c>
      <c r="E452" s="8" t="s">
        <v>24</v>
      </c>
      <c r="F452" s="9">
        <v>400</v>
      </c>
      <c r="G452" s="9">
        <v>379</v>
      </c>
      <c r="H452" s="9">
        <v>13</v>
      </c>
      <c r="I452" s="9">
        <f t="shared" si="63"/>
        <v>366</v>
      </c>
      <c r="J452" s="9">
        <v>18</v>
      </c>
      <c r="K452" s="10">
        <f t="shared" si="64"/>
        <v>3.7499999999999999E-2</v>
      </c>
      <c r="L452" s="17">
        <v>120</v>
      </c>
      <c r="M452" s="17">
        <v>30800</v>
      </c>
      <c r="N452" s="17">
        <f t="shared" si="65"/>
        <v>43920</v>
      </c>
      <c r="O452" s="17">
        <f t="shared" si="66"/>
        <v>13120</v>
      </c>
      <c r="P452" s="10">
        <f t="shared" si="67"/>
        <v>0.94750000000000001</v>
      </c>
      <c r="Q452" s="10">
        <f t="shared" si="68"/>
        <v>3.430079155672823E-2</v>
      </c>
      <c r="R452" s="10">
        <f t="shared" si="69"/>
        <v>0.2987249544626594</v>
      </c>
      <c r="S452" s="18">
        <f t="shared" si="70"/>
        <v>84.15300546448087</v>
      </c>
      <c r="T452" s="8">
        <f>480-ProductionData[[#This Row],[Downtime Minutes]]</f>
        <v>462</v>
      </c>
      <c r="U452" s="11">
        <f t="shared" si="71"/>
        <v>0.82034632034632038</v>
      </c>
      <c r="V452" s="18">
        <f>ProductionData[[#This Row],[Profit]]/ProductionData[[#This Row],[Good Units]]</f>
        <v>35.846994535519123</v>
      </c>
      <c r="W452" s="11">
        <f>ProductionData[[#This Row],[Good Units]]/ProductionData[[#This Row],[Operating Minutes]]</f>
        <v>0.79220779220779225</v>
      </c>
    </row>
    <row r="453" spans="1:23">
      <c r="A453" s="7">
        <v>46254</v>
      </c>
      <c r="B453" s="8" t="s">
        <v>29</v>
      </c>
      <c r="C453" s="8" t="s">
        <v>20</v>
      </c>
      <c r="D453" s="8" t="s">
        <v>23</v>
      </c>
      <c r="E453" s="8" t="s">
        <v>26</v>
      </c>
      <c r="F453" s="9">
        <v>490</v>
      </c>
      <c r="G453" s="9">
        <v>440</v>
      </c>
      <c r="H453" s="9">
        <v>13</v>
      </c>
      <c r="I453" s="9">
        <f t="shared" si="63"/>
        <v>427</v>
      </c>
      <c r="J453" s="9">
        <v>39</v>
      </c>
      <c r="K453" s="10">
        <f t="shared" si="64"/>
        <v>8.1250000000000003E-2</v>
      </c>
      <c r="L453" s="17">
        <v>90</v>
      </c>
      <c r="M453" s="17">
        <v>30800</v>
      </c>
      <c r="N453" s="17">
        <f t="shared" si="65"/>
        <v>38430</v>
      </c>
      <c r="O453" s="17">
        <f t="shared" si="66"/>
        <v>7630</v>
      </c>
      <c r="P453" s="10">
        <f t="shared" si="67"/>
        <v>0.89795918367346939</v>
      </c>
      <c r="Q453" s="10">
        <f t="shared" si="68"/>
        <v>2.9545454545454545E-2</v>
      </c>
      <c r="R453" s="10">
        <f t="shared" si="69"/>
        <v>0.19854280510018216</v>
      </c>
      <c r="S453" s="18">
        <f t="shared" si="70"/>
        <v>72.131147540983605</v>
      </c>
      <c r="T453" s="8">
        <f>480-ProductionData[[#This Row],[Downtime Minutes]]</f>
        <v>441</v>
      </c>
      <c r="U453" s="11">
        <f t="shared" si="71"/>
        <v>0.99773242630385484</v>
      </c>
      <c r="V453" s="18">
        <f>ProductionData[[#This Row],[Profit]]/ProductionData[[#This Row],[Good Units]]</f>
        <v>17.868852459016395</v>
      </c>
      <c r="W453" s="11">
        <f>ProductionData[[#This Row],[Good Units]]/ProductionData[[#This Row],[Operating Minutes]]</f>
        <v>0.96825396825396826</v>
      </c>
    </row>
    <row r="454" spans="1:23">
      <c r="A454" s="7">
        <v>46254</v>
      </c>
      <c r="B454" s="8" t="s">
        <v>29</v>
      </c>
      <c r="C454" s="8" t="s">
        <v>20</v>
      </c>
      <c r="D454" s="8" t="s">
        <v>25</v>
      </c>
      <c r="E454" s="8" t="s">
        <v>22</v>
      </c>
      <c r="F454" s="9">
        <v>460</v>
      </c>
      <c r="G454" s="9">
        <v>398</v>
      </c>
      <c r="H454" s="9">
        <v>24</v>
      </c>
      <c r="I454" s="9">
        <f t="shared" si="63"/>
        <v>374</v>
      </c>
      <c r="J454" s="9">
        <v>48</v>
      </c>
      <c r="K454" s="10">
        <f t="shared" si="64"/>
        <v>0.1</v>
      </c>
      <c r="L454" s="17">
        <v>100</v>
      </c>
      <c r="M454" s="17">
        <v>30800</v>
      </c>
      <c r="N454" s="17">
        <f t="shared" si="65"/>
        <v>37400</v>
      </c>
      <c r="O454" s="17">
        <f t="shared" si="66"/>
        <v>6600</v>
      </c>
      <c r="P454" s="10">
        <f t="shared" si="67"/>
        <v>0.86521739130434783</v>
      </c>
      <c r="Q454" s="10">
        <f t="shared" si="68"/>
        <v>6.030150753768844E-2</v>
      </c>
      <c r="R454" s="10">
        <f t="shared" si="69"/>
        <v>0.17647058823529413</v>
      </c>
      <c r="S454" s="18">
        <f t="shared" si="70"/>
        <v>82.352941176470594</v>
      </c>
      <c r="T454" s="8">
        <f>480-ProductionData[[#This Row],[Downtime Minutes]]</f>
        <v>432</v>
      </c>
      <c r="U454" s="11">
        <f t="shared" si="71"/>
        <v>0.92129629629629628</v>
      </c>
      <c r="V454" s="18">
        <f>ProductionData[[#This Row],[Profit]]/ProductionData[[#This Row],[Good Units]]</f>
        <v>17.647058823529413</v>
      </c>
      <c r="W454" s="11">
        <f>ProductionData[[#This Row],[Good Units]]/ProductionData[[#This Row],[Operating Minutes]]</f>
        <v>0.8657407407407407</v>
      </c>
    </row>
    <row r="455" spans="1:23">
      <c r="A455" s="7">
        <v>46254</v>
      </c>
      <c r="B455" s="8" t="s">
        <v>29</v>
      </c>
      <c r="C455" s="8" t="s">
        <v>27</v>
      </c>
      <c r="D455" s="8" t="s">
        <v>21</v>
      </c>
      <c r="E455" s="8" t="s">
        <v>26</v>
      </c>
      <c r="F455" s="9">
        <v>490</v>
      </c>
      <c r="G455" s="9">
        <v>424</v>
      </c>
      <c r="H455" s="9">
        <v>24</v>
      </c>
      <c r="I455" s="9">
        <f t="shared" si="63"/>
        <v>400</v>
      </c>
      <c r="J455" s="9">
        <v>32</v>
      </c>
      <c r="K455" s="10">
        <f t="shared" si="64"/>
        <v>6.6666666666666666E-2</v>
      </c>
      <c r="L455" s="17">
        <v>90</v>
      </c>
      <c r="M455" s="17">
        <v>30800</v>
      </c>
      <c r="N455" s="17">
        <f t="shared" si="65"/>
        <v>36000</v>
      </c>
      <c r="O455" s="17">
        <f t="shared" si="66"/>
        <v>5200</v>
      </c>
      <c r="P455" s="10">
        <f t="shared" si="67"/>
        <v>0.86530612244897964</v>
      </c>
      <c r="Q455" s="10">
        <f t="shared" si="68"/>
        <v>5.6603773584905662E-2</v>
      </c>
      <c r="R455" s="10">
        <f t="shared" si="69"/>
        <v>0.14444444444444443</v>
      </c>
      <c r="S455" s="18">
        <f t="shared" si="70"/>
        <v>77</v>
      </c>
      <c r="T455" s="8">
        <f>480-ProductionData[[#This Row],[Downtime Minutes]]</f>
        <v>448</v>
      </c>
      <c r="U455" s="11">
        <f t="shared" si="71"/>
        <v>0.9464285714285714</v>
      </c>
      <c r="V455" s="18">
        <f>ProductionData[[#This Row],[Profit]]/ProductionData[[#This Row],[Good Units]]</f>
        <v>13</v>
      </c>
      <c r="W455" s="11">
        <f>ProductionData[[#This Row],[Good Units]]/ProductionData[[#This Row],[Operating Minutes]]</f>
        <v>0.8928571428571429</v>
      </c>
    </row>
    <row r="456" spans="1:23">
      <c r="A456" s="7">
        <v>46254</v>
      </c>
      <c r="B456" s="8" t="s">
        <v>29</v>
      </c>
      <c r="C456" s="8" t="s">
        <v>27</v>
      </c>
      <c r="D456" s="8" t="s">
        <v>23</v>
      </c>
      <c r="E456" s="8" t="s">
        <v>22</v>
      </c>
      <c r="F456" s="9">
        <v>450</v>
      </c>
      <c r="G456" s="9">
        <v>387</v>
      </c>
      <c r="H456" s="9">
        <v>28</v>
      </c>
      <c r="I456" s="9">
        <f t="shared" si="63"/>
        <v>359</v>
      </c>
      <c r="J456" s="9">
        <v>71</v>
      </c>
      <c r="K456" s="10">
        <f t="shared" si="64"/>
        <v>0.14791666666666667</v>
      </c>
      <c r="L456" s="17">
        <v>100</v>
      </c>
      <c r="M456" s="17">
        <v>30800</v>
      </c>
      <c r="N456" s="17">
        <f t="shared" si="65"/>
        <v>35900</v>
      </c>
      <c r="O456" s="17">
        <f t="shared" si="66"/>
        <v>5100</v>
      </c>
      <c r="P456" s="10">
        <f t="shared" si="67"/>
        <v>0.86</v>
      </c>
      <c r="Q456" s="10">
        <f t="shared" si="68"/>
        <v>7.2351421188630485E-2</v>
      </c>
      <c r="R456" s="10">
        <f t="shared" si="69"/>
        <v>0.14206128133704735</v>
      </c>
      <c r="S456" s="18">
        <f t="shared" si="70"/>
        <v>85.793871866295262</v>
      </c>
      <c r="T456" s="8">
        <f>480-ProductionData[[#This Row],[Downtime Minutes]]</f>
        <v>409</v>
      </c>
      <c r="U456" s="11">
        <f t="shared" si="71"/>
        <v>0.94621026894865523</v>
      </c>
      <c r="V456" s="18">
        <f>ProductionData[[#This Row],[Profit]]/ProductionData[[#This Row],[Good Units]]</f>
        <v>14.206128133704736</v>
      </c>
      <c r="W456" s="11">
        <f>ProductionData[[#This Row],[Good Units]]/ProductionData[[#This Row],[Operating Minutes]]</f>
        <v>0.87775061124694376</v>
      </c>
    </row>
    <row r="457" spans="1:23">
      <c r="A457" s="7">
        <v>46254</v>
      </c>
      <c r="B457" s="8" t="s">
        <v>29</v>
      </c>
      <c r="C457" s="8" t="s">
        <v>27</v>
      </c>
      <c r="D457" s="8" t="s">
        <v>25</v>
      </c>
      <c r="E457" s="8" t="s">
        <v>24</v>
      </c>
      <c r="F457" s="9">
        <v>390</v>
      </c>
      <c r="G457" s="9">
        <v>331</v>
      </c>
      <c r="H457" s="9">
        <v>20</v>
      </c>
      <c r="I457" s="9">
        <f t="shared" si="63"/>
        <v>311</v>
      </c>
      <c r="J457" s="9">
        <v>59</v>
      </c>
      <c r="K457" s="10">
        <f t="shared" si="64"/>
        <v>0.12291666666666666</v>
      </c>
      <c r="L457" s="17">
        <v>120</v>
      </c>
      <c r="M457" s="17">
        <v>30800</v>
      </c>
      <c r="N457" s="17">
        <f t="shared" si="65"/>
        <v>37320</v>
      </c>
      <c r="O457" s="17">
        <f t="shared" si="66"/>
        <v>6520</v>
      </c>
      <c r="P457" s="10">
        <f t="shared" si="67"/>
        <v>0.8487179487179487</v>
      </c>
      <c r="Q457" s="10">
        <f t="shared" si="68"/>
        <v>6.0422960725075532E-2</v>
      </c>
      <c r="R457" s="10">
        <f t="shared" si="69"/>
        <v>0.17470525187566988</v>
      </c>
      <c r="S457" s="18">
        <f t="shared" si="70"/>
        <v>99.035369774919616</v>
      </c>
      <c r="T457" s="8">
        <f>480-ProductionData[[#This Row],[Downtime Minutes]]</f>
        <v>421</v>
      </c>
      <c r="U457" s="11">
        <f t="shared" si="71"/>
        <v>0.78622327790973867</v>
      </c>
      <c r="V457" s="18">
        <f>ProductionData[[#This Row],[Profit]]/ProductionData[[#This Row],[Good Units]]</f>
        <v>20.964630225080384</v>
      </c>
      <c r="W457" s="11">
        <f>ProductionData[[#This Row],[Good Units]]/ProductionData[[#This Row],[Operating Minutes]]</f>
        <v>0.73871733966745845</v>
      </c>
    </row>
    <row r="458" spans="1:23">
      <c r="A458" s="7">
        <v>46254</v>
      </c>
      <c r="B458" s="8" t="s">
        <v>29</v>
      </c>
      <c r="C458" s="8" t="s">
        <v>28</v>
      </c>
      <c r="D458" s="8" t="s">
        <v>21</v>
      </c>
      <c r="E458" s="8" t="s">
        <v>22</v>
      </c>
      <c r="F458" s="9">
        <v>440</v>
      </c>
      <c r="G458" s="9">
        <v>410</v>
      </c>
      <c r="H458" s="9">
        <v>17</v>
      </c>
      <c r="I458" s="9">
        <f t="shared" si="63"/>
        <v>393</v>
      </c>
      <c r="J458" s="9">
        <v>22</v>
      </c>
      <c r="K458" s="10">
        <f t="shared" si="64"/>
        <v>4.583333333333333E-2</v>
      </c>
      <c r="L458" s="17">
        <v>100</v>
      </c>
      <c r="M458" s="17">
        <v>30800</v>
      </c>
      <c r="N458" s="17">
        <f t="shared" si="65"/>
        <v>39300</v>
      </c>
      <c r="O458" s="17">
        <f t="shared" si="66"/>
        <v>8500</v>
      </c>
      <c r="P458" s="10">
        <f t="shared" si="67"/>
        <v>0.93181818181818177</v>
      </c>
      <c r="Q458" s="10">
        <f t="shared" si="68"/>
        <v>4.1463414634146344E-2</v>
      </c>
      <c r="R458" s="10">
        <f t="shared" si="69"/>
        <v>0.21628498727735368</v>
      </c>
      <c r="S458" s="18">
        <f t="shared" si="70"/>
        <v>78.371501272264638</v>
      </c>
      <c r="T458" s="8">
        <f>480-ProductionData[[#This Row],[Downtime Minutes]]</f>
        <v>458</v>
      </c>
      <c r="U458" s="11">
        <f t="shared" si="71"/>
        <v>0.89519650655021832</v>
      </c>
      <c r="V458" s="18">
        <f>ProductionData[[#This Row],[Profit]]/ProductionData[[#This Row],[Good Units]]</f>
        <v>21.628498727735369</v>
      </c>
      <c r="W458" s="11">
        <f>ProductionData[[#This Row],[Good Units]]/ProductionData[[#This Row],[Operating Minutes]]</f>
        <v>0.85807860262008728</v>
      </c>
    </row>
    <row r="459" spans="1:23">
      <c r="A459" s="7">
        <v>46254</v>
      </c>
      <c r="B459" s="8" t="s">
        <v>29</v>
      </c>
      <c r="C459" s="8" t="s">
        <v>28</v>
      </c>
      <c r="D459" s="8" t="s">
        <v>23</v>
      </c>
      <c r="E459" s="8" t="s">
        <v>24</v>
      </c>
      <c r="F459" s="9">
        <v>390</v>
      </c>
      <c r="G459" s="9">
        <v>357</v>
      </c>
      <c r="H459" s="9">
        <v>12</v>
      </c>
      <c r="I459" s="9">
        <f t="shared" si="63"/>
        <v>345</v>
      </c>
      <c r="J459" s="9">
        <v>40</v>
      </c>
      <c r="K459" s="10">
        <f t="shared" si="64"/>
        <v>8.3333333333333329E-2</v>
      </c>
      <c r="L459" s="17">
        <v>120</v>
      </c>
      <c r="M459" s="17">
        <v>30800</v>
      </c>
      <c r="N459" s="17">
        <f t="shared" si="65"/>
        <v>41400</v>
      </c>
      <c r="O459" s="17">
        <f t="shared" si="66"/>
        <v>10600</v>
      </c>
      <c r="P459" s="10">
        <f t="shared" si="67"/>
        <v>0.91538461538461535</v>
      </c>
      <c r="Q459" s="10">
        <f t="shared" si="68"/>
        <v>3.3613445378151259E-2</v>
      </c>
      <c r="R459" s="10">
        <f t="shared" si="69"/>
        <v>0.2560386473429952</v>
      </c>
      <c r="S459" s="18">
        <f t="shared" si="70"/>
        <v>89.275362318840578</v>
      </c>
      <c r="T459" s="8">
        <f>480-ProductionData[[#This Row],[Downtime Minutes]]</f>
        <v>440</v>
      </c>
      <c r="U459" s="11">
        <f t="shared" si="71"/>
        <v>0.8113636363636364</v>
      </c>
      <c r="V459" s="18">
        <f>ProductionData[[#This Row],[Profit]]/ProductionData[[#This Row],[Good Units]]</f>
        <v>30.724637681159422</v>
      </c>
      <c r="W459" s="11">
        <f>ProductionData[[#This Row],[Good Units]]/ProductionData[[#This Row],[Operating Minutes]]</f>
        <v>0.78409090909090906</v>
      </c>
    </row>
    <row r="460" spans="1:23">
      <c r="A460" s="7">
        <v>46254</v>
      </c>
      <c r="B460" s="8" t="s">
        <v>29</v>
      </c>
      <c r="C460" s="8" t="s">
        <v>28</v>
      </c>
      <c r="D460" s="8" t="s">
        <v>25</v>
      </c>
      <c r="E460" s="8" t="s">
        <v>26</v>
      </c>
      <c r="F460" s="9">
        <v>510</v>
      </c>
      <c r="G460" s="9">
        <v>463</v>
      </c>
      <c r="H460" s="9">
        <v>18</v>
      </c>
      <c r="I460" s="9">
        <f t="shared" si="63"/>
        <v>445</v>
      </c>
      <c r="J460" s="9">
        <v>29</v>
      </c>
      <c r="K460" s="10">
        <f t="shared" si="64"/>
        <v>6.0416666666666667E-2</v>
      </c>
      <c r="L460" s="17">
        <v>90</v>
      </c>
      <c r="M460" s="17">
        <v>30800</v>
      </c>
      <c r="N460" s="17">
        <f t="shared" si="65"/>
        <v>40050</v>
      </c>
      <c r="O460" s="17">
        <f t="shared" si="66"/>
        <v>9250</v>
      </c>
      <c r="P460" s="10">
        <f t="shared" si="67"/>
        <v>0.90784313725490196</v>
      </c>
      <c r="Q460" s="10">
        <f t="shared" si="68"/>
        <v>3.8876889848812095E-2</v>
      </c>
      <c r="R460" s="10">
        <f t="shared" si="69"/>
        <v>0.23096129837702872</v>
      </c>
      <c r="S460" s="18">
        <f t="shared" si="70"/>
        <v>69.213483146067418</v>
      </c>
      <c r="T460" s="8">
        <f>480-ProductionData[[#This Row],[Downtime Minutes]]</f>
        <v>451</v>
      </c>
      <c r="U460" s="11">
        <f t="shared" si="71"/>
        <v>1.0266075388026608</v>
      </c>
      <c r="V460" s="18">
        <f>ProductionData[[#This Row],[Profit]]/ProductionData[[#This Row],[Good Units]]</f>
        <v>20.786516853932586</v>
      </c>
      <c r="W460" s="11">
        <f>ProductionData[[#This Row],[Good Units]]/ProductionData[[#This Row],[Operating Minutes]]</f>
        <v>0.98669623059866962</v>
      </c>
    </row>
    <row r="461" spans="1:23">
      <c r="A461" s="7">
        <v>46255</v>
      </c>
      <c r="B461" s="8" t="s">
        <v>29</v>
      </c>
      <c r="C461" s="8" t="s">
        <v>20</v>
      </c>
      <c r="D461" s="8" t="s">
        <v>21</v>
      </c>
      <c r="E461" s="8" t="s">
        <v>26</v>
      </c>
      <c r="F461" s="9">
        <v>510</v>
      </c>
      <c r="G461" s="9">
        <v>484</v>
      </c>
      <c r="H461" s="9">
        <v>14</v>
      </c>
      <c r="I461" s="9">
        <f t="shared" si="63"/>
        <v>470</v>
      </c>
      <c r="J461" s="9">
        <v>26</v>
      </c>
      <c r="K461" s="10">
        <f t="shared" si="64"/>
        <v>5.4166666666666669E-2</v>
      </c>
      <c r="L461" s="17">
        <v>90</v>
      </c>
      <c r="M461" s="17">
        <v>30800</v>
      </c>
      <c r="N461" s="17">
        <f t="shared" si="65"/>
        <v>42300</v>
      </c>
      <c r="O461" s="17">
        <f t="shared" si="66"/>
        <v>11500</v>
      </c>
      <c r="P461" s="10">
        <f t="shared" si="67"/>
        <v>0.94901960784313721</v>
      </c>
      <c r="Q461" s="10">
        <f t="shared" si="68"/>
        <v>2.8925619834710745E-2</v>
      </c>
      <c r="R461" s="10">
        <f t="shared" si="69"/>
        <v>0.27186761229314421</v>
      </c>
      <c r="S461" s="18">
        <f t="shared" si="70"/>
        <v>65.531914893617028</v>
      </c>
      <c r="T461" s="8">
        <f>480-ProductionData[[#This Row],[Downtime Minutes]]</f>
        <v>454</v>
      </c>
      <c r="U461" s="11">
        <f t="shared" si="71"/>
        <v>1.0660792951541851</v>
      </c>
      <c r="V461" s="18">
        <f>ProductionData[[#This Row],[Profit]]/ProductionData[[#This Row],[Good Units]]</f>
        <v>24.468085106382979</v>
      </c>
      <c r="W461" s="11">
        <f>ProductionData[[#This Row],[Good Units]]/ProductionData[[#This Row],[Operating Minutes]]</f>
        <v>1.0352422907488987</v>
      </c>
    </row>
    <row r="462" spans="1:23">
      <c r="A462" s="7">
        <v>46255</v>
      </c>
      <c r="B462" s="8" t="s">
        <v>29</v>
      </c>
      <c r="C462" s="8" t="s">
        <v>20</v>
      </c>
      <c r="D462" s="8" t="s">
        <v>23</v>
      </c>
      <c r="E462" s="8" t="s">
        <v>22</v>
      </c>
      <c r="F462" s="9">
        <v>440</v>
      </c>
      <c r="G462" s="9">
        <v>402</v>
      </c>
      <c r="H462" s="9">
        <v>21</v>
      </c>
      <c r="I462" s="9">
        <f t="shared" si="63"/>
        <v>381</v>
      </c>
      <c r="J462" s="9">
        <v>45</v>
      </c>
      <c r="K462" s="10">
        <f t="shared" si="64"/>
        <v>9.375E-2</v>
      </c>
      <c r="L462" s="17">
        <v>100</v>
      </c>
      <c r="M462" s="17">
        <v>30800</v>
      </c>
      <c r="N462" s="17">
        <f t="shared" si="65"/>
        <v>38100</v>
      </c>
      <c r="O462" s="17">
        <f t="shared" si="66"/>
        <v>7300</v>
      </c>
      <c r="P462" s="10">
        <f t="shared" si="67"/>
        <v>0.91363636363636369</v>
      </c>
      <c r="Q462" s="10">
        <f t="shared" si="68"/>
        <v>5.2238805970149252E-2</v>
      </c>
      <c r="R462" s="10">
        <f t="shared" si="69"/>
        <v>0.19160104986876642</v>
      </c>
      <c r="S462" s="18">
        <f t="shared" si="70"/>
        <v>80.839895013123353</v>
      </c>
      <c r="T462" s="8">
        <f>480-ProductionData[[#This Row],[Downtime Minutes]]</f>
        <v>435</v>
      </c>
      <c r="U462" s="11">
        <f t="shared" si="71"/>
        <v>0.92413793103448272</v>
      </c>
      <c r="V462" s="18">
        <f>ProductionData[[#This Row],[Profit]]/ProductionData[[#This Row],[Good Units]]</f>
        <v>19.16010498687664</v>
      </c>
      <c r="W462" s="11">
        <f>ProductionData[[#This Row],[Good Units]]/ProductionData[[#This Row],[Operating Minutes]]</f>
        <v>0.87586206896551722</v>
      </c>
    </row>
    <row r="463" spans="1:23">
      <c r="A463" s="7">
        <v>46255</v>
      </c>
      <c r="B463" s="8" t="s">
        <v>29</v>
      </c>
      <c r="C463" s="8" t="s">
        <v>20</v>
      </c>
      <c r="D463" s="8" t="s">
        <v>25</v>
      </c>
      <c r="E463" s="8" t="s">
        <v>24</v>
      </c>
      <c r="F463" s="9">
        <v>410</v>
      </c>
      <c r="G463" s="9">
        <v>361</v>
      </c>
      <c r="H463" s="9">
        <v>16</v>
      </c>
      <c r="I463" s="9">
        <f t="shared" si="63"/>
        <v>345</v>
      </c>
      <c r="J463" s="9">
        <v>45</v>
      </c>
      <c r="K463" s="10">
        <f t="shared" si="64"/>
        <v>9.375E-2</v>
      </c>
      <c r="L463" s="17">
        <v>120</v>
      </c>
      <c r="M463" s="17">
        <v>30800</v>
      </c>
      <c r="N463" s="17">
        <f t="shared" si="65"/>
        <v>41400</v>
      </c>
      <c r="O463" s="17">
        <f t="shared" si="66"/>
        <v>10600</v>
      </c>
      <c r="P463" s="10">
        <f t="shared" si="67"/>
        <v>0.88048780487804879</v>
      </c>
      <c r="Q463" s="10">
        <f t="shared" si="68"/>
        <v>4.4321329639889197E-2</v>
      </c>
      <c r="R463" s="10">
        <f t="shared" si="69"/>
        <v>0.2560386473429952</v>
      </c>
      <c r="S463" s="18">
        <f t="shared" si="70"/>
        <v>89.275362318840578</v>
      </c>
      <c r="T463" s="8">
        <f>480-ProductionData[[#This Row],[Downtime Minutes]]</f>
        <v>435</v>
      </c>
      <c r="U463" s="11">
        <f t="shared" si="71"/>
        <v>0.8298850574712644</v>
      </c>
      <c r="V463" s="18">
        <f>ProductionData[[#This Row],[Profit]]/ProductionData[[#This Row],[Good Units]]</f>
        <v>30.724637681159422</v>
      </c>
      <c r="W463" s="11">
        <f>ProductionData[[#This Row],[Good Units]]/ProductionData[[#This Row],[Operating Minutes]]</f>
        <v>0.7931034482758621</v>
      </c>
    </row>
    <row r="464" spans="1:23">
      <c r="A464" s="7">
        <v>46255</v>
      </c>
      <c r="B464" s="8" t="s">
        <v>29</v>
      </c>
      <c r="C464" s="8" t="s">
        <v>27</v>
      </c>
      <c r="D464" s="8" t="s">
        <v>21</v>
      </c>
      <c r="E464" s="8" t="s">
        <v>22</v>
      </c>
      <c r="F464" s="9">
        <v>450</v>
      </c>
      <c r="G464" s="9">
        <v>409</v>
      </c>
      <c r="H464" s="9">
        <v>26</v>
      </c>
      <c r="I464" s="9">
        <f t="shared" si="63"/>
        <v>383</v>
      </c>
      <c r="J464" s="9">
        <v>45</v>
      </c>
      <c r="K464" s="10">
        <f t="shared" si="64"/>
        <v>9.375E-2</v>
      </c>
      <c r="L464" s="17">
        <v>100</v>
      </c>
      <c r="M464" s="17">
        <v>30800</v>
      </c>
      <c r="N464" s="17">
        <f t="shared" si="65"/>
        <v>38300</v>
      </c>
      <c r="O464" s="17">
        <f t="shared" si="66"/>
        <v>7500</v>
      </c>
      <c r="P464" s="10">
        <f t="shared" si="67"/>
        <v>0.90888888888888886</v>
      </c>
      <c r="Q464" s="10">
        <f t="shared" si="68"/>
        <v>6.3569682151589244E-2</v>
      </c>
      <c r="R464" s="10">
        <f t="shared" si="69"/>
        <v>0.195822454308094</v>
      </c>
      <c r="S464" s="18">
        <f t="shared" si="70"/>
        <v>80.417754569190606</v>
      </c>
      <c r="T464" s="8">
        <f>480-ProductionData[[#This Row],[Downtime Minutes]]</f>
        <v>435</v>
      </c>
      <c r="U464" s="11">
        <f t="shared" si="71"/>
        <v>0.94022988505747129</v>
      </c>
      <c r="V464" s="18">
        <f>ProductionData[[#This Row],[Profit]]/ProductionData[[#This Row],[Good Units]]</f>
        <v>19.582245430809401</v>
      </c>
      <c r="W464" s="11">
        <f>ProductionData[[#This Row],[Good Units]]/ProductionData[[#This Row],[Operating Minutes]]</f>
        <v>0.88045977011494247</v>
      </c>
    </row>
    <row r="465" spans="1:23">
      <c r="A465" s="7">
        <v>46255</v>
      </c>
      <c r="B465" s="8" t="s">
        <v>29</v>
      </c>
      <c r="C465" s="8" t="s">
        <v>27</v>
      </c>
      <c r="D465" s="8" t="s">
        <v>23</v>
      </c>
      <c r="E465" s="8" t="s">
        <v>24</v>
      </c>
      <c r="F465" s="9">
        <v>390</v>
      </c>
      <c r="G465" s="9">
        <v>333</v>
      </c>
      <c r="H465" s="9">
        <v>18</v>
      </c>
      <c r="I465" s="9">
        <f t="shared" si="63"/>
        <v>315</v>
      </c>
      <c r="J465" s="9">
        <v>57</v>
      </c>
      <c r="K465" s="10">
        <f t="shared" si="64"/>
        <v>0.11874999999999999</v>
      </c>
      <c r="L465" s="17">
        <v>120</v>
      </c>
      <c r="M465" s="17">
        <v>30800</v>
      </c>
      <c r="N465" s="17">
        <f t="shared" si="65"/>
        <v>37800</v>
      </c>
      <c r="O465" s="17">
        <f t="shared" si="66"/>
        <v>7000</v>
      </c>
      <c r="P465" s="10">
        <f t="shared" si="67"/>
        <v>0.85384615384615381</v>
      </c>
      <c r="Q465" s="10">
        <f t="shared" si="68"/>
        <v>5.4054054054054057E-2</v>
      </c>
      <c r="R465" s="10">
        <f t="shared" si="69"/>
        <v>0.18518518518518517</v>
      </c>
      <c r="S465" s="18">
        <f t="shared" si="70"/>
        <v>97.777777777777771</v>
      </c>
      <c r="T465" s="8">
        <f>480-ProductionData[[#This Row],[Downtime Minutes]]</f>
        <v>423</v>
      </c>
      <c r="U465" s="11">
        <f t="shared" si="71"/>
        <v>0.78723404255319152</v>
      </c>
      <c r="V465" s="18">
        <f>ProductionData[[#This Row],[Profit]]/ProductionData[[#This Row],[Good Units]]</f>
        <v>22.222222222222221</v>
      </c>
      <c r="W465" s="11">
        <f>ProductionData[[#This Row],[Good Units]]/ProductionData[[#This Row],[Operating Minutes]]</f>
        <v>0.74468085106382975</v>
      </c>
    </row>
    <row r="466" spans="1:23">
      <c r="A466" s="7">
        <v>46255</v>
      </c>
      <c r="B466" s="8" t="s">
        <v>29</v>
      </c>
      <c r="C466" s="8" t="s">
        <v>27</v>
      </c>
      <c r="D466" s="8" t="s">
        <v>25</v>
      </c>
      <c r="E466" s="8" t="s">
        <v>26</v>
      </c>
      <c r="F466" s="9">
        <v>480</v>
      </c>
      <c r="G466" s="9">
        <v>410</v>
      </c>
      <c r="H466" s="9">
        <v>24</v>
      </c>
      <c r="I466" s="9">
        <f t="shared" si="63"/>
        <v>386</v>
      </c>
      <c r="J466" s="9">
        <v>52</v>
      </c>
      <c r="K466" s="10">
        <f t="shared" si="64"/>
        <v>0.10833333333333334</v>
      </c>
      <c r="L466" s="17">
        <v>90</v>
      </c>
      <c r="M466" s="17">
        <v>30800</v>
      </c>
      <c r="N466" s="17">
        <f t="shared" si="65"/>
        <v>34740</v>
      </c>
      <c r="O466" s="17">
        <f t="shared" si="66"/>
        <v>3940</v>
      </c>
      <c r="P466" s="10">
        <f t="shared" si="67"/>
        <v>0.85416666666666663</v>
      </c>
      <c r="Q466" s="10">
        <f t="shared" si="68"/>
        <v>5.8536585365853662E-2</v>
      </c>
      <c r="R466" s="10">
        <f t="shared" si="69"/>
        <v>0.11341393206678181</v>
      </c>
      <c r="S466" s="18">
        <f t="shared" si="70"/>
        <v>79.792746113989637</v>
      </c>
      <c r="T466" s="8">
        <f>480-ProductionData[[#This Row],[Downtime Minutes]]</f>
        <v>428</v>
      </c>
      <c r="U466" s="11">
        <f t="shared" si="71"/>
        <v>0.95794392523364491</v>
      </c>
      <c r="V466" s="18">
        <f>ProductionData[[#This Row],[Profit]]/ProductionData[[#This Row],[Good Units]]</f>
        <v>10.207253886010363</v>
      </c>
      <c r="W466" s="11">
        <f>ProductionData[[#This Row],[Good Units]]/ProductionData[[#This Row],[Operating Minutes]]</f>
        <v>0.90186915887850472</v>
      </c>
    </row>
    <row r="467" spans="1:23">
      <c r="A467" s="7">
        <v>46255</v>
      </c>
      <c r="B467" s="8" t="s">
        <v>29</v>
      </c>
      <c r="C467" s="8" t="s">
        <v>28</v>
      </c>
      <c r="D467" s="8" t="s">
        <v>21</v>
      </c>
      <c r="E467" s="8" t="s">
        <v>24</v>
      </c>
      <c r="F467" s="9">
        <v>410</v>
      </c>
      <c r="G467" s="9">
        <v>393</v>
      </c>
      <c r="H467" s="9">
        <v>11</v>
      </c>
      <c r="I467" s="9">
        <f t="shared" si="63"/>
        <v>382</v>
      </c>
      <c r="J467" s="9">
        <v>16</v>
      </c>
      <c r="K467" s="10">
        <f t="shared" si="64"/>
        <v>3.3333333333333333E-2</v>
      </c>
      <c r="L467" s="17">
        <v>120</v>
      </c>
      <c r="M467" s="17">
        <v>30800</v>
      </c>
      <c r="N467" s="17">
        <f t="shared" si="65"/>
        <v>45840</v>
      </c>
      <c r="O467" s="17">
        <f t="shared" si="66"/>
        <v>15040</v>
      </c>
      <c r="P467" s="10">
        <f t="shared" si="67"/>
        <v>0.95853658536585362</v>
      </c>
      <c r="Q467" s="10">
        <f t="shared" si="68"/>
        <v>2.7989821882951654E-2</v>
      </c>
      <c r="R467" s="10">
        <f t="shared" si="69"/>
        <v>0.32809773123909247</v>
      </c>
      <c r="S467" s="18">
        <f t="shared" si="70"/>
        <v>80.6282722513089</v>
      </c>
      <c r="T467" s="8">
        <f>480-ProductionData[[#This Row],[Downtime Minutes]]</f>
        <v>464</v>
      </c>
      <c r="U467" s="11">
        <f t="shared" si="71"/>
        <v>0.84698275862068961</v>
      </c>
      <c r="V467" s="18">
        <f>ProductionData[[#This Row],[Profit]]/ProductionData[[#This Row],[Good Units]]</f>
        <v>39.3717277486911</v>
      </c>
      <c r="W467" s="11">
        <f>ProductionData[[#This Row],[Good Units]]/ProductionData[[#This Row],[Operating Minutes]]</f>
        <v>0.82327586206896552</v>
      </c>
    </row>
    <row r="468" spans="1:23">
      <c r="A468" s="7">
        <v>46255</v>
      </c>
      <c r="B468" s="8" t="s">
        <v>29</v>
      </c>
      <c r="C468" s="8" t="s">
        <v>28</v>
      </c>
      <c r="D468" s="8" t="s">
        <v>23</v>
      </c>
      <c r="E468" s="8" t="s">
        <v>26</v>
      </c>
      <c r="F468" s="9">
        <v>510</v>
      </c>
      <c r="G468" s="9">
        <v>482</v>
      </c>
      <c r="H468" s="9">
        <v>15</v>
      </c>
      <c r="I468" s="9">
        <f t="shared" si="63"/>
        <v>467</v>
      </c>
      <c r="J468" s="9">
        <v>22</v>
      </c>
      <c r="K468" s="10">
        <f t="shared" si="64"/>
        <v>4.583333333333333E-2</v>
      </c>
      <c r="L468" s="17">
        <v>90</v>
      </c>
      <c r="M468" s="17">
        <v>30800</v>
      </c>
      <c r="N468" s="17">
        <f t="shared" si="65"/>
        <v>42030</v>
      </c>
      <c r="O468" s="17">
        <f t="shared" si="66"/>
        <v>11230</v>
      </c>
      <c r="P468" s="10">
        <f t="shared" si="67"/>
        <v>0.94509803921568625</v>
      </c>
      <c r="Q468" s="10">
        <f t="shared" si="68"/>
        <v>3.1120331950207469E-2</v>
      </c>
      <c r="R468" s="10">
        <f t="shared" si="69"/>
        <v>0.26719010230787532</v>
      </c>
      <c r="S468" s="18">
        <f t="shared" si="70"/>
        <v>65.952890792291214</v>
      </c>
      <c r="T468" s="8">
        <f>480-ProductionData[[#This Row],[Downtime Minutes]]</f>
        <v>458</v>
      </c>
      <c r="U468" s="11">
        <f t="shared" si="71"/>
        <v>1.0524017467248907</v>
      </c>
      <c r="V468" s="18">
        <f>ProductionData[[#This Row],[Profit]]/ProductionData[[#This Row],[Good Units]]</f>
        <v>24.047109207708779</v>
      </c>
      <c r="W468" s="11">
        <f>ProductionData[[#This Row],[Good Units]]/ProductionData[[#This Row],[Operating Minutes]]</f>
        <v>1.0196506550218341</v>
      </c>
    </row>
    <row r="469" spans="1:23">
      <c r="A469" s="7">
        <v>46255</v>
      </c>
      <c r="B469" s="8" t="s">
        <v>29</v>
      </c>
      <c r="C469" s="8" t="s">
        <v>28</v>
      </c>
      <c r="D469" s="8" t="s">
        <v>25</v>
      </c>
      <c r="E469" s="8" t="s">
        <v>22</v>
      </c>
      <c r="F469" s="9">
        <v>470</v>
      </c>
      <c r="G469" s="9">
        <v>415</v>
      </c>
      <c r="H469" s="9">
        <v>24</v>
      </c>
      <c r="I469" s="9">
        <f t="shared" si="63"/>
        <v>391</v>
      </c>
      <c r="J469" s="9">
        <v>51</v>
      </c>
      <c r="K469" s="10">
        <f t="shared" si="64"/>
        <v>0.10625</v>
      </c>
      <c r="L469" s="17">
        <v>100</v>
      </c>
      <c r="M469" s="17">
        <v>30800</v>
      </c>
      <c r="N469" s="17">
        <f t="shared" si="65"/>
        <v>39100</v>
      </c>
      <c r="O469" s="17">
        <f t="shared" si="66"/>
        <v>8300</v>
      </c>
      <c r="P469" s="10">
        <f t="shared" si="67"/>
        <v>0.88297872340425532</v>
      </c>
      <c r="Q469" s="10">
        <f t="shared" si="68"/>
        <v>5.7831325301204821E-2</v>
      </c>
      <c r="R469" s="10">
        <f t="shared" si="69"/>
        <v>0.21227621483375958</v>
      </c>
      <c r="S469" s="18">
        <f t="shared" si="70"/>
        <v>78.772378516624045</v>
      </c>
      <c r="T469" s="8">
        <f>480-ProductionData[[#This Row],[Downtime Minutes]]</f>
        <v>429</v>
      </c>
      <c r="U469" s="11">
        <f t="shared" si="71"/>
        <v>0.96736596736596736</v>
      </c>
      <c r="V469" s="18">
        <f>ProductionData[[#This Row],[Profit]]/ProductionData[[#This Row],[Good Units]]</f>
        <v>21.227621483375959</v>
      </c>
      <c r="W469" s="11">
        <f>ProductionData[[#This Row],[Good Units]]/ProductionData[[#This Row],[Operating Minutes]]</f>
        <v>0.91142191142191142</v>
      </c>
    </row>
    <row r="470" spans="1:23">
      <c r="A470" s="7">
        <v>46256</v>
      </c>
      <c r="B470" s="8" t="s">
        <v>29</v>
      </c>
      <c r="C470" s="8" t="s">
        <v>20</v>
      </c>
      <c r="D470" s="8" t="s">
        <v>21</v>
      </c>
      <c r="E470" s="8" t="s">
        <v>22</v>
      </c>
      <c r="F470" s="9">
        <v>460</v>
      </c>
      <c r="G470" s="9">
        <v>435</v>
      </c>
      <c r="H470" s="9">
        <v>22</v>
      </c>
      <c r="I470" s="9">
        <f t="shared" si="63"/>
        <v>413</v>
      </c>
      <c r="J470" s="9">
        <v>45</v>
      </c>
      <c r="K470" s="10">
        <f t="shared" si="64"/>
        <v>9.375E-2</v>
      </c>
      <c r="L470" s="17">
        <v>100</v>
      </c>
      <c r="M470" s="17">
        <v>30800</v>
      </c>
      <c r="N470" s="17">
        <f t="shared" si="65"/>
        <v>41300</v>
      </c>
      <c r="O470" s="17">
        <f t="shared" si="66"/>
        <v>10500</v>
      </c>
      <c r="P470" s="10">
        <f t="shared" si="67"/>
        <v>0.94565217391304346</v>
      </c>
      <c r="Q470" s="10">
        <f t="shared" si="68"/>
        <v>5.057471264367816E-2</v>
      </c>
      <c r="R470" s="10">
        <f t="shared" si="69"/>
        <v>0.25423728813559321</v>
      </c>
      <c r="S470" s="18">
        <f t="shared" si="70"/>
        <v>74.576271186440678</v>
      </c>
      <c r="T470" s="8">
        <f>480-ProductionData[[#This Row],[Downtime Minutes]]</f>
        <v>435</v>
      </c>
      <c r="U470" s="11">
        <f t="shared" si="71"/>
        <v>1</v>
      </c>
      <c r="V470" s="18">
        <f>ProductionData[[#This Row],[Profit]]/ProductionData[[#This Row],[Good Units]]</f>
        <v>25.423728813559322</v>
      </c>
      <c r="W470" s="11">
        <f>ProductionData[[#This Row],[Good Units]]/ProductionData[[#This Row],[Operating Minutes]]</f>
        <v>0.94942528735632181</v>
      </c>
    </row>
    <row r="471" spans="1:23">
      <c r="A471" s="7">
        <v>46256</v>
      </c>
      <c r="B471" s="8" t="s">
        <v>29</v>
      </c>
      <c r="C471" s="8" t="s">
        <v>20</v>
      </c>
      <c r="D471" s="8" t="s">
        <v>23</v>
      </c>
      <c r="E471" s="8" t="s">
        <v>24</v>
      </c>
      <c r="F471" s="9">
        <v>410</v>
      </c>
      <c r="G471" s="9">
        <v>375</v>
      </c>
      <c r="H471" s="9">
        <v>11</v>
      </c>
      <c r="I471" s="9">
        <f t="shared" si="63"/>
        <v>364</v>
      </c>
      <c r="J471" s="9">
        <v>35</v>
      </c>
      <c r="K471" s="10">
        <f t="shared" si="64"/>
        <v>7.2916666666666671E-2</v>
      </c>
      <c r="L471" s="17">
        <v>120</v>
      </c>
      <c r="M471" s="17">
        <v>30800</v>
      </c>
      <c r="N471" s="17">
        <f t="shared" si="65"/>
        <v>43680</v>
      </c>
      <c r="O471" s="17">
        <f t="shared" si="66"/>
        <v>12880</v>
      </c>
      <c r="P471" s="10">
        <f t="shared" si="67"/>
        <v>0.91463414634146345</v>
      </c>
      <c r="Q471" s="10">
        <f t="shared" si="68"/>
        <v>2.9333333333333333E-2</v>
      </c>
      <c r="R471" s="10">
        <f t="shared" si="69"/>
        <v>0.29487179487179488</v>
      </c>
      <c r="S471" s="18">
        <f t="shared" si="70"/>
        <v>84.615384615384613</v>
      </c>
      <c r="T471" s="8">
        <f>480-ProductionData[[#This Row],[Downtime Minutes]]</f>
        <v>445</v>
      </c>
      <c r="U471" s="11">
        <f t="shared" si="71"/>
        <v>0.84269662921348309</v>
      </c>
      <c r="V471" s="18">
        <f>ProductionData[[#This Row],[Profit]]/ProductionData[[#This Row],[Good Units]]</f>
        <v>35.384615384615387</v>
      </c>
      <c r="W471" s="11">
        <f>ProductionData[[#This Row],[Good Units]]/ProductionData[[#This Row],[Operating Minutes]]</f>
        <v>0.81797752808988766</v>
      </c>
    </row>
    <row r="472" spans="1:23">
      <c r="A472" s="7">
        <v>46256</v>
      </c>
      <c r="B472" s="8" t="s">
        <v>29</v>
      </c>
      <c r="C472" s="8" t="s">
        <v>20</v>
      </c>
      <c r="D472" s="8" t="s">
        <v>25</v>
      </c>
      <c r="E472" s="8" t="s">
        <v>26</v>
      </c>
      <c r="F472" s="9">
        <v>500</v>
      </c>
      <c r="G472" s="9">
        <v>447</v>
      </c>
      <c r="H472" s="9">
        <v>19</v>
      </c>
      <c r="I472" s="9">
        <f t="shared" si="63"/>
        <v>428</v>
      </c>
      <c r="J472" s="9">
        <v>34</v>
      </c>
      <c r="K472" s="10">
        <f t="shared" si="64"/>
        <v>7.0833333333333331E-2</v>
      </c>
      <c r="L472" s="17">
        <v>90</v>
      </c>
      <c r="M472" s="17">
        <v>30800</v>
      </c>
      <c r="N472" s="17">
        <f t="shared" si="65"/>
        <v>38520</v>
      </c>
      <c r="O472" s="17">
        <f t="shared" si="66"/>
        <v>7720</v>
      </c>
      <c r="P472" s="10">
        <f t="shared" si="67"/>
        <v>0.89400000000000002</v>
      </c>
      <c r="Q472" s="10">
        <f t="shared" si="68"/>
        <v>4.2505592841163314E-2</v>
      </c>
      <c r="R472" s="10">
        <f t="shared" si="69"/>
        <v>0.20041536863966772</v>
      </c>
      <c r="S472" s="18">
        <f t="shared" si="70"/>
        <v>71.962616822429908</v>
      </c>
      <c r="T472" s="8">
        <f>480-ProductionData[[#This Row],[Downtime Minutes]]</f>
        <v>446</v>
      </c>
      <c r="U472" s="11">
        <f t="shared" si="71"/>
        <v>1.0022421524663676</v>
      </c>
      <c r="V472" s="18">
        <f>ProductionData[[#This Row],[Profit]]/ProductionData[[#This Row],[Good Units]]</f>
        <v>18.037383177570092</v>
      </c>
      <c r="W472" s="11">
        <f>ProductionData[[#This Row],[Good Units]]/ProductionData[[#This Row],[Operating Minutes]]</f>
        <v>0.95964125560538116</v>
      </c>
    </row>
    <row r="473" spans="1:23">
      <c r="A473" s="7">
        <v>46256</v>
      </c>
      <c r="B473" s="8" t="s">
        <v>29</v>
      </c>
      <c r="C473" s="8" t="s">
        <v>27</v>
      </c>
      <c r="D473" s="8" t="s">
        <v>21</v>
      </c>
      <c r="E473" s="8" t="s">
        <v>24</v>
      </c>
      <c r="F473" s="9">
        <v>400</v>
      </c>
      <c r="G473" s="9">
        <v>352</v>
      </c>
      <c r="H473" s="9">
        <v>14</v>
      </c>
      <c r="I473" s="9">
        <f t="shared" si="63"/>
        <v>338</v>
      </c>
      <c r="J473" s="9">
        <v>59</v>
      </c>
      <c r="K473" s="10">
        <f t="shared" si="64"/>
        <v>0.12291666666666666</v>
      </c>
      <c r="L473" s="17">
        <v>120</v>
      </c>
      <c r="M473" s="17">
        <v>30800</v>
      </c>
      <c r="N473" s="17">
        <f t="shared" si="65"/>
        <v>40560</v>
      </c>
      <c r="O473" s="17">
        <f t="shared" si="66"/>
        <v>9760</v>
      </c>
      <c r="P473" s="10">
        <f t="shared" si="67"/>
        <v>0.88</v>
      </c>
      <c r="Q473" s="10">
        <f t="shared" si="68"/>
        <v>3.9772727272727272E-2</v>
      </c>
      <c r="R473" s="10">
        <f t="shared" si="69"/>
        <v>0.24063116370808679</v>
      </c>
      <c r="S473" s="18">
        <f t="shared" si="70"/>
        <v>91.124260355029591</v>
      </c>
      <c r="T473" s="8">
        <f>480-ProductionData[[#This Row],[Downtime Minutes]]</f>
        <v>421</v>
      </c>
      <c r="U473" s="11">
        <f t="shared" si="71"/>
        <v>0.83610451306413303</v>
      </c>
      <c r="V473" s="18">
        <f>ProductionData[[#This Row],[Profit]]/ProductionData[[#This Row],[Good Units]]</f>
        <v>28.875739644970412</v>
      </c>
      <c r="W473" s="11">
        <f>ProductionData[[#This Row],[Good Units]]/ProductionData[[#This Row],[Operating Minutes]]</f>
        <v>0.80285035629453683</v>
      </c>
    </row>
    <row r="474" spans="1:23">
      <c r="A474" s="7">
        <v>46256</v>
      </c>
      <c r="B474" s="8" t="s">
        <v>29</v>
      </c>
      <c r="C474" s="8" t="s">
        <v>27</v>
      </c>
      <c r="D474" s="8" t="s">
        <v>23</v>
      </c>
      <c r="E474" s="8" t="s">
        <v>26</v>
      </c>
      <c r="F474" s="9">
        <v>510</v>
      </c>
      <c r="G474" s="9">
        <v>439</v>
      </c>
      <c r="H474" s="9">
        <v>22</v>
      </c>
      <c r="I474" s="9">
        <f t="shared" si="63"/>
        <v>417</v>
      </c>
      <c r="J474" s="9">
        <v>48</v>
      </c>
      <c r="K474" s="10">
        <f t="shared" si="64"/>
        <v>0.1</v>
      </c>
      <c r="L474" s="17">
        <v>90</v>
      </c>
      <c r="M474" s="17">
        <v>30800</v>
      </c>
      <c r="N474" s="17">
        <f t="shared" si="65"/>
        <v>37530</v>
      </c>
      <c r="O474" s="17">
        <f t="shared" si="66"/>
        <v>6730</v>
      </c>
      <c r="P474" s="10">
        <f t="shared" si="67"/>
        <v>0.86078431372549025</v>
      </c>
      <c r="Q474" s="10">
        <f t="shared" si="68"/>
        <v>5.011389521640091E-2</v>
      </c>
      <c r="R474" s="10">
        <f t="shared" si="69"/>
        <v>0.17932320810018651</v>
      </c>
      <c r="S474" s="18">
        <f t="shared" si="70"/>
        <v>73.860911270983209</v>
      </c>
      <c r="T474" s="8">
        <f>480-ProductionData[[#This Row],[Downtime Minutes]]</f>
        <v>432</v>
      </c>
      <c r="U474" s="11">
        <f t="shared" si="71"/>
        <v>1.0162037037037037</v>
      </c>
      <c r="V474" s="18">
        <f>ProductionData[[#This Row],[Profit]]/ProductionData[[#This Row],[Good Units]]</f>
        <v>16.139088729016787</v>
      </c>
      <c r="W474" s="11">
        <f>ProductionData[[#This Row],[Good Units]]/ProductionData[[#This Row],[Operating Minutes]]</f>
        <v>0.96527777777777779</v>
      </c>
    </row>
    <row r="475" spans="1:23">
      <c r="A475" s="7">
        <v>46256</v>
      </c>
      <c r="B475" s="8" t="s">
        <v>29</v>
      </c>
      <c r="C475" s="8" t="s">
        <v>27</v>
      </c>
      <c r="D475" s="8" t="s">
        <v>25</v>
      </c>
      <c r="E475" s="8" t="s">
        <v>22</v>
      </c>
      <c r="F475" s="9">
        <v>430</v>
      </c>
      <c r="G475" s="9">
        <v>371</v>
      </c>
      <c r="H475" s="9">
        <v>29</v>
      </c>
      <c r="I475" s="9">
        <f t="shared" si="63"/>
        <v>342</v>
      </c>
      <c r="J475" s="9">
        <v>54</v>
      </c>
      <c r="K475" s="10">
        <f t="shared" si="64"/>
        <v>0.1125</v>
      </c>
      <c r="L475" s="17">
        <v>100</v>
      </c>
      <c r="M475" s="17">
        <v>30800</v>
      </c>
      <c r="N475" s="17">
        <f t="shared" si="65"/>
        <v>34200</v>
      </c>
      <c r="O475" s="17">
        <f t="shared" si="66"/>
        <v>3400</v>
      </c>
      <c r="P475" s="10">
        <f t="shared" si="67"/>
        <v>0.86279069767441863</v>
      </c>
      <c r="Q475" s="10">
        <f t="shared" si="68"/>
        <v>7.8167115902964962E-2</v>
      </c>
      <c r="R475" s="10">
        <f t="shared" si="69"/>
        <v>9.9415204678362568E-2</v>
      </c>
      <c r="S475" s="18">
        <f t="shared" si="70"/>
        <v>90.058479532163744</v>
      </c>
      <c r="T475" s="8">
        <f>480-ProductionData[[#This Row],[Downtime Minutes]]</f>
        <v>426</v>
      </c>
      <c r="U475" s="11">
        <f t="shared" si="71"/>
        <v>0.87089201877934275</v>
      </c>
      <c r="V475" s="18">
        <f>ProductionData[[#This Row],[Profit]]/ProductionData[[#This Row],[Good Units]]</f>
        <v>9.9415204678362574</v>
      </c>
      <c r="W475" s="11">
        <f>ProductionData[[#This Row],[Good Units]]/ProductionData[[#This Row],[Operating Minutes]]</f>
        <v>0.80281690140845074</v>
      </c>
    </row>
    <row r="476" spans="1:23">
      <c r="A476" s="7">
        <v>46256</v>
      </c>
      <c r="B476" s="8" t="s">
        <v>29</v>
      </c>
      <c r="C476" s="8" t="s">
        <v>28</v>
      </c>
      <c r="D476" s="8" t="s">
        <v>21</v>
      </c>
      <c r="E476" s="8" t="s">
        <v>26</v>
      </c>
      <c r="F476" s="9">
        <v>500</v>
      </c>
      <c r="G476" s="9">
        <v>478</v>
      </c>
      <c r="H476" s="9">
        <v>14</v>
      </c>
      <c r="I476" s="9">
        <f t="shared" si="63"/>
        <v>464</v>
      </c>
      <c r="J476" s="9">
        <v>14</v>
      </c>
      <c r="K476" s="10">
        <f t="shared" si="64"/>
        <v>2.9166666666666667E-2</v>
      </c>
      <c r="L476" s="17">
        <v>90</v>
      </c>
      <c r="M476" s="17">
        <v>30800</v>
      </c>
      <c r="N476" s="17">
        <f t="shared" si="65"/>
        <v>41760</v>
      </c>
      <c r="O476" s="17">
        <f t="shared" si="66"/>
        <v>10960</v>
      </c>
      <c r="P476" s="10">
        <f t="shared" si="67"/>
        <v>0.95599999999999996</v>
      </c>
      <c r="Q476" s="10">
        <f t="shared" si="68"/>
        <v>2.9288702928870293E-2</v>
      </c>
      <c r="R476" s="10">
        <f t="shared" si="69"/>
        <v>0.26245210727969348</v>
      </c>
      <c r="S476" s="18">
        <f t="shared" si="70"/>
        <v>66.379310344827587</v>
      </c>
      <c r="T476" s="8">
        <f>480-ProductionData[[#This Row],[Downtime Minutes]]</f>
        <v>466</v>
      </c>
      <c r="U476" s="11">
        <f t="shared" si="71"/>
        <v>1.0257510729613735</v>
      </c>
      <c r="V476" s="18">
        <f>ProductionData[[#This Row],[Profit]]/ProductionData[[#This Row],[Good Units]]</f>
        <v>23.620689655172413</v>
      </c>
      <c r="W476" s="11">
        <f>ProductionData[[#This Row],[Good Units]]/ProductionData[[#This Row],[Operating Minutes]]</f>
        <v>0.99570815450643779</v>
      </c>
    </row>
    <row r="477" spans="1:23">
      <c r="A477" s="7">
        <v>46256</v>
      </c>
      <c r="B477" s="8" t="s">
        <v>29</v>
      </c>
      <c r="C477" s="8" t="s">
        <v>28</v>
      </c>
      <c r="D477" s="8" t="s">
        <v>23</v>
      </c>
      <c r="E477" s="8" t="s">
        <v>22</v>
      </c>
      <c r="F477" s="9">
        <v>440</v>
      </c>
      <c r="G477" s="9">
        <v>407</v>
      </c>
      <c r="H477" s="9">
        <v>18</v>
      </c>
      <c r="I477" s="9">
        <f t="shared" si="63"/>
        <v>389</v>
      </c>
      <c r="J477" s="9">
        <v>29</v>
      </c>
      <c r="K477" s="10">
        <f t="shared" si="64"/>
        <v>6.0416666666666667E-2</v>
      </c>
      <c r="L477" s="17">
        <v>100</v>
      </c>
      <c r="M477" s="17">
        <v>30800</v>
      </c>
      <c r="N477" s="17">
        <f t="shared" si="65"/>
        <v>38900</v>
      </c>
      <c r="O477" s="17">
        <f t="shared" si="66"/>
        <v>8100</v>
      </c>
      <c r="P477" s="10">
        <f t="shared" si="67"/>
        <v>0.92500000000000004</v>
      </c>
      <c r="Q477" s="10">
        <f t="shared" si="68"/>
        <v>4.4226044226044224E-2</v>
      </c>
      <c r="R477" s="10">
        <f t="shared" si="69"/>
        <v>0.20822622107969152</v>
      </c>
      <c r="S477" s="18">
        <f t="shared" si="70"/>
        <v>79.177377892030847</v>
      </c>
      <c r="T477" s="8">
        <f>480-ProductionData[[#This Row],[Downtime Minutes]]</f>
        <v>451</v>
      </c>
      <c r="U477" s="11">
        <f t="shared" si="71"/>
        <v>0.90243902439024393</v>
      </c>
      <c r="V477" s="18">
        <f>ProductionData[[#This Row],[Profit]]/ProductionData[[#This Row],[Good Units]]</f>
        <v>20.822622107969153</v>
      </c>
      <c r="W477" s="11">
        <f>ProductionData[[#This Row],[Good Units]]/ProductionData[[#This Row],[Operating Minutes]]</f>
        <v>0.86252771618625279</v>
      </c>
    </row>
    <row r="478" spans="1:23">
      <c r="A478" s="7">
        <v>46256</v>
      </c>
      <c r="B478" s="8" t="s">
        <v>29</v>
      </c>
      <c r="C478" s="8" t="s">
        <v>28</v>
      </c>
      <c r="D478" s="8" t="s">
        <v>25</v>
      </c>
      <c r="E478" s="8" t="s">
        <v>24</v>
      </c>
      <c r="F478" s="9">
        <v>400</v>
      </c>
      <c r="G478" s="9">
        <v>375</v>
      </c>
      <c r="H478" s="9">
        <v>12</v>
      </c>
      <c r="I478" s="9">
        <f t="shared" si="63"/>
        <v>363</v>
      </c>
      <c r="J478" s="9">
        <v>47</v>
      </c>
      <c r="K478" s="10">
        <f t="shared" si="64"/>
        <v>9.7916666666666666E-2</v>
      </c>
      <c r="L478" s="17">
        <v>120</v>
      </c>
      <c r="M478" s="17">
        <v>30800</v>
      </c>
      <c r="N478" s="17">
        <f t="shared" si="65"/>
        <v>43560</v>
      </c>
      <c r="O478" s="17">
        <f t="shared" si="66"/>
        <v>12760</v>
      </c>
      <c r="P478" s="10">
        <f t="shared" si="67"/>
        <v>0.9375</v>
      </c>
      <c r="Q478" s="10">
        <f t="shared" si="68"/>
        <v>3.2000000000000001E-2</v>
      </c>
      <c r="R478" s="10">
        <f t="shared" si="69"/>
        <v>0.29292929292929293</v>
      </c>
      <c r="S478" s="18">
        <f t="shared" si="70"/>
        <v>84.848484848484844</v>
      </c>
      <c r="T478" s="8">
        <f>480-ProductionData[[#This Row],[Downtime Minutes]]</f>
        <v>433</v>
      </c>
      <c r="U478" s="11">
        <f t="shared" si="71"/>
        <v>0.86605080831408776</v>
      </c>
      <c r="V478" s="18">
        <f>ProductionData[[#This Row],[Profit]]/ProductionData[[#This Row],[Good Units]]</f>
        <v>35.151515151515149</v>
      </c>
      <c r="W478" s="11">
        <f>ProductionData[[#This Row],[Good Units]]/ProductionData[[#This Row],[Operating Minutes]]</f>
        <v>0.8383371824480369</v>
      </c>
    </row>
    <row r="479" spans="1:23">
      <c r="A479" s="7">
        <v>46257</v>
      </c>
      <c r="B479" s="8" t="s">
        <v>29</v>
      </c>
      <c r="C479" s="8" t="s">
        <v>20</v>
      </c>
      <c r="D479" s="8" t="s">
        <v>21</v>
      </c>
      <c r="E479" s="8" t="s">
        <v>24</v>
      </c>
      <c r="F479" s="9">
        <v>410</v>
      </c>
      <c r="G479" s="9">
        <v>385</v>
      </c>
      <c r="H479" s="9">
        <v>11</v>
      </c>
      <c r="I479" s="9">
        <f t="shared" si="63"/>
        <v>374</v>
      </c>
      <c r="J479" s="9">
        <v>23</v>
      </c>
      <c r="K479" s="10">
        <f t="shared" si="64"/>
        <v>4.791666666666667E-2</v>
      </c>
      <c r="L479" s="17">
        <v>120</v>
      </c>
      <c r="M479" s="17">
        <v>30800</v>
      </c>
      <c r="N479" s="17">
        <f t="shared" si="65"/>
        <v>44880</v>
      </c>
      <c r="O479" s="17">
        <f t="shared" si="66"/>
        <v>14080</v>
      </c>
      <c r="P479" s="10">
        <f t="shared" si="67"/>
        <v>0.93902439024390238</v>
      </c>
      <c r="Q479" s="10">
        <f t="shared" si="68"/>
        <v>2.8571428571428571E-2</v>
      </c>
      <c r="R479" s="10">
        <f t="shared" si="69"/>
        <v>0.31372549019607843</v>
      </c>
      <c r="S479" s="18">
        <f t="shared" si="70"/>
        <v>82.352941176470594</v>
      </c>
      <c r="T479" s="8">
        <f>480-ProductionData[[#This Row],[Downtime Minutes]]</f>
        <v>457</v>
      </c>
      <c r="U479" s="11">
        <f t="shared" si="71"/>
        <v>0.84245076586433265</v>
      </c>
      <c r="V479" s="18">
        <f>ProductionData[[#This Row],[Profit]]/ProductionData[[#This Row],[Good Units]]</f>
        <v>37.647058823529413</v>
      </c>
      <c r="W479" s="11">
        <f>ProductionData[[#This Row],[Good Units]]/ProductionData[[#This Row],[Operating Minutes]]</f>
        <v>0.8183807439824945</v>
      </c>
    </row>
    <row r="480" spans="1:23">
      <c r="A480" s="7">
        <v>46257</v>
      </c>
      <c r="B480" s="8" t="s">
        <v>29</v>
      </c>
      <c r="C480" s="8" t="s">
        <v>20</v>
      </c>
      <c r="D480" s="8" t="s">
        <v>23</v>
      </c>
      <c r="E480" s="8" t="s">
        <v>26</v>
      </c>
      <c r="F480" s="9">
        <v>490</v>
      </c>
      <c r="G480" s="9">
        <v>458</v>
      </c>
      <c r="H480" s="9">
        <v>17</v>
      </c>
      <c r="I480" s="9">
        <f t="shared" si="63"/>
        <v>441</v>
      </c>
      <c r="J480" s="9">
        <v>37</v>
      </c>
      <c r="K480" s="10">
        <f t="shared" si="64"/>
        <v>7.7083333333333337E-2</v>
      </c>
      <c r="L480" s="17">
        <v>90</v>
      </c>
      <c r="M480" s="17">
        <v>30800</v>
      </c>
      <c r="N480" s="17">
        <f t="shared" si="65"/>
        <v>39690</v>
      </c>
      <c r="O480" s="17">
        <f t="shared" si="66"/>
        <v>8890</v>
      </c>
      <c r="P480" s="10">
        <f t="shared" si="67"/>
        <v>0.9346938775510204</v>
      </c>
      <c r="Q480" s="10">
        <f t="shared" si="68"/>
        <v>3.7117903930131008E-2</v>
      </c>
      <c r="R480" s="10">
        <f t="shared" si="69"/>
        <v>0.22398589065255731</v>
      </c>
      <c r="S480" s="18">
        <f t="shared" si="70"/>
        <v>69.841269841269835</v>
      </c>
      <c r="T480" s="8">
        <f>480-ProductionData[[#This Row],[Downtime Minutes]]</f>
        <v>443</v>
      </c>
      <c r="U480" s="11">
        <f t="shared" si="71"/>
        <v>1.0338600451467268</v>
      </c>
      <c r="V480" s="18">
        <f>ProductionData[[#This Row],[Profit]]/ProductionData[[#This Row],[Good Units]]</f>
        <v>20.158730158730158</v>
      </c>
      <c r="W480" s="11">
        <f>ProductionData[[#This Row],[Good Units]]/ProductionData[[#This Row],[Operating Minutes]]</f>
        <v>0.99548532731376971</v>
      </c>
    </row>
    <row r="481" spans="1:23">
      <c r="A481" s="7">
        <v>46257</v>
      </c>
      <c r="B481" s="8" t="s">
        <v>29</v>
      </c>
      <c r="C481" s="8" t="s">
        <v>20</v>
      </c>
      <c r="D481" s="8" t="s">
        <v>25</v>
      </c>
      <c r="E481" s="8" t="s">
        <v>22</v>
      </c>
      <c r="F481" s="9">
        <v>470</v>
      </c>
      <c r="G481" s="9">
        <v>419</v>
      </c>
      <c r="H481" s="9">
        <v>26</v>
      </c>
      <c r="I481" s="9">
        <f t="shared" si="63"/>
        <v>393</v>
      </c>
      <c r="J481" s="9">
        <v>38</v>
      </c>
      <c r="K481" s="10">
        <f t="shared" si="64"/>
        <v>7.9166666666666663E-2</v>
      </c>
      <c r="L481" s="17">
        <v>100</v>
      </c>
      <c r="M481" s="17">
        <v>30800</v>
      </c>
      <c r="N481" s="17">
        <f t="shared" si="65"/>
        <v>39300</v>
      </c>
      <c r="O481" s="17">
        <f t="shared" si="66"/>
        <v>8500</v>
      </c>
      <c r="P481" s="10">
        <f t="shared" si="67"/>
        <v>0.89148936170212767</v>
      </c>
      <c r="Q481" s="10">
        <f t="shared" si="68"/>
        <v>6.205250596658711E-2</v>
      </c>
      <c r="R481" s="10">
        <f t="shared" si="69"/>
        <v>0.21628498727735368</v>
      </c>
      <c r="S481" s="18">
        <f t="shared" si="70"/>
        <v>78.371501272264638</v>
      </c>
      <c r="T481" s="8">
        <f>480-ProductionData[[#This Row],[Downtime Minutes]]</f>
        <v>442</v>
      </c>
      <c r="U481" s="11">
        <f t="shared" si="71"/>
        <v>0.94796380090497734</v>
      </c>
      <c r="V481" s="18">
        <f>ProductionData[[#This Row],[Profit]]/ProductionData[[#This Row],[Good Units]]</f>
        <v>21.628498727735369</v>
      </c>
      <c r="W481" s="11">
        <f>ProductionData[[#This Row],[Good Units]]/ProductionData[[#This Row],[Operating Minutes]]</f>
        <v>0.88914027149321262</v>
      </c>
    </row>
    <row r="482" spans="1:23">
      <c r="A482" s="7">
        <v>46257</v>
      </c>
      <c r="B482" s="8" t="s">
        <v>29</v>
      </c>
      <c r="C482" s="8" t="s">
        <v>27</v>
      </c>
      <c r="D482" s="8" t="s">
        <v>21</v>
      </c>
      <c r="E482" s="8" t="s">
        <v>26</v>
      </c>
      <c r="F482" s="9">
        <v>480</v>
      </c>
      <c r="G482" s="9">
        <v>408</v>
      </c>
      <c r="H482" s="9">
        <v>18</v>
      </c>
      <c r="I482" s="9">
        <f t="shared" si="63"/>
        <v>390</v>
      </c>
      <c r="J482" s="9">
        <v>51</v>
      </c>
      <c r="K482" s="10">
        <f t="shared" si="64"/>
        <v>0.10625</v>
      </c>
      <c r="L482" s="17">
        <v>90</v>
      </c>
      <c r="M482" s="17">
        <v>30800</v>
      </c>
      <c r="N482" s="17">
        <f t="shared" si="65"/>
        <v>35100</v>
      </c>
      <c r="O482" s="17">
        <f t="shared" si="66"/>
        <v>4300</v>
      </c>
      <c r="P482" s="10">
        <f t="shared" si="67"/>
        <v>0.85</v>
      </c>
      <c r="Q482" s="10">
        <f t="shared" si="68"/>
        <v>4.4117647058823532E-2</v>
      </c>
      <c r="R482" s="10">
        <f t="shared" si="69"/>
        <v>0.12250712250712251</v>
      </c>
      <c r="S482" s="18">
        <f t="shared" si="70"/>
        <v>78.974358974358978</v>
      </c>
      <c r="T482" s="8">
        <f>480-ProductionData[[#This Row],[Downtime Minutes]]</f>
        <v>429</v>
      </c>
      <c r="U482" s="11">
        <f t="shared" si="71"/>
        <v>0.95104895104895104</v>
      </c>
      <c r="V482" s="18">
        <f>ProductionData[[#This Row],[Profit]]/ProductionData[[#This Row],[Good Units]]</f>
        <v>11.025641025641026</v>
      </c>
      <c r="W482" s="11">
        <f>ProductionData[[#This Row],[Good Units]]/ProductionData[[#This Row],[Operating Minutes]]</f>
        <v>0.90909090909090906</v>
      </c>
    </row>
    <row r="483" spans="1:23">
      <c r="A483" s="7">
        <v>46257</v>
      </c>
      <c r="B483" s="8" t="s">
        <v>29</v>
      </c>
      <c r="C483" s="8" t="s">
        <v>27</v>
      </c>
      <c r="D483" s="8" t="s">
        <v>23</v>
      </c>
      <c r="E483" s="8" t="s">
        <v>22</v>
      </c>
      <c r="F483" s="9">
        <v>430</v>
      </c>
      <c r="G483" s="9">
        <v>365</v>
      </c>
      <c r="H483" s="9">
        <v>23</v>
      </c>
      <c r="I483" s="9">
        <f t="shared" si="63"/>
        <v>342</v>
      </c>
      <c r="J483" s="9">
        <v>62</v>
      </c>
      <c r="K483" s="10">
        <f t="shared" si="64"/>
        <v>0.12916666666666668</v>
      </c>
      <c r="L483" s="17">
        <v>100</v>
      </c>
      <c r="M483" s="17">
        <v>30800</v>
      </c>
      <c r="N483" s="17">
        <f t="shared" si="65"/>
        <v>34200</v>
      </c>
      <c r="O483" s="17">
        <f t="shared" si="66"/>
        <v>3400</v>
      </c>
      <c r="P483" s="10">
        <f t="shared" si="67"/>
        <v>0.84883720930232553</v>
      </c>
      <c r="Q483" s="10">
        <f t="shared" si="68"/>
        <v>6.3013698630136991E-2</v>
      </c>
      <c r="R483" s="10">
        <f t="shared" si="69"/>
        <v>9.9415204678362568E-2</v>
      </c>
      <c r="S483" s="18">
        <f t="shared" si="70"/>
        <v>90.058479532163744</v>
      </c>
      <c r="T483" s="8">
        <f>480-ProductionData[[#This Row],[Downtime Minutes]]</f>
        <v>418</v>
      </c>
      <c r="U483" s="11">
        <f t="shared" si="71"/>
        <v>0.87320574162679421</v>
      </c>
      <c r="V483" s="18">
        <f>ProductionData[[#This Row],[Profit]]/ProductionData[[#This Row],[Good Units]]</f>
        <v>9.9415204678362574</v>
      </c>
      <c r="W483" s="11">
        <f>ProductionData[[#This Row],[Good Units]]/ProductionData[[#This Row],[Operating Minutes]]</f>
        <v>0.81818181818181823</v>
      </c>
    </row>
    <row r="484" spans="1:23">
      <c r="A484" s="7">
        <v>46257</v>
      </c>
      <c r="B484" s="8" t="s">
        <v>29</v>
      </c>
      <c r="C484" s="8" t="s">
        <v>27</v>
      </c>
      <c r="D484" s="8" t="s">
        <v>25</v>
      </c>
      <c r="E484" s="8" t="s">
        <v>24</v>
      </c>
      <c r="F484" s="9">
        <v>390</v>
      </c>
      <c r="G484" s="9">
        <v>331</v>
      </c>
      <c r="H484" s="9">
        <v>22</v>
      </c>
      <c r="I484" s="9">
        <f t="shared" si="63"/>
        <v>309</v>
      </c>
      <c r="J484" s="9">
        <v>64</v>
      </c>
      <c r="K484" s="10">
        <f t="shared" si="64"/>
        <v>0.13333333333333333</v>
      </c>
      <c r="L484" s="17">
        <v>120</v>
      </c>
      <c r="M484" s="17">
        <v>30800</v>
      </c>
      <c r="N484" s="17">
        <f t="shared" si="65"/>
        <v>37080</v>
      </c>
      <c r="O484" s="17">
        <f t="shared" si="66"/>
        <v>6280</v>
      </c>
      <c r="P484" s="10">
        <f t="shared" si="67"/>
        <v>0.8487179487179487</v>
      </c>
      <c r="Q484" s="10">
        <f t="shared" si="68"/>
        <v>6.6465256797583083E-2</v>
      </c>
      <c r="R484" s="10">
        <f t="shared" si="69"/>
        <v>0.16936353829557713</v>
      </c>
      <c r="S484" s="18">
        <f t="shared" si="70"/>
        <v>99.676375404530745</v>
      </c>
      <c r="T484" s="8">
        <f>480-ProductionData[[#This Row],[Downtime Minutes]]</f>
        <v>416</v>
      </c>
      <c r="U484" s="11">
        <f t="shared" si="71"/>
        <v>0.79567307692307687</v>
      </c>
      <c r="V484" s="18">
        <f>ProductionData[[#This Row],[Profit]]/ProductionData[[#This Row],[Good Units]]</f>
        <v>20.323624595469255</v>
      </c>
      <c r="W484" s="11">
        <f>ProductionData[[#This Row],[Good Units]]/ProductionData[[#This Row],[Operating Minutes]]</f>
        <v>0.74278846153846156</v>
      </c>
    </row>
    <row r="485" spans="1:23">
      <c r="A485" s="7">
        <v>46257</v>
      </c>
      <c r="B485" s="8" t="s">
        <v>29</v>
      </c>
      <c r="C485" s="8" t="s">
        <v>28</v>
      </c>
      <c r="D485" s="8" t="s">
        <v>21</v>
      </c>
      <c r="E485" s="8" t="s">
        <v>22</v>
      </c>
      <c r="F485" s="9">
        <v>450</v>
      </c>
      <c r="G485" s="9">
        <v>414</v>
      </c>
      <c r="H485" s="9">
        <v>16</v>
      </c>
      <c r="I485" s="9">
        <f t="shared" si="63"/>
        <v>398</v>
      </c>
      <c r="J485" s="9">
        <v>15</v>
      </c>
      <c r="K485" s="10">
        <f t="shared" si="64"/>
        <v>3.125E-2</v>
      </c>
      <c r="L485" s="17">
        <v>100</v>
      </c>
      <c r="M485" s="17">
        <v>30800</v>
      </c>
      <c r="N485" s="17">
        <f t="shared" si="65"/>
        <v>39800</v>
      </c>
      <c r="O485" s="17">
        <f t="shared" si="66"/>
        <v>9000</v>
      </c>
      <c r="P485" s="10">
        <f t="shared" si="67"/>
        <v>0.92</v>
      </c>
      <c r="Q485" s="10">
        <f t="shared" si="68"/>
        <v>3.864734299516908E-2</v>
      </c>
      <c r="R485" s="10">
        <f t="shared" si="69"/>
        <v>0.22613065326633167</v>
      </c>
      <c r="S485" s="18">
        <f t="shared" si="70"/>
        <v>77.386934673366838</v>
      </c>
      <c r="T485" s="8">
        <f>480-ProductionData[[#This Row],[Downtime Minutes]]</f>
        <v>465</v>
      </c>
      <c r="U485" s="11">
        <f t="shared" si="71"/>
        <v>0.89032258064516134</v>
      </c>
      <c r="V485" s="18">
        <f>ProductionData[[#This Row],[Profit]]/ProductionData[[#This Row],[Good Units]]</f>
        <v>22.613065326633166</v>
      </c>
      <c r="W485" s="11">
        <f>ProductionData[[#This Row],[Good Units]]/ProductionData[[#This Row],[Operating Minutes]]</f>
        <v>0.8559139784946237</v>
      </c>
    </row>
    <row r="486" spans="1:23">
      <c r="A486" s="7">
        <v>46257</v>
      </c>
      <c r="B486" s="8" t="s">
        <v>29</v>
      </c>
      <c r="C486" s="8" t="s">
        <v>28</v>
      </c>
      <c r="D486" s="8" t="s">
        <v>23</v>
      </c>
      <c r="E486" s="8" t="s">
        <v>24</v>
      </c>
      <c r="F486" s="9">
        <v>400</v>
      </c>
      <c r="G486" s="9">
        <v>371</v>
      </c>
      <c r="H486" s="9">
        <v>13</v>
      </c>
      <c r="I486" s="9">
        <f t="shared" si="63"/>
        <v>358</v>
      </c>
      <c r="J486" s="9">
        <v>17</v>
      </c>
      <c r="K486" s="10">
        <f t="shared" si="64"/>
        <v>3.5416666666666666E-2</v>
      </c>
      <c r="L486" s="17">
        <v>120</v>
      </c>
      <c r="M486" s="17">
        <v>30800</v>
      </c>
      <c r="N486" s="17">
        <f t="shared" si="65"/>
        <v>42960</v>
      </c>
      <c r="O486" s="17">
        <f t="shared" si="66"/>
        <v>12160</v>
      </c>
      <c r="P486" s="10">
        <f t="shared" si="67"/>
        <v>0.92749999999999999</v>
      </c>
      <c r="Q486" s="10">
        <f t="shared" si="68"/>
        <v>3.5040431266846361E-2</v>
      </c>
      <c r="R486" s="10">
        <f t="shared" si="69"/>
        <v>0.28305400372439476</v>
      </c>
      <c r="S486" s="18">
        <f t="shared" si="70"/>
        <v>86.033519553072622</v>
      </c>
      <c r="T486" s="8">
        <f>480-ProductionData[[#This Row],[Downtime Minutes]]</f>
        <v>463</v>
      </c>
      <c r="U486" s="11">
        <f t="shared" si="71"/>
        <v>0.80129589632829379</v>
      </c>
      <c r="V486" s="18">
        <f>ProductionData[[#This Row],[Profit]]/ProductionData[[#This Row],[Good Units]]</f>
        <v>33.966480446927378</v>
      </c>
      <c r="W486" s="11">
        <f>ProductionData[[#This Row],[Good Units]]/ProductionData[[#This Row],[Operating Minutes]]</f>
        <v>0.77321814254859611</v>
      </c>
    </row>
    <row r="487" spans="1:23">
      <c r="A487" s="7">
        <v>46257</v>
      </c>
      <c r="B487" s="8" t="s">
        <v>29</v>
      </c>
      <c r="C487" s="8" t="s">
        <v>28</v>
      </c>
      <c r="D487" s="8" t="s">
        <v>25</v>
      </c>
      <c r="E487" s="8" t="s">
        <v>26</v>
      </c>
      <c r="F487" s="9">
        <v>510</v>
      </c>
      <c r="G487" s="9">
        <v>470</v>
      </c>
      <c r="H487" s="9">
        <v>21</v>
      </c>
      <c r="I487" s="9">
        <f t="shared" si="63"/>
        <v>449</v>
      </c>
      <c r="J487" s="9">
        <v>23</v>
      </c>
      <c r="K487" s="10">
        <f t="shared" si="64"/>
        <v>4.791666666666667E-2</v>
      </c>
      <c r="L487" s="17">
        <v>90</v>
      </c>
      <c r="M487" s="17">
        <v>30800</v>
      </c>
      <c r="N487" s="17">
        <f t="shared" si="65"/>
        <v>40410</v>
      </c>
      <c r="O487" s="17">
        <f t="shared" si="66"/>
        <v>9610</v>
      </c>
      <c r="P487" s="10">
        <f t="shared" si="67"/>
        <v>0.92156862745098034</v>
      </c>
      <c r="Q487" s="10">
        <f t="shared" si="68"/>
        <v>4.4680851063829789E-2</v>
      </c>
      <c r="R487" s="10">
        <f t="shared" si="69"/>
        <v>0.23781242266765651</v>
      </c>
      <c r="S487" s="18">
        <f t="shared" si="70"/>
        <v>68.596881959910917</v>
      </c>
      <c r="T487" s="8">
        <f>480-ProductionData[[#This Row],[Downtime Minutes]]</f>
        <v>457</v>
      </c>
      <c r="U487" s="11">
        <f t="shared" si="71"/>
        <v>1.0284463894967177</v>
      </c>
      <c r="V487" s="18">
        <f>ProductionData[[#This Row],[Profit]]/ProductionData[[#This Row],[Good Units]]</f>
        <v>21.403118040089087</v>
      </c>
      <c r="W487" s="11">
        <f>ProductionData[[#This Row],[Good Units]]/ProductionData[[#This Row],[Operating Minutes]]</f>
        <v>0.98249452954048144</v>
      </c>
    </row>
    <row r="488" spans="1:23">
      <c r="A488" s="7">
        <v>46258</v>
      </c>
      <c r="B488" s="8" t="s">
        <v>29</v>
      </c>
      <c r="C488" s="8" t="s">
        <v>20</v>
      </c>
      <c r="D488" s="8" t="s">
        <v>21</v>
      </c>
      <c r="E488" s="8" t="s">
        <v>26</v>
      </c>
      <c r="F488" s="9">
        <v>520</v>
      </c>
      <c r="G488" s="9">
        <v>485</v>
      </c>
      <c r="H488" s="9">
        <v>14</v>
      </c>
      <c r="I488" s="9">
        <f t="shared" si="63"/>
        <v>471</v>
      </c>
      <c r="J488" s="9">
        <v>32</v>
      </c>
      <c r="K488" s="10">
        <f t="shared" si="64"/>
        <v>6.6666666666666666E-2</v>
      </c>
      <c r="L488" s="17">
        <v>90</v>
      </c>
      <c r="M488" s="17">
        <v>30800</v>
      </c>
      <c r="N488" s="17">
        <f t="shared" si="65"/>
        <v>42390</v>
      </c>
      <c r="O488" s="17">
        <f t="shared" si="66"/>
        <v>11590</v>
      </c>
      <c r="P488" s="10">
        <f t="shared" si="67"/>
        <v>0.93269230769230771</v>
      </c>
      <c r="Q488" s="10">
        <f t="shared" si="68"/>
        <v>2.88659793814433E-2</v>
      </c>
      <c r="R488" s="10">
        <f t="shared" si="69"/>
        <v>0.27341354092946452</v>
      </c>
      <c r="S488" s="18">
        <f t="shared" si="70"/>
        <v>65.392781316348191</v>
      </c>
      <c r="T488" s="8">
        <f>480-ProductionData[[#This Row],[Downtime Minutes]]</f>
        <v>448</v>
      </c>
      <c r="U488" s="11">
        <f t="shared" si="71"/>
        <v>1.0825892857142858</v>
      </c>
      <c r="V488" s="18">
        <f>ProductionData[[#This Row],[Profit]]/ProductionData[[#This Row],[Good Units]]</f>
        <v>24.607218683651805</v>
      </c>
      <c r="W488" s="11">
        <f>ProductionData[[#This Row],[Good Units]]/ProductionData[[#This Row],[Operating Minutes]]</f>
        <v>1.0513392857142858</v>
      </c>
    </row>
    <row r="489" spans="1:23">
      <c r="A489" s="7">
        <v>46258</v>
      </c>
      <c r="B489" s="8" t="s">
        <v>29</v>
      </c>
      <c r="C489" s="8" t="s">
        <v>20</v>
      </c>
      <c r="D489" s="8" t="s">
        <v>23</v>
      </c>
      <c r="E489" s="8" t="s">
        <v>22</v>
      </c>
      <c r="F489" s="9">
        <v>440</v>
      </c>
      <c r="G489" s="9">
        <v>401</v>
      </c>
      <c r="H489" s="9">
        <v>22</v>
      </c>
      <c r="I489" s="9">
        <f t="shared" si="63"/>
        <v>379</v>
      </c>
      <c r="J489" s="9">
        <v>32</v>
      </c>
      <c r="K489" s="10">
        <f t="shared" si="64"/>
        <v>6.6666666666666666E-2</v>
      </c>
      <c r="L489" s="17">
        <v>100</v>
      </c>
      <c r="M489" s="17">
        <v>30800</v>
      </c>
      <c r="N489" s="17">
        <f t="shared" si="65"/>
        <v>37900</v>
      </c>
      <c r="O489" s="17">
        <f t="shared" si="66"/>
        <v>7100</v>
      </c>
      <c r="P489" s="10">
        <f t="shared" si="67"/>
        <v>0.91136363636363638</v>
      </c>
      <c r="Q489" s="10">
        <f t="shared" si="68"/>
        <v>5.4862842892768077E-2</v>
      </c>
      <c r="R489" s="10">
        <f t="shared" si="69"/>
        <v>0.18733509234828497</v>
      </c>
      <c r="S489" s="18">
        <f t="shared" si="70"/>
        <v>81.266490765171497</v>
      </c>
      <c r="T489" s="8">
        <f>480-ProductionData[[#This Row],[Downtime Minutes]]</f>
        <v>448</v>
      </c>
      <c r="U489" s="11">
        <f t="shared" si="71"/>
        <v>0.8950892857142857</v>
      </c>
      <c r="V489" s="18">
        <f>ProductionData[[#This Row],[Profit]]/ProductionData[[#This Row],[Good Units]]</f>
        <v>18.733509234828496</v>
      </c>
      <c r="W489" s="11">
        <f>ProductionData[[#This Row],[Good Units]]/ProductionData[[#This Row],[Operating Minutes]]</f>
        <v>0.8459821428571429</v>
      </c>
    </row>
    <row r="490" spans="1:23">
      <c r="A490" s="7">
        <v>46258</v>
      </c>
      <c r="B490" s="8" t="s">
        <v>29</v>
      </c>
      <c r="C490" s="8" t="s">
        <v>20</v>
      </c>
      <c r="D490" s="8" t="s">
        <v>25</v>
      </c>
      <c r="E490" s="8" t="s">
        <v>24</v>
      </c>
      <c r="F490" s="9">
        <v>410</v>
      </c>
      <c r="G490" s="9">
        <v>364</v>
      </c>
      <c r="H490" s="9">
        <v>13</v>
      </c>
      <c r="I490" s="9">
        <f t="shared" si="63"/>
        <v>351</v>
      </c>
      <c r="J490" s="9">
        <v>53</v>
      </c>
      <c r="K490" s="10">
        <f t="shared" si="64"/>
        <v>0.11041666666666666</v>
      </c>
      <c r="L490" s="17">
        <v>120</v>
      </c>
      <c r="M490" s="17">
        <v>30800</v>
      </c>
      <c r="N490" s="17">
        <f t="shared" si="65"/>
        <v>42120</v>
      </c>
      <c r="O490" s="17">
        <f t="shared" si="66"/>
        <v>11320</v>
      </c>
      <c r="P490" s="10">
        <f t="shared" si="67"/>
        <v>0.8878048780487805</v>
      </c>
      <c r="Q490" s="10">
        <f t="shared" si="68"/>
        <v>3.5714285714285712E-2</v>
      </c>
      <c r="R490" s="10">
        <f t="shared" si="69"/>
        <v>0.26875593542260207</v>
      </c>
      <c r="S490" s="18">
        <f t="shared" si="70"/>
        <v>87.749287749287745</v>
      </c>
      <c r="T490" s="8">
        <f>480-ProductionData[[#This Row],[Downtime Minutes]]</f>
        <v>427</v>
      </c>
      <c r="U490" s="11">
        <f t="shared" si="71"/>
        <v>0.85245901639344257</v>
      </c>
      <c r="V490" s="18">
        <f>ProductionData[[#This Row],[Profit]]/ProductionData[[#This Row],[Good Units]]</f>
        <v>32.250712250712247</v>
      </c>
      <c r="W490" s="11">
        <f>ProductionData[[#This Row],[Good Units]]/ProductionData[[#This Row],[Operating Minutes]]</f>
        <v>0.82201405152224827</v>
      </c>
    </row>
    <row r="491" spans="1:23">
      <c r="A491" s="7">
        <v>46258</v>
      </c>
      <c r="B491" s="8" t="s">
        <v>29</v>
      </c>
      <c r="C491" s="8" t="s">
        <v>27</v>
      </c>
      <c r="D491" s="8" t="s">
        <v>21</v>
      </c>
      <c r="E491" s="8" t="s">
        <v>22</v>
      </c>
      <c r="F491" s="9">
        <v>440</v>
      </c>
      <c r="G491" s="9">
        <v>396</v>
      </c>
      <c r="H491" s="9">
        <v>22</v>
      </c>
      <c r="I491" s="9">
        <f t="shared" si="63"/>
        <v>374</v>
      </c>
      <c r="J491" s="9">
        <v>61</v>
      </c>
      <c r="K491" s="10">
        <f t="shared" si="64"/>
        <v>0.12708333333333333</v>
      </c>
      <c r="L491" s="17">
        <v>100</v>
      </c>
      <c r="M491" s="17">
        <v>30800</v>
      </c>
      <c r="N491" s="17">
        <f t="shared" si="65"/>
        <v>37400</v>
      </c>
      <c r="O491" s="17">
        <f t="shared" si="66"/>
        <v>6600</v>
      </c>
      <c r="P491" s="10">
        <f t="shared" si="67"/>
        <v>0.9</v>
      </c>
      <c r="Q491" s="10">
        <f t="shared" si="68"/>
        <v>5.5555555555555552E-2</v>
      </c>
      <c r="R491" s="10">
        <f t="shared" si="69"/>
        <v>0.17647058823529413</v>
      </c>
      <c r="S491" s="18">
        <f t="shared" si="70"/>
        <v>82.352941176470594</v>
      </c>
      <c r="T491" s="8">
        <f>480-ProductionData[[#This Row],[Downtime Minutes]]</f>
        <v>419</v>
      </c>
      <c r="U491" s="11">
        <f t="shared" si="71"/>
        <v>0.94510739856801906</v>
      </c>
      <c r="V491" s="18">
        <f>ProductionData[[#This Row],[Profit]]/ProductionData[[#This Row],[Good Units]]</f>
        <v>17.647058823529413</v>
      </c>
      <c r="W491" s="11">
        <f>ProductionData[[#This Row],[Good Units]]/ProductionData[[#This Row],[Operating Minutes]]</f>
        <v>0.89260143198090691</v>
      </c>
    </row>
    <row r="492" spans="1:23">
      <c r="A492" s="7">
        <v>46258</v>
      </c>
      <c r="B492" s="8" t="s">
        <v>29</v>
      </c>
      <c r="C492" s="8" t="s">
        <v>27</v>
      </c>
      <c r="D492" s="8" t="s">
        <v>23</v>
      </c>
      <c r="E492" s="8" t="s">
        <v>24</v>
      </c>
      <c r="F492" s="9">
        <v>390</v>
      </c>
      <c r="G492" s="9">
        <v>337</v>
      </c>
      <c r="H492" s="9">
        <v>17</v>
      </c>
      <c r="I492" s="9">
        <f t="shared" si="63"/>
        <v>320</v>
      </c>
      <c r="J492" s="9">
        <v>44</v>
      </c>
      <c r="K492" s="10">
        <f t="shared" si="64"/>
        <v>9.166666666666666E-2</v>
      </c>
      <c r="L492" s="17">
        <v>120</v>
      </c>
      <c r="M492" s="17">
        <v>30800</v>
      </c>
      <c r="N492" s="17">
        <f t="shared" si="65"/>
        <v>38400</v>
      </c>
      <c r="O492" s="17">
        <f t="shared" si="66"/>
        <v>7600</v>
      </c>
      <c r="P492" s="10">
        <f t="shared" si="67"/>
        <v>0.86410256410256414</v>
      </c>
      <c r="Q492" s="10">
        <f t="shared" si="68"/>
        <v>5.0445103857566766E-2</v>
      </c>
      <c r="R492" s="10">
        <f t="shared" si="69"/>
        <v>0.19791666666666666</v>
      </c>
      <c r="S492" s="18">
        <f t="shared" si="70"/>
        <v>96.25</v>
      </c>
      <c r="T492" s="8">
        <f>480-ProductionData[[#This Row],[Downtime Minutes]]</f>
        <v>436</v>
      </c>
      <c r="U492" s="11">
        <f t="shared" si="71"/>
        <v>0.77293577981651373</v>
      </c>
      <c r="V492" s="18">
        <f>ProductionData[[#This Row],[Profit]]/ProductionData[[#This Row],[Good Units]]</f>
        <v>23.75</v>
      </c>
      <c r="W492" s="11">
        <f>ProductionData[[#This Row],[Good Units]]/ProductionData[[#This Row],[Operating Minutes]]</f>
        <v>0.73394495412844041</v>
      </c>
    </row>
    <row r="493" spans="1:23">
      <c r="A493" s="7">
        <v>46258</v>
      </c>
      <c r="B493" s="8" t="s">
        <v>29</v>
      </c>
      <c r="C493" s="8" t="s">
        <v>27</v>
      </c>
      <c r="D493" s="8" t="s">
        <v>25</v>
      </c>
      <c r="E493" s="8" t="s">
        <v>26</v>
      </c>
      <c r="F493" s="9">
        <v>480</v>
      </c>
      <c r="G493" s="9">
        <v>394</v>
      </c>
      <c r="H493" s="9">
        <v>25</v>
      </c>
      <c r="I493" s="9">
        <f t="shared" si="63"/>
        <v>369</v>
      </c>
      <c r="J493" s="9">
        <v>57</v>
      </c>
      <c r="K493" s="10">
        <f t="shared" si="64"/>
        <v>0.11874999999999999</v>
      </c>
      <c r="L493" s="17">
        <v>90</v>
      </c>
      <c r="M493" s="17">
        <v>30800</v>
      </c>
      <c r="N493" s="17">
        <f t="shared" si="65"/>
        <v>33210</v>
      </c>
      <c r="O493" s="17">
        <f t="shared" si="66"/>
        <v>2410</v>
      </c>
      <c r="P493" s="10">
        <f t="shared" si="67"/>
        <v>0.8208333333333333</v>
      </c>
      <c r="Q493" s="10">
        <f t="shared" si="68"/>
        <v>6.3451776649746189E-2</v>
      </c>
      <c r="R493" s="10">
        <f t="shared" si="69"/>
        <v>7.2568503462812406E-2</v>
      </c>
      <c r="S493" s="18">
        <f t="shared" si="70"/>
        <v>83.468834688346888</v>
      </c>
      <c r="T493" s="8">
        <f>480-ProductionData[[#This Row],[Downtime Minutes]]</f>
        <v>423</v>
      </c>
      <c r="U493" s="11">
        <f t="shared" si="71"/>
        <v>0.9314420803782506</v>
      </c>
      <c r="V493" s="18">
        <f>ProductionData[[#This Row],[Profit]]/ProductionData[[#This Row],[Good Units]]</f>
        <v>6.5311653116531163</v>
      </c>
      <c r="W493" s="11">
        <f>ProductionData[[#This Row],[Good Units]]/ProductionData[[#This Row],[Operating Minutes]]</f>
        <v>0.87234042553191493</v>
      </c>
    </row>
    <row r="494" spans="1:23">
      <c r="A494" s="7">
        <v>46258</v>
      </c>
      <c r="B494" s="8" t="s">
        <v>29</v>
      </c>
      <c r="C494" s="8" t="s">
        <v>28</v>
      </c>
      <c r="D494" s="8" t="s">
        <v>21</v>
      </c>
      <c r="E494" s="8" t="s">
        <v>24</v>
      </c>
      <c r="F494" s="9">
        <v>410</v>
      </c>
      <c r="G494" s="9">
        <v>391</v>
      </c>
      <c r="H494" s="9">
        <v>11</v>
      </c>
      <c r="I494" s="9">
        <f t="shared" si="63"/>
        <v>380</v>
      </c>
      <c r="J494" s="9">
        <v>13</v>
      </c>
      <c r="K494" s="10">
        <f t="shared" si="64"/>
        <v>2.7083333333333334E-2</v>
      </c>
      <c r="L494" s="17">
        <v>120</v>
      </c>
      <c r="M494" s="17">
        <v>30800</v>
      </c>
      <c r="N494" s="17">
        <f t="shared" si="65"/>
        <v>45600</v>
      </c>
      <c r="O494" s="17">
        <f t="shared" si="66"/>
        <v>14800</v>
      </c>
      <c r="P494" s="10">
        <f t="shared" si="67"/>
        <v>0.95365853658536581</v>
      </c>
      <c r="Q494" s="10">
        <f t="shared" si="68"/>
        <v>2.8132992327365727E-2</v>
      </c>
      <c r="R494" s="10">
        <f t="shared" si="69"/>
        <v>0.32456140350877194</v>
      </c>
      <c r="S494" s="18">
        <f t="shared" si="70"/>
        <v>81.05263157894737</v>
      </c>
      <c r="T494" s="8">
        <f>480-ProductionData[[#This Row],[Downtime Minutes]]</f>
        <v>467</v>
      </c>
      <c r="U494" s="11">
        <f t="shared" si="71"/>
        <v>0.83725910064239828</v>
      </c>
      <c r="V494" s="18">
        <f>ProductionData[[#This Row],[Profit]]/ProductionData[[#This Row],[Good Units]]</f>
        <v>38.94736842105263</v>
      </c>
      <c r="W494" s="11">
        <f>ProductionData[[#This Row],[Good Units]]/ProductionData[[#This Row],[Operating Minutes]]</f>
        <v>0.8137044967880086</v>
      </c>
    </row>
    <row r="495" spans="1:23">
      <c r="A495" s="7">
        <v>46258</v>
      </c>
      <c r="B495" s="8" t="s">
        <v>29</v>
      </c>
      <c r="C495" s="8" t="s">
        <v>28</v>
      </c>
      <c r="D495" s="8" t="s">
        <v>23</v>
      </c>
      <c r="E495" s="8" t="s">
        <v>26</v>
      </c>
      <c r="F495" s="9">
        <v>520</v>
      </c>
      <c r="G495" s="9">
        <v>481</v>
      </c>
      <c r="H495" s="9">
        <v>18</v>
      </c>
      <c r="I495" s="9">
        <f t="shared" si="63"/>
        <v>463</v>
      </c>
      <c r="J495" s="9">
        <v>34</v>
      </c>
      <c r="K495" s="10">
        <f t="shared" si="64"/>
        <v>7.0833333333333331E-2</v>
      </c>
      <c r="L495" s="17">
        <v>90</v>
      </c>
      <c r="M495" s="17">
        <v>30800</v>
      </c>
      <c r="N495" s="17">
        <f t="shared" si="65"/>
        <v>41670</v>
      </c>
      <c r="O495" s="17">
        <f t="shared" si="66"/>
        <v>10870</v>
      </c>
      <c r="P495" s="10">
        <f t="shared" si="67"/>
        <v>0.92500000000000004</v>
      </c>
      <c r="Q495" s="10">
        <f t="shared" si="68"/>
        <v>3.7422037422037424E-2</v>
      </c>
      <c r="R495" s="10">
        <f t="shared" si="69"/>
        <v>0.26085913126949845</v>
      </c>
      <c r="S495" s="18">
        <f t="shared" si="70"/>
        <v>66.522678185745136</v>
      </c>
      <c r="T495" s="8">
        <f>480-ProductionData[[#This Row],[Downtime Minutes]]</f>
        <v>446</v>
      </c>
      <c r="U495" s="11">
        <f t="shared" si="71"/>
        <v>1.0784753363228698</v>
      </c>
      <c r="V495" s="18">
        <f>ProductionData[[#This Row],[Profit]]/ProductionData[[#This Row],[Good Units]]</f>
        <v>23.477321814254861</v>
      </c>
      <c r="W495" s="11">
        <f>ProductionData[[#This Row],[Good Units]]/ProductionData[[#This Row],[Operating Minutes]]</f>
        <v>1.0381165919282511</v>
      </c>
    </row>
    <row r="496" spans="1:23">
      <c r="A496" s="7">
        <v>46258</v>
      </c>
      <c r="B496" s="8" t="s">
        <v>29</v>
      </c>
      <c r="C496" s="8" t="s">
        <v>28</v>
      </c>
      <c r="D496" s="8" t="s">
        <v>25</v>
      </c>
      <c r="E496" s="8" t="s">
        <v>22</v>
      </c>
      <c r="F496" s="9">
        <v>450</v>
      </c>
      <c r="G496" s="9">
        <v>397</v>
      </c>
      <c r="H496" s="9">
        <v>18</v>
      </c>
      <c r="I496" s="9">
        <f t="shared" si="63"/>
        <v>379</v>
      </c>
      <c r="J496" s="9">
        <v>36</v>
      </c>
      <c r="K496" s="10">
        <f t="shared" si="64"/>
        <v>7.4999999999999997E-2</v>
      </c>
      <c r="L496" s="17">
        <v>100</v>
      </c>
      <c r="M496" s="17">
        <v>30800</v>
      </c>
      <c r="N496" s="17">
        <f t="shared" si="65"/>
        <v>37900</v>
      </c>
      <c r="O496" s="17">
        <f t="shared" si="66"/>
        <v>7100</v>
      </c>
      <c r="P496" s="10">
        <f t="shared" si="67"/>
        <v>0.88222222222222224</v>
      </c>
      <c r="Q496" s="10">
        <f t="shared" si="68"/>
        <v>4.534005037783375E-2</v>
      </c>
      <c r="R496" s="10">
        <f t="shared" si="69"/>
        <v>0.18733509234828497</v>
      </c>
      <c r="S496" s="18">
        <f t="shared" si="70"/>
        <v>81.266490765171497</v>
      </c>
      <c r="T496" s="8">
        <f>480-ProductionData[[#This Row],[Downtime Minutes]]</f>
        <v>444</v>
      </c>
      <c r="U496" s="11">
        <f t="shared" si="71"/>
        <v>0.89414414414414412</v>
      </c>
      <c r="V496" s="18">
        <f>ProductionData[[#This Row],[Profit]]/ProductionData[[#This Row],[Good Units]]</f>
        <v>18.733509234828496</v>
      </c>
      <c r="W496" s="11">
        <f>ProductionData[[#This Row],[Good Units]]/ProductionData[[#This Row],[Operating Minutes]]</f>
        <v>0.85360360360360366</v>
      </c>
    </row>
    <row r="497" spans="1:23">
      <c r="A497" s="7">
        <v>46259</v>
      </c>
      <c r="B497" s="8" t="s">
        <v>29</v>
      </c>
      <c r="C497" s="8" t="s">
        <v>20</v>
      </c>
      <c r="D497" s="8" t="s">
        <v>21</v>
      </c>
      <c r="E497" s="8" t="s">
        <v>22</v>
      </c>
      <c r="F497" s="9">
        <v>450</v>
      </c>
      <c r="G497" s="9">
        <v>406</v>
      </c>
      <c r="H497" s="9">
        <v>21</v>
      </c>
      <c r="I497" s="9">
        <f t="shared" si="63"/>
        <v>385</v>
      </c>
      <c r="J497" s="9">
        <v>33</v>
      </c>
      <c r="K497" s="10">
        <f t="shared" si="64"/>
        <v>6.8750000000000006E-2</v>
      </c>
      <c r="L497" s="17">
        <v>100</v>
      </c>
      <c r="M497" s="17">
        <v>30800</v>
      </c>
      <c r="N497" s="17">
        <f t="shared" si="65"/>
        <v>38500</v>
      </c>
      <c r="O497" s="17">
        <f t="shared" si="66"/>
        <v>7700</v>
      </c>
      <c r="P497" s="10">
        <f t="shared" si="67"/>
        <v>0.90222222222222226</v>
      </c>
      <c r="Q497" s="10">
        <f t="shared" si="68"/>
        <v>5.1724137931034482E-2</v>
      </c>
      <c r="R497" s="10">
        <f t="shared" si="69"/>
        <v>0.2</v>
      </c>
      <c r="S497" s="18">
        <f t="shared" si="70"/>
        <v>80</v>
      </c>
      <c r="T497" s="8">
        <f>480-ProductionData[[#This Row],[Downtime Minutes]]</f>
        <v>447</v>
      </c>
      <c r="U497" s="11">
        <f t="shared" si="71"/>
        <v>0.90827740492170017</v>
      </c>
      <c r="V497" s="18">
        <f>ProductionData[[#This Row],[Profit]]/ProductionData[[#This Row],[Good Units]]</f>
        <v>20</v>
      </c>
      <c r="W497" s="11">
        <f>ProductionData[[#This Row],[Good Units]]/ProductionData[[#This Row],[Operating Minutes]]</f>
        <v>0.86129753914988816</v>
      </c>
    </row>
    <row r="498" spans="1:23">
      <c r="A498" s="7">
        <v>46259</v>
      </c>
      <c r="B498" s="8" t="s">
        <v>29</v>
      </c>
      <c r="C498" s="8" t="s">
        <v>20</v>
      </c>
      <c r="D498" s="8" t="s">
        <v>23</v>
      </c>
      <c r="E498" s="8" t="s">
        <v>24</v>
      </c>
      <c r="F498" s="9">
        <v>410</v>
      </c>
      <c r="G498" s="9">
        <v>379</v>
      </c>
      <c r="H498" s="9">
        <v>14</v>
      </c>
      <c r="I498" s="9">
        <f t="shared" si="63"/>
        <v>365</v>
      </c>
      <c r="J498" s="9">
        <v>47</v>
      </c>
      <c r="K498" s="10">
        <f t="shared" si="64"/>
        <v>9.7916666666666666E-2</v>
      </c>
      <c r="L498" s="17">
        <v>120</v>
      </c>
      <c r="M498" s="17">
        <v>30800</v>
      </c>
      <c r="N498" s="17">
        <f t="shared" si="65"/>
        <v>43800</v>
      </c>
      <c r="O498" s="17">
        <f t="shared" si="66"/>
        <v>13000</v>
      </c>
      <c r="P498" s="10">
        <f t="shared" si="67"/>
        <v>0.92439024390243907</v>
      </c>
      <c r="Q498" s="10">
        <f t="shared" si="68"/>
        <v>3.6939313984168866E-2</v>
      </c>
      <c r="R498" s="10">
        <f t="shared" si="69"/>
        <v>0.29680365296803651</v>
      </c>
      <c r="S498" s="18">
        <f t="shared" si="70"/>
        <v>84.38356164383562</v>
      </c>
      <c r="T498" s="8">
        <f>480-ProductionData[[#This Row],[Downtime Minutes]]</f>
        <v>433</v>
      </c>
      <c r="U498" s="11">
        <f t="shared" si="71"/>
        <v>0.87528868360277134</v>
      </c>
      <c r="V498" s="18">
        <f>ProductionData[[#This Row],[Profit]]/ProductionData[[#This Row],[Good Units]]</f>
        <v>35.61643835616438</v>
      </c>
      <c r="W498" s="11">
        <f>ProductionData[[#This Row],[Good Units]]/ProductionData[[#This Row],[Operating Minutes]]</f>
        <v>0.84295612009237875</v>
      </c>
    </row>
    <row r="499" spans="1:23">
      <c r="A499" s="7">
        <v>46259</v>
      </c>
      <c r="B499" s="8" t="s">
        <v>29</v>
      </c>
      <c r="C499" s="8" t="s">
        <v>20</v>
      </c>
      <c r="D499" s="8" t="s">
        <v>25</v>
      </c>
      <c r="E499" s="8" t="s">
        <v>26</v>
      </c>
      <c r="F499" s="9">
        <v>520</v>
      </c>
      <c r="G499" s="9">
        <v>457</v>
      </c>
      <c r="H499" s="9">
        <v>21</v>
      </c>
      <c r="I499" s="9">
        <f t="shared" si="63"/>
        <v>436</v>
      </c>
      <c r="J499" s="9">
        <v>44</v>
      </c>
      <c r="K499" s="10">
        <f t="shared" si="64"/>
        <v>9.166666666666666E-2</v>
      </c>
      <c r="L499" s="17">
        <v>90</v>
      </c>
      <c r="M499" s="17">
        <v>30800</v>
      </c>
      <c r="N499" s="17">
        <f t="shared" si="65"/>
        <v>39240</v>
      </c>
      <c r="O499" s="17">
        <f t="shared" si="66"/>
        <v>8440</v>
      </c>
      <c r="P499" s="10">
        <f t="shared" si="67"/>
        <v>0.87884615384615383</v>
      </c>
      <c r="Q499" s="10">
        <f t="shared" si="68"/>
        <v>4.5951859956236324E-2</v>
      </c>
      <c r="R499" s="10">
        <f t="shared" si="69"/>
        <v>0.21508664627930682</v>
      </c>
      <c r="S499" s="18">
        <f t="shared" si="70"/>
        <v>70.642201834862391</v>
      </c>
      <c r="T499" s="8">
        <f>480-ProductionData[[#This Row],[Downtime Minutes]]</f>
        <v>436</v>
      </c>
      <c r="U499" s="11">
        <f t="shared" si="71"/>
        <v>1.048165137614679</v>
      </c>
      <c r="V499" s="18">
        <f>ProductionData[[#This Row],[Profit]]/ProductionData[[#This Row],[Good Units]]</f>
        <v>19.357798165137616</v>
      </c>
      <c r="W499" s="11">
        <f>ProductionData[[#This Row],[Good Units]]/ProductionData[[#This Row],[Operating Minutes]]</f>
        <v>1</v>
      </c>
    </row>
    <row r="500" spans="1:23">
      <c r="A500" s="7">
        <v>46259</v>
      </c>
      <c r="B500" s="8" t="s">
        <v>29</v>
      </c>
      <c r="C500" s="8" t="s">
        <v>27</v>
      </c>
      <c r="D500" s="8" t="s">
        <v>21</v>
      </c>
      <c r="E500" s="8" t="s">
        <v>24</v>
      </c>
      <c r="F500" s="9">
        <v>410</v>
      </c>
      <c r="G500" s="9">
        <v>362</v>
      </c>
      <c r="H500" s="9">
        <v>16</v>
      </c>
      <c r="I500" s="9">
        <f t="shared" si="63"/>
        <v>346</v>
      </c>
      <c r="J500" s="9">
        <v>59</v>
      </c>
      <c r="K500" s="10">
        <f t="shared" si="64"/>
        <v>0.12291666666666666</v>
      </c>
      <c r="L500" s="17">
        <v>120</v>
      </c>
      <c r="M500" s="17">
        <v>30800</v>
      </c>
      <c r="N500" s="17">
        <f t="shared" si="65"/>
        <v>41520</v>
      </c>
      <c r="O500" s="17">
        <f t="shared" si="66"/>
        <v>10720</v>
      </c>
      <c r="P500" s="10">
        <f t="shared" si="67"/>
        <v>0.88292682926829269</v>
      </c>
      <c r="Q500" s="10">
        <f t="shared" si="68"/>
        <v>4.4198895027624308E-2</v>
      </c>
      <c r="R500" s="10">
        <f t="shared" si="69"/>
        <v>0.25818882466281312</v>
      </c>
      <c r="S500" s="18">
        <f t="shared" si="70"/>
        <v>89.017341040462426</v>
      </c>
      <c r="T500" s="8">
        <f>480-ProductionData[[#This Row],[Downtime Minutes]]</f>
        <v>421</v>
      </c>
      <c r="U500" s="11">
        <f t="shared" si="71"/>
        <v>0.85985748218527314</v>
      </c>
      <c r="V500" s="18">
        <f>ProductionData[[#This Row],[Profit]]/ProductionData[[#This Row],[Good Units]]</f>
        <v>30.982658959537574</v>
      </c>
      <c r="W500" s="11">
        <f>ProductionData[[#This Row],[Good Units]]/ProductionData[[#This Row],[Operating Minutes]]</f>
        <v>0.82185273159144889</v>
      </c>
    </row>
    <row r="501" spans="1:23">
      <c r="A501" s="7">
        <v>46259</v>
      </c>
      <c r="B501" s="8" t="s">
        <v>29</v>
      </c>
      <c r="C501" s="8" t="s">
        <v>27</v>
      </c>
      <c r="D501" s="8" t="s">
        <v>23</v>
      </c>
      <c r="E501" s="8" t="s">
        <v>26</v>
      </c>
      <c r="F501" s="9">
        <v>510</v>
      </c>
      <c r="G501" s="9">
        <v>450</v>
      </c>
      <c r="H501" s="9">
        <v>22</v>
      </c>
      <c r="I501" s="9">
        <f t="shared" si="63"/>
        <v>428</v>
      </c>
      <c r="J501" s="9">
        <v>61</v>
      </c>
      <c r="K501" s="10">
        <f t="shared" si="64"/>
        <v>0.12708333333333333</v>
      </c>
      <c r="L501" s="17">
        <v>90</v>
      </c>
      <c r="M501" s="17">
        <v>30800</v>
      </c>
      <c r="N501" s="17">
        <f t="shared" si="65"/>
        <v>38520</v>
      </c>
      <c r="O501" s="17">
        <f t="shared" si="66"/>
        <v>7720</v>
      </c>
      <c r="P501" s="10">
        <f t="shared" si="67"/>
        <v>0.88235294117647056</v>
      </c>
      <c r="Q501" s="10">
        <f t="shared" si="68"/>
        <v>4.8888888888888891E-2</v>
      </c>
      <c r="R501" s="10">
        <f t="shared" si="69"/>
        <v>0.20041536863966772</v>
      </c>
      <c r="S501" s="18">
        <f t="shared" si="70"/>
        <v>71.962616822429908</v>
      </c>
      <c r="T501" s="8">
        <f>480-ProductionData[[#This Row],[Downtime Minutes]]</f>
        <v>419</v>
      </c>
      <c r="U501" s="11">
        <f t="shared" si="71"/>
        <v>1.0739856801909309</v>
      </c>
      <c r="V501" s="18">
        <f>ProductionData[[#This Row],[Profit]]/ProductionData[[#This Row],[Good Units]]</f>
        <v>18.037383177570092</v>
      </c>
      <c r="W501" s="11">
        <f>ProductionData[[#This Row],[Good Units]]/ProductionData[[#This Row],[Operating Minutes]]</f>
        <v>1.0214797136038185</v>
      </c>
    </row>
    <row r="502" spans="1:23">
      <c r="A502" s="7">
        <v>46259</v>
      </c>
      <c r="B502" s="8" t="s">
        <v>29</v>
      </c>
      <c r="C502" s="8" t="s">
        <v>27</v>
      </c>
      <c r="D502" s="8" t="s">
        <v>25</v>
      </c>
      <c r="E502" s="8" t="s">
        <v>22</v>
      </c>
      <c r="F502" s="9">
        <v>430</v>
      </c>
      <c r="G502" s="9">
        <v>360</v>
      </c>
      <c r="H502" s="9">
        <v>29</v>
      </c>
      <c r="I502" s="9">
        <f t="shared" si="63"/>
        <v>331</v>
      </c>
      <c r="J502" s="9">
        <v>64</v>
      </c>
      <c r="K502" s="10">
        <f t="shared" si="64"/>
        <v>0.13333333333333333</v>
      </c>
      <c r="L502" s="17">
        <v>100</v>
      </c>
      <c r="M502" s="17">
        <v>30800</v>
      </c>
      <c r="N502" s="17">
        <f t="shared" si="65"/>
        <v>33100</v>
      </c>
      <c r="O502" s="17">
        <f t="shared" si="66"/>
        <v>2300</v>
      </c>
      <c r="P502" s="10">
        <f t="shared" si="67"/>
        <v>0.83720930232558144</v>
      </c>
      <c r="Q502" s="10">
        <f t="shared" si="68"/>
        <v>8.0555555555555561E-2</v>
      </c>
      <c r="R502" s="10">
        <f t="shared" si="69"/>
        <v>6.9486404833836862E-2</v>
      </c>
      <c r="S502" s="18">
        <f t="shared" si="70"/>
        <v>93.051359516616316</v>
      </c>
      <c r="T502" s="8">
        <f>480-ProductionData[[#This Row],[Downtime Minutes]]</f>
        <v>416</v>
      </c>
      <c r="U502" s="11">
        <f t="shared" si="71"/>
        <v>0.86538461538461542</v>
      </c>
      <c r="V502" s="18">
        <f>ProductionData[[#This Row],[Profit]]/ProductionData[[#This Row],[Good Units]]</f>
        <v>6.9486404833836861</v>
      </c>
      <c r="W502" s="11">
        <f>ProductionData[[#This Row],[Good Units]]/ProductionData[[#This Row],[Operating Minutes]]</f>
        <v>0.79567307692307687</v>
      </c>
    </row>
    <row r="503" spans="1:23">
      <c r="A503" s="7">
        <v>46259</v>
      </c>
      <c r="B503" s="8" t="s">
        <v>29</v>
      </c>
      <c r="C503" s="8" t="s">
        <v>28</v>
      </c>
      <c r="D503" s="8" t="s">
        <v>21</v>
      </c>
      <c r="E503" s="8" t="s">
        <v>26</v>
      </c>
      <c r="F503" s="9">
        <v>510</v>
      </c>
      <c r="G503" s="9">
        <v>498</v>
      </c>
      <c r="H503" s="9">
        <v>12</v>
      </c>
      <c r="I503" s="9">
        <f t="shared" si="63"/>
        <v>486</v>
      </c>
      <c r="J503" s="9">
        <v>29</v>
      </c>
      <c r="K503" s="10">
        <f t="shared" si="64"/>
        <v>6.0416666666666667E-2</v>
      </c>
      <c r="L503" s="17">
        <v>90</v>
      </c>
      <c r="M503" s="17">
        <v>30800</v>
      </c>
      <c r="N503" s="17">
        <f t="shared" si="65"/>
        <v>43740</v>
      </c>
      <c r="O503" s="17">
        <f t="shared" si="66"/>
        <v>12940</v>
      </c>
      <c r="P503" s="10">
        <f t="shared" si="67"/>
        <v>0.97647058823529409</v>
      </c>
      <c r="Q503" s="10">
        <f t="shared" si="68"/>
        <v>2.4096385542168676E-2</v>
      </c>
      <c r="R503" s="10">
        <f t="shared" si="69"/>
        <v>0.2958390489254687</v>
      </c>
      <c r="S503" s="18">
        <f t="shared" si="70"/>
        <v>63.374485596707821</v>
      </c>
      <c r="T503" s="8">
        <f>480-ProductionData[[#This Row],[Downtime Minutes]]</f>
        <v>451</v>
      </c>
      <c r="U503" s="11">
        <f t="shared" si="71"/>
        <v>1.1042128603104213</v>
      </c>
      <c r="V503" s="18">
        <f>ProductionData[[#This Row],[Profit]]/ProductionData[[#This Row],[Good Units]]</f>
        <v>26.625514403292183</v>
      </c>
      <c r="W503" s="11">
        <f>ProductionData[[#This Row],[Good Units]]/ProductionData[[#This Row],[Operating Minutes]]</f>
        <v>1.0776053215077606</v>
      </c>
    </row>
    <row r="504" spans="1:23">
      <c r="A504" s="7">
        <v>46259</v>
      </c>
      <c r="B504" s="8" t="s">
        <v>29</v>
      </c>
      <c r="C504" s="8" t="s">
        <v>28</v>
      </c>
      <c r="D504" s="8" t="s">
        <v>23</v>
      </c>
      <c r="E504" s="8" t="s">
        <v>22</v>
      </c>
      <c r="F504" s="9">
        <v>430</v>
      </c>
      <c r="G504" s="9">
        <v>398</v>
      </c>
      <c r="H504" s="9">
        <v>20</v>
      </c>
      <c r="I504" s="9">
        <f t="shared" si="63"/>
        <v>378</v>
      </c>
      <c r="J504" s="9">
        <v>37</v>
      </c>
      <c r="K504" s="10">
        <f t="shared" si="64"/>
        <v>7.7083333333333337E-2</v>
      </c>
      <c r="L504" s="17">
        <v>100</v>
      </c>
      <c r="M504" s="17">
        <v>30800</v>
      </c>
      <c r="N504" s="17">
        <f t="shared" si="65"/>
        <v>37800</v>
      </c>
      <c r="O504" s="17">
        <f t="shared" si="66"/>
        <v>7000</v>
      </c>
      <c r="P504" s="10">
        <f t="shared" si="67"/>
        <v>0.92558139534883721</v>
      </c>
      <c r="Q504" s="10">
        <f t="shared" si="68"/>
        <v>5.0251256281407038E-2</v>
      </c>
      <c r="R504" s="10">
        <f t="shared" si="69"/>
        <v>0.18518518518518517</v>
      </c>
      <c r="S504" s="18">
        <f t="shared" si="70"/>
        <v>81.481481481481481</v>
      </c>
      <c r="T504" s="8">
        <f>480-ProductionData[[#This Row],[Downtime Minutes]]</f>
        <v>443</v>
      </c>
      <c r="U504" s="11">
        <f t="shared" si="71"/>
        <v>0.89841986455981937</v>
      </c>
      <c r="V504" s="18">
        <f>ProductionData[[#This Row],[Profit]]/ProductionData[[#This Row],[Good Units]]</f>
        <v>18.518518518518519</v>
      </c>
      <c r="W504" s="11">
        <f>ProductionData[[#This Row],[Good Units]]/ProductionData[[#This Row],[Operating Minutes]]</f>
        <v>0.85327313769751689</v>
      </c>
    </row>
    <row r="505" spans="1:23">
      <c r="A505" s="7">
        <v>46259</v>
      </c>
      <c r="B505" s="8" t="s">
        <v>29</v>
      </c>
      <c r="C505" s="8" t="s">
        <v>28</v>
      </c>
      <c r="D505" s="8" t="s">
        <v>25</v>
      </c>
      <c r="E505" s="8" t="s">
        <v>24</v>
      </c>
      <c r="F505" s="9">
        <v>400</v>
      </c>
      <c r="G505" s="9">
        <v>375</v>
      </c>
      <c r="H505" s="9">
        <v>13</v>
      </c>
      <c r="I505" s="9">
        <f t="shared" si="63"/>
        <v>362</v>
      </c>
      <c r="J505" s="9">
        <v>44</v>
      </c>
      <c r="K505" s="10">
        <f t="shared" si="64"/>
        <v>9.166666666666666E-2</v>
      </c>
      <c r="L505" s="17">
        <v>120</v>
      </c>
      <c r="M505" s="17">
        <v>30800</v>
      </c>
      <c r="N505" s="17">
        <f t="shared" si="65"/>
        <v>43440</v>
      </c>
      <c r="O505" s="17">
        <f t="shared" si="66"/>
        <v>12640</v>
      </c>
      <c r="P505" s="10">
        <f t="shared" si="67"/>
        <v>0.9375</v>
      </c>
      <c r="Q505" s="10">
        <f t="shared" si="68"/>
        <v>3.4666666666666665E-2</v>
      </c>
      <c r="R505" s="10">
        <f t="shared" si="69"/>
        <v>0.29097605893186002</v>
      </c>
      <c r="S505" s="18">
        <f t="shared" si="70"/>
        <v>85.082872928176798</v>
      </c>
      <c r="T505" s="8">
        <f>480-ProductionData[[#This Row],[Downtime Minutes]]</f>
        <v>436</v>
      </c>
      <c r="U505" s="11">
        <f t="shared" si="71"/>
        <v>0.86009174311926606</v>
      </c>
      <c r="V505" s="18">
        <f>ProductionData[[#This Row],[Profit]]/ProductionData[[#This Row],[Good Units]]</f>
        <v>34.917127071823202</v>
      </c>
      <c r="W505" s="11">
        <f>ProductionData[[#This Row],[Good Units]]/ProductionData[[#This Row],[Operating Minutes]]</f>
        <v>0.83027522935779818</v>
      </c>
    </row>
    <row r="506" spans="1:23">
      <c r="A506" s="7">
        <v>46260</v>
      </c>
      <c r="B506" s="8" t="s">
        <v>29</v>
      </c>
      <c r="C506" s="8" t="s">
        <v>20</v>
      </c>
      <c r="D506" s="8" t="s">
        <v>21</v>
      </c>
      <c r="E506" s="8" t="s">
        <v>24</v>
      </c>
      <c r="F506" s="9">
        <v>410</v>
      </c>
      <c r="G506" s="9">
        <v>371</v>
      </c>
      <c r="H506" s="9">
        <v>11</v>
      </c>
      <c r="I506" s="9">
        <f t="shared" si="63"/>
        <v>360</v>
      </c>
      <c r="J506" s="9">
        <v>25</v>
      </c>
      <c r="K506" s="10">
        <f t="shared" si="64"/>
        <v>5.2083333333333336E-2</v>
      </c>
      <c r="L506" s="17">
        <v>120</v>
      </c>
      <c r="M506" s="17">
        <v>30800</v>
      </c>
      <c r="N506" s="17">
        <f t="shared" si="65"/>
        <v>43200</v>
      </c>
      <c r="O506" s="17">
        <f t="shared" si="66"/>
        <v>12400</v>
      </c>
      <c r="P506" s="10">
        <f t="shared" si="67"/>
        <v>0.90487804878048783</v>
      </c>
      <c r="Q506" s="10">
        <f t="shared" si="68"/>
        <v>2.9649595687331536E-2</v>
      </c>
      <c r="R506" s="10">
        <f t="shared" si="69"/>
        <v>0.28703703703703703</v>
      </c>
      <c r="S506" s="18">
        <f t="shared" si="70"/>
        <v>85.555555555555557</v>
      </c>
      <c r="T506" s="8">
        <f>480-ProductionData[[#This Row],[Downtime Minutes]]</f>
        <v>455</v>
      </c>
      <c r="U506" s="11">
        <f t="shared" si="71"/>
        <v>0.81538461538461537</v>
      </c>
      <c r="V506" s="18">
        <f>ProductionData[[#This Row],[Profit]]/ProductionData[[#This Row],[Good Units]]</f>
        <v>34.444444444444443</v>
      </c>
      <c r="W506" s="11">
        <f>ProductionData[[#This Row],[Good Units]]/ProductionData[[#This Row],[Operating Minutes]]</f>
        <v>0.79120879120879117</v>
      </c>
    </row>
    <row r="507" spans="1:23">
      <c r="A507" s="7">
        <v>46260</v>
      </c>
      <c r="B507" s="8" t="s">
        <v>29</v>
      </c>
      <c r="C507" s="8" t="s">
        <v>20</v>
      </c>
      <c r="D507" s="8" t="s">
        <v>23</v>
      </c>
      <c r="E507" s="8" t="s">
        <v>26</v>
      </c>
      <c r="F507" s="9">
        <v>480</v>
      </c>
      <c r="G507" s="9">
        <v>432</v>
      </c>
      <c r="H507" s="9">
        <v>17</v>
      </c>
      <c r="I507" s="9">
        <f t="shared" si="63"/>
        <v>415</v>
      </c>
      <c r="J507" s="9">
        <v>40</v>
      </c>
      <c r="K507" s="10">
        <f t="shared" si="64"/>
        <v>8.3333333333333329E-2</v>
      </c>
      <c r="L507" s="17">
        <v>90</v>
      </c>
      <c r="M507" s="17">
        <v>30800</v>
      </c>
      <c r="N507" s="17">
        <f t="shared" si="65"/>
        <v>37350</v>
      </c>
      <c r="O507" s="17">
        <f t="shared" si="66"/>
        <v>6550</v>
      </c>
      <c r="P507" s="10">
        <f t="shared" si="67"/>
        <v>0.9</v>
      </c>
      <c r="Q507" s="10">
        <f t="shared" si="68"/>
        <v>3.9351851851851853E-2</v>
      </c>
      <c r="R507" s="10">
        <f t="shared" si="69"/>
        <v>0.1753681392235609</v>
      </c>
      <c r="S507" s="18">
        <f t="shared" si="70"/>
        <v>74.216867469879517</v>
      </c>
      <c r="T507" s="8">
        <f>480-ProductionData[[#This Row],[Downtime Minutes]]</f>
        <v>440</v>
      </c>
      <c r="U507" s="11">
        <f t="shared" si="71"/>
        <v>0.98181818181818181</v>
      </c>
      <c r="V507" s="18">
        <f>ProductionData[[#This Row],[Profit]]/ProductionData[[#This Row],[Good Units]]</f>
        <v>15.783132530120483</v>
      </c>
      <c r="W507" s="11">
        <f>ProductionData[[#This Row],[Good Units]]/ProductionData[[#This Row],[Operating Minutes]]</f>
        <v>0.94318181818181823</v>
      </c>
    </row>
    <row r="508" spans="1:23">
      <c r="A508" s="7">
        <v>46260</v>
      </c>
      <c r="B508" s="8" t="s">
        <v>29</v>
      </c>
      <c r="C508" s="8" t="s">
        <v>20</v>
      </c>
      <c r="D508" s="8" t="s">
        <v>25</v>
      </c>
      <c r="E508" s="8" t="s">
        <v>22</v>
      </c>
      <c r="F508" s="9">
        <v>460</v>
      </c>
      <c r="G508" s="9">
        <v>404</v>
      </c>
      <c r="H508" s="9">
        <v>20</v>
      </c>
      <c r="I508" s="9">
        <f t="shared" si="63"/>
        <v>384</v>
      </c>
      <c r="J508" s="9">
        <v>36</v>
      </c>
      <c r="K508" s="10">
        <f t="shared" si="64"/>
        <v>7.4999999999999997E-2</v>
      </c>
      <c r="L508" s="17">
        <v>100</v>
      </c>
      <c r="M508" s="17">
        <v>30800</v>
      </c>
      <c r="N508" s="17">
        <f t="shared" si="65"/>
        <v>38400</v>
      </c>
      <c r="O508" s="17">
        <f t="shared" si="66"/>
        <v>7600</v>
      </c>
      <c r="P508" s="10">
        <f t="shared" si="67"/>
        <v>0.87826086956521743</v>
      </c>
      <c r="Q508" s="10">
        <f t="shared" si="68"/>
        <v>4.9504950495049507E-2</v>
      </c>
      <c r="R508" s="10">
        <f t="shared" si="69"/>
        <v>0.19791666666666666</v>
      </c>
      <c r="S508" s="18">
        <f t="shared" si="70"/>
        <v>80.208333333333329</v>
      </c>
      <c r="T508" s="8">
        <f>480-ProductionData[[#This Row],[Downtime Minutes]]</f>
        <v>444</v>
      </c>
      <c r="U508" s="11">
        <f t="shared" si="71"/>
        <v>0.90990990990990994</v>
      </c>
      <c r="V508" s="18">
        <f>ProductionData[[#This Row],[Profit]]/ProductionData[[#This Row],[Good Units]]</f>
        <v>19.791666666666668</v>
      </c>
      <c r="W508" s="11">
        <f>ProductionData[[#This Row],[Good Units]]/ProductionData[[#This Row],[Operating Minutes]]</f>
        <v>0.86486486486486491</v>
      </c>
    </row>
    <row r="509" spans="1:23">
      <c r="A509" s="7">
        <v>46260</v>
      </c>
      <c r="B509" s="8" t="s">
        <v>29</v>
      </c>
      <c r="C509" s="8" t="s">
        <v>27</v>
      </c>
      <c r="D509" s="8" t="s">
        <v>21</v>
      </c>
      <c r="E509" s="8" t="s">
        <v>26</v>
      </c>
      <c r="F509" s="9">
        <v>500</v>
      </c>
      <c r="G509" s="9">
        <v>448</v>
      </c>
      <c r="H509" s="9">
        <v>20</v>
      </c>
      <c r="I509" s="9">
        <f t="shared" si="63"/>
        <v>428</v>
      </c>
      <c r="J509" s="9">
        <v>33</v>
      </c>
      <c r="K509" s="10">
        <f t="shared" si="64"/>
        <v>6.8750000000000006E-2</v>
      </c>
      <c r="L509" s="17">
        <v>90</v>
      </c>
      <c r="M509" s="17">
        <v>30800</v>
      </c>
      <c r="N509" s="17">
        <f t="shared" si="65"/>
        <v>38520</v>
      </c>
      <c r="O509" s="17">
        <f t="shared" si="66"/>
        <v>7720</v>
      </c>
      <c r="P509" s="10">
        <f t="shared" si="67"/>
        <v>0.89600000000000002</v>
      </c>
      <c r="Q509" s="10">
        <f t="shared" si="68"/>
        <v>4.4642857142857144E-2</v>
      </c>
      <c r="R509" s="10">
        <f t="shared" si="69"/>
        <v>0.20041536863966772</v>
      </c>
      <c r="S509" s="18">
        <f t="shared" si="70"/>
        <v>71.962616822429908</v>
      </c>
      <c r="T509" s="8">
        <f>480-ProductionData[[#This Row],[Downtime Minutes]]</f>
        <v>447</v>
      </c>
      <c r="U509" s="11">
        <f t="shared" si="71"/>
        <v>1.0022371364653244</v>
      </c>
      <c r="V509" s="18">
        <f>ProductionData[[#This Row],[Profit]]/ProductionData[[#This Row],[Good Units]]</f>
        <v>18.037383177570092</v>
      </c>
      <c r="W509" s="11">
        <f>ProductionData[[#This Row],[Good Units]]/ProductionData[[#This Row],[Operating Minutes]]</f>
        <v>0.95749440715883671</v>
      </c>
    </row>
    <row r="510" spans="1:23">
      <c r="A510" s="7">
        <v>46260</v>
      </c>
      <c r="B510" s="8" t="s">
        <v>29</v>
      </c>
      <c r="C510" s="8" t="s">
        <v>27</v>
      </c>
      <c r="D510" s="8" t="s">
        <v>23</v>
      </c>
      <c r="E510" s="8" t="s">
        <v>22</v>
      </c>
      <c r="F510" s="9">
        <v>450</v>
      </c>
      <c r="G510" s="9">
        <v>393</v>
      </c>
      <c r="H510" s="9">
        <v>26</v>
      </c>
      <c r="I510" s="9">
        <f t="shared" si="63"/>
        <v>367</v>
      </c>
      <c r="J510" s="9">
        <v>51</v>
      </c>
      <c r="K510" s="10">
        <f t="shared" si="64"/>
        <v>0.10625</v>
      </c>
      <c r="L510" s="17">
        <v>100</v>
      </c>
      <c r="M510" s="17">
        <v>30800</v>
      </c>
      <c r="N510" s="17">
        <f t="shared" si="65"/>
        <v>36700</v>
      </c>
      <c r="O510" s="17">
        <f t="shared" si="66"/>
        <v>5900</v>
      </c>
      <c r="P510" s="10">
        <f t="shared" si="67"/>
        <v>0.87333333333333329</v>
      </c>
      <c r="Q510" s="10">
        <f t="shared" si="68"/>
        <v>6.6157760814249358E-2</v>
      </c>
      <c r="R510" s="10">
        <f t="shared" si="69"/>
        <v>0.16076294277929154</v>
      </c>
      <c r="S510" s="18">
        <f t="shared" si="70"/>
        <v>83.923705722070849</v>
      </c>
      <c r="T510" s="8">
        <f>480-ProductionData[[#This Row],[Downtime Minutes]]</f>
        <v>429</v>
      </c>
      <c r="U510" s="11">
        <f t="shared" si="71"/>
        <v>0.91608391608391604</v>
      </c>
      <c r="V510" s="18">
        <f>ProductionData[[#This Row],[Profit]]/ProductionData[[#This Row],[Good Units]]</f>
        <v>16.076294277929154</v>
      </c>
      <c r="W510" s="11">
        <f>ProductionData[[#This Row],[Good Units]]/ProductionData[[#This Row],[Operating Minutes]]</f>
        <v>0.85547785547785549</v>
      </c>
    </row>
    <row r="511" spans="1:23">
      <c r="A511" s="7">
        <v>46260</v>
      </c>
      <c r="B511" s="8" t="s">
        <v>29</v>
      </c>
      <c r="C511" s="8" t="s">
        <v>27</v>
      </c>
      <c r="D511" s="8" t="s">
        <v>25</v>
      </c>
      <c r="E511" s="8" t="s">
        <v>24</v>
      </c>
      <c r="F511" s="9">
        <v>390</v>
      </c>
      <c r="G511" s="9">
        <v>329</v>
      </c>
      <c r="H511" s="9">
        <v>20</v>
      </c>
      <c r="I511" s="9">
        <f t="shared" si="63"/>
        <v>309</v>
      </c>
      <c r="J511" s="9">
        <v>59</v>
      </c>
      <c r="K511" s="10">
        <f t="shared" si="64"/>
        <v>0.12291666666666666</v>
      </c>
      <c r="L511" s="17">
        <v>120</v>
      </c>
      <c r="M511" s="17">
        <v>30800</v>
      </c>
      <c r="N511" s="17">
        <f t="shared" si="65"/>
        <v>37080</v>
      </c>
      <c r="O511" s="17">
        <f t="shared" si="66"/>
        <v>6280</v>
      </c>
      <c r="P511" s="10">
        <f t="shared" si="67"/>
        <v>0.84358974358974359</v>
      </c>
      <c r="Q511" s="10">
        <f t="shared" si="68"/>
        <v>6.0790273556231005E-2</v>
      </c>
      <c r="R511" s="10">
        <f t="shared" si="69"/>
        <v>0.16936353829557713</v>
      </c>
      <c r="S511" s="18">
        <f t="shared" si="70"/>
        <v>99.676375404530745</v>
      </c>
      <c r="T511" s="8">
        <f>480-ProductionData[[#This Row],[Downtime Minutes]]</f>
        <v>421</v>
      </c>
      <c r="U511" s="11">
        <f t="shared" si="71"/>
        <v>0.78147268408551074</v>
      </c>
      <c r="V511" s="18">
        <f>ProductionData[[#This Row],[Profit]]/ProductionData[[#This Row],[Good Units]]</f>
        <v>20.323624595469255</v>
      </c>
      <c r="W511" s="11">
        <f>ProductionData[[#This Row],[Good Units]]/ProductionData[[#This Row],[Operating Minutes]]</f>
        <v>0.73396674584323041</v>
      </c>
    </row>
    <row r="512" spans="1:23">
      <c r="A512" s="7">
        <v>46260</v>
      </c>
      <c r="B512" s="8" t="s">
        <v>29</v>
      </c>
      <c r="C512" s="8" t="s">
        <v>28</v>
      </c>
      <c r="D512" s="8" t="s">
        <v>21</v>
      </c>
      <c r="E512" s="8" t="s">
        <v>22</v>
      </c>
      <c r="F512" s="9">
        <v>430</v>
      </c>
      <c r="G512" s="9">
        <v>406</v>
      </c>
      <c r="H512" s="9">
        <v>17</v>
      </c>
      <c r="I512" s="9">
        <f t="shared" si="63"/>
        <v>389</v>
      </c>
      <c r="J512" s="9">
        <v>38</v>
      </c>
      <c r="K512" s="10">
        <f t="shared" si="64"/>
        <v>7.9166666666666663E-2</v>
      </c>
      <c r="L512" s="17">
        <v>100</v>
      </c>
      <c r="M512" s="17">
        <v>30800</v>
      </c>
      <c r="N512" s="17">
        <f t="shared" si="65"/>
        <v>38900</v>
      </c>
      <c r="O512" s="17">
        <f t="shared" si="66"/>
        <v>8100</v>
      </c>
      <c r="P512" s="10">
        <f t="shared" si="67"/>
        <v>0.94418604651162785</v>
      </c>
      <c r="Q512" s="10">
        <f t="shared" si="68"/>
        <v>4.1871921182266007E-2</v>
      </c>
      <c r="R512" s="10">
        <f t="shared" si="69"/>
        <v>0.20822622107969152</v>
      </c>
      <c r="S512" s="18">
        <f t="shared" si="70"/>
        <v>79.177377892030847</v>
      </c>
      <c r="T512" s="8">
        <f>480-ProductionData[[#This Row],[Downtime Minutes]]</f>
        <v>442</v>
      </c>
      <c r="U512" s="11">
        <f t="shared" si="71"/>
        <v>0.91855203619909498</v>
      </c>
      <c r="V512" s="18">
        <f>ProductionData[[#This Row],[Profit]]/ProductionData[[#This Row],[Good Units]]</f>
        <v>20.822622107969153</v>
      </c>
      <c r="W512" s="11">
        <f>ProductionData[[#This Row],[Good Units]]/ProductionData[[#This Row],[Operating Minutes]]</f>
        <v>0.88009049773755654</v>
      </c>
    </row>
    <row r="513" spans="1:23">
      <c r="A513" s="7">
        <v>46260</v>
      </c>
      <c r="B513" s="8" t="s">
        <v>29</v>
      </c>
      <c r="C513" s="8" t="s">
        <v>28</v>
      </c>
      <c r="D513" s="8" t="s">
        <v>23</v>
      </c>
      <c r="E513" s="8" t="s">
        <v>24</v>
      </c>
      <c r="F513" s="9">
        <v>410</v>
      </c>
      <c r="G513" s="9">
        <v>397</v>
      </c>
      <c r="H513" s="9">
        <v>11</v>
      </c>
      <c r="I513" s="9">
        <f t="shared" si="63"/>
        <v>386</v>
      </c>
      <c r="J513" s="9">
        <v>22</v>
      </c>
      <c r="K513" s="10">
        <f t="shared" si="64"/>
        <v>4.583333333333333E-2</v>
      </c>
      <c r="L513" s="17">
        <v>120</v>
      </c>
      <c r="M513" s="17">
        <v>30800</v>
      </c>
      <c r="N513" s="17">
        <f t="shared" si="65"/>
        <v>46320</v>
      </c>
      <c r="O513" s="17">
        <f t="shared" si="66"/>
        <v>15520</v>
      </c>
      <c r="P513" s="10">
        <f t="shared" si="67"/>
        <v>0.96829268292682924</v>
      </c>
      <c r="Q513" s="10">
        <f t="shared" si="68"/>
        <v>2.7707808564231738E-2</v>
      </c>
      <c r="R513" s="10">
        <f t="shared" si="69"/>
        <v>0.33506044905008636</v>
      </c>
      <c r="S513" s="18">
        <f t="shared" si="70"/>
        <v>79.792746113989637</v>
      </c>
      <c r="T513" s="8">
        <f>480-ProductionData[[#This Row],[Downtime Minutes]]</f>
        <v>458</v>
      </c>
      <c r="U513" s="11">
        <f t="shared" si="71"/>
        <v>0.86681222707423577</v>
      </c>
      <c r="V513" s="18">
        <f>ProductionData[[#This Row],[Profit]]/ProductionData[[#This Row],[Good Units]]</f>
        <v>40.207253886010363</v>
      </c>
      <c r="W513" s="11">
        <f>ProductionData[[#This Row],[Good Units]]/ProductionData[[#This Row],[Operating Minutes]]</f>
        <v>0.84279475982532748</v>
      </c>
    </row>
    <row r="514" spans="1:23">
      <c r="A514" s="7">
        <v>46260</v>
      </c>
      <c r="B514" s="8" t="s">
        <v>29</v>
      </c>
      <c r="C514" s="8" t="s">
        <v>28</v>
      </c>
      <c r="D514" s="8" t="s">
        <v>25</v>
      </c>
      <c r="E514" s="8" t="s">
        <v>26</v>
      </c>
      <c r="F514" s="9">
        <v>490</v>
      </c>
      <c r="G514" s="9">
        <v>439</v>
      </c>
      <c r="H514" s="9">
        <v>15</v>
      </c>
      <c r="I514" s="9">
        <f t="shared" ref="I514:I577" si="72">G514-H514</f>
        <v>424</v>
      </c>
      <c r="J514" s="9">
        <v>22</v>
      </c>
      <c r="K514" s="10">
        <f t="shared" ref="K514:K577" si="73">J514/480</f>
        <v>4.583333333333333E-2</v>
      </c>
      <c r="L514" s="17">
        <v>90</v>
      </c>
      <c r="M514" s="17">
        <v>30800</v>
      </c>
      <c r="N514" s="17">
        <f t="shared" ref="N514:N577" si="74">I514*L514</f>
        <v>38160</v>
      </c>
      <c r="O514" s="17">
        <f t="shared" ref="O514:O577" si="75">N514-M514</f>
        <v>7360</v>
      </c>
      <c r="P514" s="10">
        <f t="shared" ref="P514:P577" si="76">G514/F514</f>
        <v>0.89591836734693875</v>
      </c>
      <c r="Q514" s="10">
        <f t="shared" ref="Q514:Q577" si="77">H514/G514</f>
        <v>3.4168564920273349E-2</v>
      </c>
      <c r="R514" s="10">
        <f t="shared" ref="R514:R577" si="78">O514/N514</f>
        <v>0.19287211740041929</v>
      </c>
      <c r="S514" s="18">
        <f t="shared" ref="S514:S577" si="79">M514/I514</f>
        <v>72.64150943396227</v>
      </c>
      <c r="T514" s="8">
        <f>480-ProductionData[[#This Row],[Downtime Minutes]]</f>
        <v>458</v>
      </c>
      <c r="U514" s="11">
        <f t="shared" ref="U514:U577" si="80">G514/T514</f>
        <v>0.95851528384279472</v>
      </c>
      <c r="V514" s="18">
        <f>ProductionData[[#This Row],[Profit]]/ProductionData[[#This Row],[Good Units]]</f>
        <v>17.358490566037737</v>
      </c>
      <c r="W514" s="11">
        <f>ProductionData[[#This Row],[Good Units]]/ProductionData[[#This Row],[Operating Minutes]]</f>
        <v>0.92576419213973804</v>
      </c>
    </row>
    <row r="515" spans="1:23">
      <c r="A515" s="7">
        <v>46261</v>
      </c>
      <c r="B515" s="8" t="s">
        <v>29</v>
      </c>
      <c r="C515" s="8" t="s">
        <v>20</v>
      </c>
      <c r="D515" s="8" t="s">
        <v>21</v>
      </c>
      <c r="E515" s="8" t="s">
        <v>26</v>
      </c>
      <c r="F515" s="9">
        <v>490</v>
      </c>
      <c r="G515" s="9">
        <v>449</v>
      </c>
      <c r="H515" s="9">
        <v>13</v>
      </c>
      <c r="I515" s="9">
        <f t="shared" si="72"/>
        <v>436</v>
      </c>
      <c r="J515" s="9">
        <v>15</v>
      </c>
      <c r="K515" s="10">
        <f t="shared" si="73"/>
        <v>3.125E-2</v>
      </c>
      <c r="L515" s="17">
        <v>90</v>
      </c>
      <c r="M515" s="17">
        <v>30800</v>
      </c>
      <c r="N515" s="17">
        <f t="shared" si="74"/>
        <v>39240</v>
      </c>
      <c r="O515" s="17">
        <f t="shared" si="75"/>
        <v>8440</v>
      </c>
      <c r="P515" s="10">
        <f t="shared" si="76"/>
        <v>0.91632653061224489</v>
      </c>
      <c r="Q515" s="10">
        <f t="shared" si="77"/>
        <v>2.8953229398663696E-2</v>
      </c>
      <c r="R515" s="10">
        <f t="shared" si="78"/>
        <v>0.21508664627930682</v>
      </c>
      <c r="S515" s="18">
        <f t="shared" si="79"/>
        <v>70.642201834862391</v>
      </c>
      <c r="T515" s="8">
        <f>480-ProductionData[[#This Row],[Downtime Minutes]]</f>
        <v>465</v>
      </c>
      <c r="U515" s="11">
        <f t="shared" si="80"/>
        <v>0.96559139784946235</v>
      </c>
      <c r="V515" s="18">
        <f>ProductionData[[#This Row],[Profit]]/ProductionData[[#This Row],[Good Units]]</f>
        <v>19.357798165137616</v>
      </c>
      <c r="W515" s="11">
        <f>ProductionData[[#This Row],[Good Units]]/ProductionData[[#This Row],[Operating Minutes]]</f>
        <v>0.93763440860215053</v>
      </c>
    </row>
    <row r="516" spans="1:23">
      <c r="A516" s="7">
        <v>46261</v>
      </c>
      <c r="B516" s="8" t="s">
        <v>29</v>
      </c>
      <c r="C516" s="8" t="s">
        <v>20</v>
      </c>
      <c r="D516" s="8" t="s">
        <v>23</v>
      </c>
      <c r="E516" s="8" t="s">
        <v>22</v>
      </c>
      <c r="F516" s="9">
        <v>440</v>
      </c>
      <c r="G516" s="9">
        <v>398</v>
      </c>
      <c r="H516" s="9">
        <v>20</v>
      </c>
      <c r="I516" s="9">
        <f t="shared" si="72"/>
        <v>378</v>
      </c>
      <c r="J516" s="9">
        <v>49</v>
      </c>
      <c r="K516" s="10">
        <f t="shared" si="73"/>
        <v>0.10208333333333333</v>
      </c>
      <c r="L516" s="17">
        <v>100</v>
      </c>
      <c r="M516" s="17">
        <v>30800</v>
      </c>
      <c r="N516" s="17">
        <f t="shared" si="74"/>
        <v>37800</v>
      </c>
      <c r="O516" s="17">
        <f t="shared" si="75"/>
        <v>7000</v>
      </c>
      <c r="P516" s="10">
        <f t="shared" si="76"/>
        <v>0.90454545454545454</v>
      </c>
      <c r="Q516" s="10">
        <f t="shared" si="77"/>
        <v>5.0251256281407038E-2</v>
      </c>
      <c r="R516" s="10">
        <f t="shared" si="78"/>
        <v>0.18518518518518517</v>
      </c>
      <c r="S516" s="18">
        <f t="shared" si="79"/>
        <v>81.481481481481481</v>
      </c>
      <c r="T516" s="8">
        <f>480-ProductionData[[#This Row],[Downtime Minutes]]</f>
        <v>431</v>
      </c>
      <c r="U516" s="11">
        <f t="shared" si="80"/>
        <v>0.92343387470997684</v>
      </c>
      <c r="V516" s="18">
        <f>ProductionData[[#This Row],[Profit]]/ProductionData[[#This Row],[Good Units]]</f>
        <v>18.518518518518519</v>
      </c>
      <c r="W516" s="11">
        <f>ProductionData[[#This Row],[Good Units]]/ProductionData[[#This Row],[Operating Minutes]]</f>
        <v>0.87703016241299303</v>
      </c>
    </row>
    <row r="517" spans="1:23">
      <c r="A517" s="7">
        <v>46261</v>
      </c>
      <c r="B517" s="8" t="s">
        <v>29</v>
      </c>
      <c r="C517" s="8" t="s">
        <v>20</v>
      </c>
      <c r="D517" s="8" t="s">
        <v>25</v>
      </c>
      <c r="E517" s="8" t="s">
        <v>24</v>
      </c>
      <c r="F517" s="9">
        <v>390</v>
      </c>
      <c r="G517" s="9">
        <v>338</v>
      </c>
      <c r="H517" s="9">
        <v>13</v>
      </c>
      <c r="I517" s="9">
        <f t="shared" si="72"/>
        <v>325</v>
      </c>
      <c r="J517" s="9">
        <v>43</v>
      </c>
      <c r="K517" s="10">
        <f t="shared" si="73"/>
        <v>8.9583333333333334E-2</v>
      </c>
      <c r="L517" s="17">
        <v>120</v>
      </c>
      <c r="M517" s="17">
        <v>30800</v>
      </c>
      <c r="N517" s="17">
        <f t="shared" si="74"/>
        <v>39000</v>
      </c>
      <c r="O517" s="17">
        <f t="shared" si="75"/>
        <v>8200</v>
      </c>
      <c r="P517" s="10">
        <f t="shared" si="76"/>
        <v>0.8666666666666667</v>
      </c>
      <c r="Q517" s="10">
        <f t="shared" si="77"/>
        <v>3.8461538461538464E-2</v>
      </c>
      <c r="R517" s="10">
        <f t="shared" si="78"/>
        <v>0.21025641025641026</v>
      </c>
      <c r="S517" s="18">
        <f t="shared" si="79"/>
        <v>94.769230769230774</v>
      </c>
      <c r="T517" s="8">
        <f>480-ProductionData[[#This Row],[Downtime Minutes]]</f>
        <v>437</v>
      </c>
      <c r="U517" s="11">
        <f t="shared" si="80"/>
        <v>0.77345537757437066</v>
      </c>
      <c r="V517" s="18">
        <f>ProductionData[[#This Row],[Profit]]/ProductionData[[#This Row],[Good Units]]</f>
        <v>25.23076923076923</v>
      </c>
      <c r="W517" s="11">
        <f>ProductionData[[#This Row],[Good Units]]/ProductionData[[#This Row],[Operating Minutes]]</f>
        <v>0.74370709382151035</v>
      </c>
    </row>
    <row r="518" spans="1:23">
      <c r="A518" s="7">
        <v>46261</v>
      </c>
      <c r="B518" s="8" t="s">
        <v>29</v>
      </c>
      <c r="C518" s="8" t="s">
        <v>27</v>
      </c>
      <c r="D518" s="8" t="s">
        <v>21</v>
      </c>
      <c r="E518" s="8" t="s">
        <v>22</v>
      </c>
      <c r="F518" s="9">
        <v>460</v>
      </c>
      <c r="G518" s="9">
        <v>401</v>
      </c>
      <c r="H518" s="9">
        <v>27</v>
      </c>
      <c r="I518" s="9">
        <f t="shared" si="72"/>
        <v>374</v>
      </c>
      <c r="J518" s="9">
        <v>55</v>
      </c>
      <c r="K518" s="10">
        <f t="shared" si="73"/>
        <v>0.11458333333333333</v>
      </c>
      <c r="L518" s="17">
        <v>100</v>
      </c>
      <c r="M518" s="17">
        <v>30800</v>
      </c>
      <c r="N518" s="17">
        <f t="shared" si="74"/>
        <v>37400</v>
      </c>
      <c r="O518" s="17">
        <f t="shared" si="75"/>
        <v>6600</v>
      </c>
      <c r="P518" s="10">
        <f t="shared" si="76"/>
        <v>0.87173913043478257</v>
      </c>
      <c r="Q518" s="10">
        <f t="shared" si="77"/>
        <v>6.7331670822942641E-2</v>
      </c>
      <c r="R518" s="10">
        <f t="shared" si="78"/>
        <v>0.17647058823529413</v>
      </c>
      <c r="S518" s="18">
        <f t="shared" si="79"/>
        <v>82.352941176470594</v>
      </c>
      <c r="T518" s="8">
        <f>480-ProductionData[[#This Row],[Downtime Minutes]]</f>
        <v>425</v>
      </c>
      <c r="U518" s="11">
        <f t="shared" si="80"/>
        <v>0.94352941176470584</v>
      </c>
      <c r="V518" s="18">
        <f>ProductionData[[#This Row],[Profit]]/ProductionData[[#This Row],[Good Units]]</f>
        <v>17.647058823529413</v>
      </c>
      <c r="W518" s="11">
        <f>ProductionData[[#This Row],[Good Units]]/ProductionData[[#This Row],[Operating Minutes]]</f>
        <v>0.88</v>
      </c>
    </row>
    <row r="519" spans="1:23">
      <c r="A519" s="7">
        <v>46261</v>
      </c>
      <c r="B519" s="8" t="s">
        <v>29</v>
      </c>
      <c r="C519" s="8" t="s">
        <v>27</v>
      </c>
      <c r="D519" s="8" t="s">
        <v>23</v>
      </c>
      <c r="E519" s="8" t="s">
        <v>24</v>
      </c>
      <c r="F519" s="9">
        <v>400</v>
      </c>
      <c r="G519" s="9">
        <v>356</v>
      </c>
      <c r="H519" s="9">
        <v>19</v>
      </c>
      <c r="I519" s="9">
        <f t="shared" si="72"/>
        <v>337</v>
      </c>
      <c r="J519" s="9">
        <v>62</v>
      </c>
      <c r="K519" s="10">
        <f t="shared" si="73"/>
        <v>0.12916666666666668</v>
      </c>
      <c r="L519" s="17">
        <v>120</v>
      </c>
      <c r="M519" s="17">
        <v>30800</v>
      </c>
      <c r="N519" s="17">
        <f t="shared" si="74"/>
        <v>40440</v>
      </c>
      <c r="O519" s="17">
        <f t="shared" si="75"/>
        <v>9640</v>
      </c>
      <c r="P519" s="10">
        <f t="shared" si="76"/>
        <v>0.89</v>
      </c>
      <c r="Q519" s="10">
        <f t="shared" si="77"/>
        <v>5.3370786516853931E-2</v>
      </c>
      <c r="R519" s="10">
        <f t="shared" si="78"/>
        <v>0.23837784371909002</v>
      </c>
      <c r="S519" s="18">
        <f t="shared" si="79"/>
        <v>91.394658753709194</v>
      </c>
      <c r="T519" s="8">
        <f>480-ProductionData[[#This Row],[Downtime Minutes]]</f>
        <v>418</v>
      </c>
      <c r="U519" s="11">
        <f t="shared" si="80"/>
        <v>0.85167464114832536</v>
      </c>
      <c r="V519" s="18">
        <f>ProductionData[[#This Row],[Profit]]/ProductionData[[#This Row],[Good Units]]</f>
        <v>28.605341246290802</v>
      </c>
      <c r="W519" s="11">
        <f>ProductionData[[#This Row],[Good Units]]/ProductionData[[#This Row],[Operating Minutes]]</f>
        <v>0.80622009569377995</v>
      </c>
    </row>
    <row r="520" spans="1:23">
      <c r="A520" s="7">
        <v>46261</v>
      </c>
      <c r="B520" s="8" t="s">
        <v>29</v>
      </c>
      <c r="C520" s="8" t="s">
        <v>27</v>
      </c>
      <c r="D520" s="8" t="s">
        <v>25</v>
      </c>
      <c r="E520" s="8" t="s">
        <v>26</v>
      </c>
      <c r="F520" s="9">
        <v>490</v>
      </c>
      <c r="G520" s="9">
        <v>415</v>
      </c>
      <c r="H520" s="9">
        <v>27</v>
      </c>
      <c r="I520" s="9">
        <f t="shared" si="72"/>
        <v>388</v>
      </c>
      <c r="J520" s="9">
        <v>59</v>
      </c>
      <c r="K520" s="10">
        <f t="shared" si="73"/>
        <v>0.12291666666666666</v>
      </c>
      <c r="L520" s="17">
        <v>90</v>
      </c>
      <c r="M520" s="17">
        <v>30800</v>
      </c>
      <c r="N520" s="17">
        <f t="shared" si="74"/>
        <v>34920</v>
      </c>
      <c r="O520" s="17">
        <f t="shared" si="75"/>
        <v>4120</v>
      </c>
      <c r="P520" s="10">
        <f t="shared" si="76"/>
        <v>0.84693877551020413</v>
      </c>
      <c r="Q520" s="10">
        <f t="shared" si="77"/>
        <v>6.5060240963855417E-2</v>
      </c>
      <c r="R520" s="10">
        <f t="shared" si="78"/>
        <v>0.11798396334478808</v>
      </c>
      <c r="S520" s="18">
        <f t="shared" si="79"/>
        <v>79.381443298969074</v>
      </c>
      <c r="T520" s="8">
        <f>480-ProductionData[[#This Row],[Downtime Minutes]]</f>
        <v>421</v>
      </c>
      <c r="U520" s="11">
        <f t="shared" si="80"/>
        <v>0.98574821852731587</v>
      </c>
      <c r="V520" s="18">
        <f>ProductionData[[#This Row],[Profit]]/ProductionData[[#This Row],[Good Units]]</f>
        <v>10.618556701030927</v>
      </c>
      <c r="W520" s="11">
        <f>ProductionData[[#This Row],[Good Units]]/ProductionData[[#This Row],[Operating Minutes]]</f>
        <v>0.92161520190023749</v>
      </c>
    </row>
    <row r="521" spans="1:23">
      <c r="A521" s="7">
        <v>46261</v>
      </c>
      <c r="B521" s="8" t="s">
        <v>29</v>
      </c>
      <c r="C521" s="8" t="s">
        <v>28</v>
      </c>
      <c r="D521" s="8" t="s">
        <v>21</v>
      </c>
      <c r="E521" s="8" t="s">
        <v>24</v>
      </c>
      <c r="F521" s="9">
        <v>390</v>
      </c>
      <c r="G521" s="9">
        <v>368</v>
      </c>
      <c r="H521" s="9">
        <v>7</v>
      </c>
      <c r="I521" s="9">
        <f t="shared" si="72"/>
        <v>361</v>
      </c>
      <c r="J521" s="9">
        <v>33</v>
      </c>
      <c r="K521" s="10">
        <f t="shared" si="73"/>
        <v>6.8750000000000006E-2</v>
      </c>
      <c r="L521" s="17">
        <v>120</v>
      </c>
      <c r="M521" s="17">
        <v>30800</v>
      </c>
      <c r="N521" s="17">
        <f t="shared" si="74"/>
        <v>43320</v>
      </c>
      <c r="O521" s="17">
        <f t="shared" si="75"/>
        <v>12520</v>
      </c>
      <c r="P521" s="10">
        <f t="shared" si="76"/>
        <v>0.94358974358974357</v>
      </c>
      <c r="Q521" s="10">
        <f t="shared" si="77"/>
        <v>1.9021739130434784E-2</v>
      </c>
      <c r="R521" s="10">
        <f t="shared" si="78"/>
        <v>0.28901200369344415</v>
      </c>
      <c r="S521" s="18">
        <f t="shared" si="79"/>
        <v>85.31855955678671</v>
      </c>
      <c r="T521" s="8">
        <f>480-ProductionData[[#This Row],[Downtime Minutes]]</f>
        <v>447</v>
      </c>
      <c r="U521" s="11">
        <f t="shared" si="80"/>
        <v>0.8232662192393736</v>
      </c>
      <c r="V521" s="18">
        <f>ProductionData[[#This Row],[Profit]]/ProductionData[[#This Row],[Good Units]]</f>
        <v>34.681440443213297</v>
      </c>
      <c r="W521" s="11">
        <f>ProductionData[[#This Row],[Good Units]]/ProductionData[[#This Row],[Operating Minutes]]</f>
        <v>0.80760626398210289</v>
      </c>
    </row>
    <row r="522" spans="1:23">
      <c r="A522" s="7">
        <v>46261</v>
      </c>
      <c r="B522" s="8" t="s">
        <v>29</v>
      </c>
      <c r="C522" s="8" t="s">
        <v>28</v>
      </c>
      <c r="D522" s="8" t="s">
        <v>23</v>
      </c>
      <c r="E522" s="8" t="s">
        <v>26</v>
      </c>
      <c r="F522" s="9">
        <v>500</v>
      </c>
      <c r="G522" s="9">
        <v>472</v>
      </c>
      <c r="H522" s="9">
        <v>13</v>
      </c>
      <c r="I522" s="9">
        <f t="shared" si="72"/>
        <v>459</v>
      </c>
      <c r="J522" s="9">
        <v>24</v>
      </c>
      <c r="K522" s="10">
        <f t="shared" si="73"/>
        <v>0.05</v>
      </c>
      <c r="L522" s="17">
        <v>90</v>
      </c>
      <c r="M522" s="17">
        <v>30800</v>
      </c>
      <c r="N522" s="17">
        <f t="shared" si="74"/>
        <v>41310</v>
      </c>
      <c r="O522" s="17">
        <f t="shared" si="75"/>
        <v>10510</v>
      </c>
      <c r="P522" s="10">
        <f t="shared" si="76"/>
        <v>0.94399999999999995</v>
      </c>
      <c r="Q522" s="10">
        <f t="shared" si="77"/>
        <v>2.7542372881355932E-2</v>
      </c>
      <c r="R522" s="10">
        <f t="shared" si="78"/>
        <v>0.25441781650931977</v>
      </c>
      <c r="S522" s="18">
        <f t="shared" si="79"/>
        <v>67.102396514161214</v>
      </c>
      <c r="T522" s="8">
        <f>480-ProductionData[[#This Row],[Downtime Minutes]]</f>
        <v>456</v>
      </c>
      <c r="U522" s="11">
        <f t="shared" si="80"/>
        <v>1.0350877192982457</v>
      </c>
      <c r="V522" s="18">
        <f>ProductionData[[#This Row],[Profit]]/ProductionData[[#This Row],[Good Units]]</f>
        <v>22.897603485838779</v>
      </c>
      <c r="W522" s="11">
        <f>ProductionData[[#This Row],[Good Units]]/ProductionData[[#This Row],[Operating Minutes]]</f>
        <v>1.006578947368421</v>
      </c>
    </row>
    <row r="523" spans="1:23">
      <c r="A523" s="7">
        <v>46261</v>
      </c>
      <c r="B523" s="8" t="s">
        <v>29</v>
      </c>
      <c r="C523" s="8" t="s">
        <v>28</v>
      </c>
      <c r="D523" s="8" t="s">
        <v>25</v>
      </c>
      <c r="E523" s="8" t="s">
        <v>22</v>
      </c>
      <c r="F523" s="9">
        <v>460</v>
      </c>
      <c r="G523" s="9">
        <v>416</v>
      </c>
      <c r="H523" s="9">
        <v>19</v>
      </c>
      <c r="I523" s="9">
        <f t="shared" si="72"/>
        <v>397</v>
      </c>
      <c r="J523" s="9">
        <v>46</v>
      </c>
      <c r="K523" s="10">
        <f t="shared" si="73"/>
        <v>9.583333333333334E-2</v>
      </c>
      <c r="L523" s="17">
        <v>100</v>
      </c>
      <c r="M523" s="17">
        <v>30800</v>
      </c>
      <c r="N523" s="17">
        <f t="shared" si="74"/>
        <v>39700</v>
      </c>
      <c r="O523" s="17">
        <f t="shared" si="75"/>
        <v>8900</v>
      </c>
      <c r="P523" s="10">
        <f t="shared" si="76"/>
        <v>0.90434782608695652</v>
      </c>
      <c r="Q523" s="10">
        <f t="shared" si="77"/>
        <v>4.567307692307692E-2</v>
      </c>
      <c r="R523" s="10">
        <f t="shared" si="78"/>
        <v>0.22418136020151133</v>
      </c>
      <c r="S523" s="18">
        <f t="shared" si="79"/>
        <v>77.581863979848862</v>
      </c>
      <c r="T523" s="8">
        <f>480-ProductionData[[#This Row],[Downtime Minutes]]</f>
        <v>434</v>
      </c>
      <c r="U523" s="11">
        <f t="shared" si="80"/>
        <v>0.95852534562211977</v>
      </c>
      <c r="V523" s="18">
        <f>ProductionData[[#This Row],[Profit]]/ProductionData[[#This Row],[Good Units]]</f>
        <v>22.418136020151135</v>
      </c>
      <c r="W523" s="11">
        <f>ProductionData[[#This Row],[Good Units]]/ProductionData[[#This Row],[Operating Minutes]]</f>
        <v>0.91474654377880182</v>
      </c>
    </row>
    <row r="524" spans="1:23">
      <c r="A524" s="7">
        <v>46262</v>
      </c>
      <c r="B524" s="8" t="s">
        <v>29</v>
      </c>
      <c r="C524" s="8" t="s">
        <v>20</v>
      </c>
      <c r="D524" s="8" t="s">
        <v>21</v>
      </c>
      <c r="E524" s="8" t="s">
        <v>22</v>
      </c>
      <c r="F524" s="9">
        <v>450</v>
      </c>
      <c r="G524" s="9">
        <v>420</v>
      </c>
      <c r="H524" s="9">
        <v>20</v>
      </c>
      <c r="I524" s="9">
        <f t="shared" si="72"/>
        <v>400</v>
      </c>
      <c r="J524" s="9">
        <v>40</v>
      </c>
      <c r="K524" s="10">
        <f t="shared" si="73"/>
        <v>8.3333333333333329E-2</v>
      </c>
      <c r="L524" s="17">
        <v>100</v>
      </c>
      <c r="M524" s="17">
        <v>30800</v>
      </c>
      <c r="N524" s="17">
        <f t="shared" si="74"/>
        <v>40000</v>
      </c>
      <c r="O524" s="17">
        <f t="shared" si="75"/>
        <v>9200</v>
      </c>
      <c r="P524" s="10">
        <f t="shared" si="76"/>
        <v>0.93333333333333335</v>
      </c>
      <c r="Q524" s="10">
        <f t="shared" si="77"/>
        <v>4.7619047619047616E-2</v>
      </c>
      <c r="R524" s="10">
        <f t="shared" si="78"/>
        <v>0.23</v>
      </c>
      <c r="S524" s="18">
        <f t="shared" si="79"/>
        <v>77</v>
      </c>
      <c r="T524" s="8">
        <f>480-ProductionData[[#This Row],[Downtime Minutes]]</f>
        <v>440</v>
      </c>
      <c r="U524" s="11">
        <f t="shared" si="80"/>
        <v>0.95454545454545459</v>
      </c>
      <c r="V524" s="18">
        <f>ProductionData[[#This Row],[Profit]]/ProductionData[[#This Row],[Good Units]]</f>
        <v>23</v>
      </c>
      <c r="W524" s="11">
        <f>ProductionData[[#This Row],[Good Units]]/ProductionData[[#This Row],[Operating Minutes]]</f>
        <v>0.90909090909090906</v>
      </c>
    </row>
    <row r="525" spans="1:23">
      <c r="A525" s="7">
        <v>46262</v>
      </c>
      <c r="B525" s="8" t="s">
        <v>29</v>
      </c>
      <c r="C525" s="8" t="s">
        <v>20</v>
      </c>
      <c r="D525" s="8" t="s">
        <v>23</v>
      </c>
      <c r="E525" s="8" t="s">
        <v>24</v>
      </c>
      <c r="F525" s="9">
        <v>410</v>
      </c>
      <c r="G525" s="9">
        <v>376</v>
      </c>
      <c r="H525" s="9">
        <v>14</v>
      </c>
      <c r="I525" s="9">
        <f t="shared" si="72"/>
        <v>362</v>
      </c>
      <c r="J525" s="9">
        <v>39</v>
      </c>
      <c r="K525" s="10">
        <f t="shared" si="73"/>
        <v>8.1250000000000003E-2</v>
      </c>
      <c r="L525" s="17">
        <v>120</v>
      </c>
      <c r="M525" s="17">
        <v>30800</v>
      </c>
      <c r="N525" s="17">
        <f t="shared" si="74"/>
        <v>43440</v>
      </c>
      <c r="O525" s="17">
        <f t="shared" si="75"/>
        <v>12640</v>
      </c>
      <c r="P525" s="10">
        <f t="shared" si="76"/>
        <v>0.91707317073170735</v>
      </c>
      <c r="Q525" s="10">
        <f t="shared" si="77"/>
        <v>3.7234042553191488E-2</v>
      </c>
      <c r="R525" s="10">
        <f t="shared" si="78"/>
        <v>0.29097605893186002</v>
      </c>
      <c r="S525" s="18">
        <f t="shared" si="79"/>
        <v>85.082872928176798</v>
      </c>
      <c r="T525" s="8">
        <f>480-ProductionData[[#This Row],[Downtime Minutes]]</f>
        <v>441</v>
      </c>
      <c r="U525" s="11">
        <f t="shared" si="80"/>
        <v>0.85260770975056688</v>
      </c>
      <c r="V525" s="18">
        <f>ProductionData[[#This Row],[Profit]]/ProductionData[[#This Row],[Good Units]]</f>
        <v>34.917127071823202</v>
      </c>
      <c r="W525" s="11">
        <f>ProductionData[[#This Row],[Good Units]]/ProductionData[[#This Row],[Operating Minutes]]</f>
        <v>0.82086167800453513</v>
      </c>
    </row>
    <row r="526" spans="1:23">
      <c r="A526" s="7">
        <v>46262</v>
      </c>
      <c r="B526" s="8" t="s">
        <v>29</v>
      </c>
      <c r="C526" s="8" t="s">
        <v>20</v>
      </c>
      <c r="D526" s="8" t="s">
        <v>25</v>
      </c>
      <c r="E526" s="8" t="s">
        <v>26</v>
      </c>
      <c r="F526" s="9">
        <v>510</v>
      </c>
      <c r="G526" s="9">
        <v>441</v>
      </c>
      <c r="H526" s="9">
        <v>22</v>
      </c>
      <c r="I526" s="9">
        <f t="shared" si="72"/>
        <v>419</v>
      </c>
      <c r="J526" s="9">
        <v>39</v>
      </c>
      <c r="K526" s="10">
        <f t="shared" si="73"/>
        <v>8.1250000000000003E-2</v>
      </c>
      <c r="L526" s="17">
        <v>90</v>
      </c>
      <c r="M526" s="17">
        <v>30800</v>
      </c>
      <c r="N526" s="17">
        <f t="shared" si="74"/>
        <v>37710</v>
      </c>
      <c r="O526" s="17">
        <f t="shared" si="75"/>
        <v>6910</v>
      </c>
      <c r="P526" s="10">
        <f t="shared" si="76"/>
        <v>0.86470588235294121</v>
      </c>
      <c r="Q526" s="10">
        <f t="shared" si="77"/>
        <v>4.9886621315192746E-2</v>
      </c>
      <c r="R526" s="10">
        <f t="shared" si="78"/>
        <v>0.18324051975603289</v>
      </c>
      <c r="S526" s="18">
        <f t="shared" si="79"/>
        <v>73.508353221957037</v>
      </c>
      <c r="T526" s="8">
        <f>480-ProductionData[[#This Row],[Downtime Minutes]]</f>
        <v>441</v>
      </c>
      <c r="U526" s="11">
        <f t="shared" si="80"/>
        <v>1</v>
      </c>
      <c r="V526" s="18">
        <f>ProductionData[[#This Row],[Profit]]/ProductionData[[#This Row],[Good Units]]</f>
        <v>16.491646778042959</v>
      </c>
      <c r="W526" s="11">
        <f>ProductionData[[#This Row],[Good Units]]/ProductionData[[#This Row],[Operating Minutes]]</f>
        <v>0.95011337868480727</v>
      </c>
    </row>
    <row r="527" spans="1:23">
      <c r="A527" s="7">
        <v>46262</v>
      </c>
      <c r="B527" s="8" t="s">
        <v>29</v>
      </c>
      <c r="C527" s="8" t="s">
        <v>27</v>
      </c>
      <c r="D527" s="8" t="s">
        <v>21</v>
      </c>
      <c r="E527" s="8" t="s">
        <v>24</v>
      </c>
      <c r="F527" s="9">
        <v>400</v>
      </c>
      <c r="G527" s="9">
        <v>355</v>
      </c>
      <c r="H527" s="9">
        <v>15</v>
      </c>
      <c r="I527" s="9">
        <f t="shared" si="72"/>
        <v>340</v>
      </c>
      <c r="J527" s="9">
        <v>57</v>
      </c>
      <c r="K527" s="10">
        <f t="shared" si="73"/>
        <v>0.11874999999999999</v>
      </c>
      <c r="L527" s="17">
        <v>120</v>
      </c>
      <c r="M527" s="17">
        <v>30800</v>
      </c>
      <c r="N527" s="17">
        <f t="shared" si="74"/>
        <v>40800</v>
      </c>
      <c r="O527" s="17">
        <f t="shared" si="75"/>
        <v>10000</v>
      </c>
      <c r="P527" s="10">
        <f t="shared" si="76"/>
        <v>0.88749999999999996</v>
      </c>
      <c r="Q527" s="10">
        <f t="shared" si="77"/>
        <v>4.2253521126760563E-2</v>
      </c>
      <c r="R527" s="10">
        <f t="shared" si="78"/>
        <v>0.24509803921568626</v>
      </c>
      <c r="S527" s="18">
        <f t="shared" si="79"/>
        <v>90.588235294117652</v>
      </c>
      <c r="T527" s="8">
        <f>480-ProductionData[[#This Row],[Downtime Minutes]]</f>
        <v>423</v>
      </c>
      <c r="U527" s="11">
        <f t="shared" si="80"/>
        <v>0.83924349881796689</v>
      </c>
      <c r="V527" s="18">
        <f>ProductionData[[#This Row],[Profit]]/ProductionData[[#This Row],[Good Units]]</f>
        <v>29.411764705882351</v>
      </c>
      <c r="W527" s="11">
        <f>ProductionData[[#This Row],[Good Units]]/ProductionData[[#This Row],[Operating Minutes]]</f>
        <v>0.80378250591016553</v>
      </c>
    </row>
    <row r="528" spans="1:23">
      <c r="A528" s="7">
        <v>46262</v>
      </c>
      <c r="B528" s="8" t="s">
        <v>29</v>
      </c>
      <c r="C528" s="8" t="s">
        <v>27</v>
      </c>
      <c r="D528" s="8" t="s">
        <v>23</v>
      </c>
      <c r="E528" s="8" t="s">
        <v>26</v>
      </c>
      <c r="F528" s="9">
        <v>510</v>
      </c>
      <c r="G528" s="9">
        <v>453</v>
      </c>
      <c r="H528" s="9">
        <v>22</v>
      </c>
      <c r="I528" s="9">
        <f t="shared" si="72"/>
        <v>431</v>
      </c>
      <c r="J528" s="9">
        <v>57</v>
      </c>
      <c r="K528" s="10">
        <f t="shared" si="73"/>
        <v>0.11874999999999999</v>
      </c>
      <c r="L528" s="17">
        <v>90</v>
      </c>
      <c r="M528" s="17">
        <v>30800</v>
      </c>
      <c r="N528" s="17">
        <f t="shared" si="74"/>
        <v>38790</v>
      </c>
      <c r="O528" s="17">
        <f t="shared" si="75"/>
        <v>7990</v>
      </c>
      <c r="P528" s="10">
        <f t="shared" si="76"/>
        <v>0.88823529411764701</v>
      </c>
      <c r="Q528" s="10">
        <f t="shared" si="77"/>
        <v>4.856512141280353E-2</v>
      </c>
      <c r="R528" s="10">
        <f t="shared" si="78"/>
        <v>0.20598092291827791</v>
      </c>
      <c r="S528" s="18">
        <f t="shared" si="79"/>
        <v>71.461716937354993</v>
      </c>
      <c r="T528" s="8">
        <f>480-ProductionData[[#This Row],[Downtime Minutes]]</f>
        <v>423</v>
      </c>
      <c r="U528" s="11">
        <f t="shared" si="80"/>
        <v>1.0709219858156029</v>
      </c>
      <c r="V528" s="18">
        <f>ProductionData[[#This Row],[Profit]]/ProductionData[[#This Row],[Good Units]]</f>
        <v>18.538283062645011</v>
      </c>
      <c r="W528" s="11">
        <f>ProductionData[[#This Row],[Good Units]]/ProductionData[[#This Row],[Operating Minutes]]</f>
        <v>1.0189125295508275</v>
      </c>
    </row>
    <row r="529" spans="1:23">
      <c r="A529" s="7">
        <v>46262</v>
      </c>
      <c r="B529" s="8" t="s">
        <v>29</v>
      </c>
      <c r="C529" s="8" t="s">
        <v>27</v>
      </c>
      <c r="D529" s="8" t="s">
        <v>25</v>
      </c>
      <c r="E529" s="8" t="s">
        <v>22</v>
      </c>
      <c r="F529" s="9">
        <v>450</v>
      </c>
      <c r="G529" s="9">
        <v>379</v>
      </c>
      <c r="H529" s="9">
        <v>31</v>
      </c>
      <c r="I529" s="9">
        <f t="shared" si="72"/>
        <v>348</v>
      </c>
      <c r="J529" s="9">
        <v>76</v>
      </c>
      <c r="K529" s="10">
        <f t="shared" si="73"/>
        <v>0.15833333333333333</v>
      </c>
      <c r="L529" s="17">
        <v>100</v>
      </c>
      <c r="M529" s="17">
        <v>30800</v>
      </c>
      <c r="N529" s="17">
        <f t="shared" si="74"/>
        <v>34800</v>
      </c>
      <c r="O529" s="17">
        <f t="shared" si="75"/>
        <v>4000</v>
      </c>
      <c r="P529" s="10">
        <f t="shared" si="76"/>
        <v>0.84222222222222221</v>
      </c>
      <c r="Q529" s="10">
        <f t="shared" si="77"/>
        <v>8.1794195250659632E-2</v>
      </c>
      <c r="R529" s="10">
        <f t="shared" si="78"/>
        <v>0.11494252873563218</v>
      </c>
      <c r="S529" s="18">
        <f t="shared" si="79"/>
        <v>88.505747126436788</v>
      </c>
      <c r="T529" s="8">
        <f>480-ProductionData[[#This Row],[Downtime Minutes]]</f>
        <v>404</v>
      </c>
      <c r="U529" s="11">
        <f t="shared" si="80"/>
        <v>0.93811881188118806</v>
      </c>
      <c r="V529" s="18">
        <f>ProductionData[[#This Row],[Profit]]/ProductionData[[#This Row],[Good Units]]</f>
        <v>11.494252873563218</v>
      </c>
      <c r="W529" s="11">
        <f>ProductionData[[#This Row],[Good Units]]/ProductionData[[#This Row],[Operating Minutes]]</f>
        <v>0.86138613861386137</v>
      </c>
    </row>
    <row r="530" spans="1:23">
      <c r="A530" s="7">
        <v>46262</v>
      </c>
      <c r="B530" s="8" t="s">
        <v>29</v>
      </c>
      <c r="C530" s="8" t="s">
        <v>28</v>
      </c>
      <c r="D530" s="8" t="s">
        <v>21</v>
      </c>
      <c r="E530" s="8" t="s">
        <v>26</v>
      </c>
      <c r="F530" s="9">
        <v>500</v>
      </c>
      <c r="G530" s="9">
        <v>484</v>
      </c>
      <c r="H530" s="9">
        <v>11</v>
      </c>
      <c r="I530" s="9">
        <f t="shared" si="72"/>
        <v>473</v>
      </c>
      <c r="J530" s="9">
        <v>22</v>
      </c>
      <c r="K530" s="10">
        <f t="shared" si="73"/>
        <v>4.583333333333333E-2</v>
      </c>
      <c r="L530" s="17">
        <v>90</v>
      </c>
      <c r="M530" s="17">
        <v>30800</v>
      </c>
      <c r="N530" s="17">
        <f t="shared" si="74"/>
        <v>42570</v>
      </c>
      <c r="O530" s="17">
        <f t="shared" si="75"/>
        <v>11770</v>
      </c>
      <c r="P530" s="10">
        <f t="shared" si="76"/>
        <v>0.96799999999999997</v>
      </c>
      <c r="Q530" s="10">
        <f t="shared" si="77"/>
        <v>2.2727272727272728E-2</v>
      </c>
      <c r="R530" s="10">
        <f t="shared" si="78"/>
        <v>0.27648578811369506</v>
      </c>
      <c r="S530" s="18">
        <f t="shared" si="79"/>
        <v>65.116279069767444</v>
      </c>
      <c r="T530" s="8">
        <f>480-ProductionData[[#This Row],[Downtime Minutes]]</f>
        <v>458</v>
      </c>
      <c r="U530" s="11">
        <f t="shared" si="80"/>
        <v>1.0567685589519651</v>
      </c>
      <c r="V530" s="18">
        <f>ProductionData[[#This Row],[Profit]]/ProductionData[[#This Row],[Good Units]]</f>
        <v>24.88372093023256</v>
      </c>
      <c r="W530" s="11">
        <f>ProductionData[[#This Row],[Good Units]]/ProductionData[[#This Row],[Operating Minutes]]</f>
        <v>1.0327510917030567</v>
      </c>
    </row>
    <row r="531" spans="1:23">
      <c r="A531" s="7">
        <v>46262</v>
      </c>
      <c r="B531" s="8" t="s">
        <v>29</v>
      </c>
      <c r="C531" s="8" t="s">
        <v>28</v>
      </c>
      <c r="D531" s="8" t="s">
        <v>23</v>
      </c>
      <c r="E531" s="8" t="s">
        <v>22</v>
      </c>
      <c r="F531" s="9">
        <v>450</v>
      </c>
      <c r="G531" s="9">
        <v>412</v>
      </c>
      <c r="H531" s="9">
        <v>19</v>
      </c>
      <c r="I531" s="9">
        <f t="shared" si="72"/>
        <v>393</v>
      </c>
      <c r="J531" s="9">
        <v>43</v>
      </c>
      <c r="K531" s="10">
        <f t="shared" si="73"/>
        <v>8.9583333333333334E-2</v>
      </c>
      <c r="L531" s="17">
        <v>100</v>
      </c>
      <c r="M531" s="17">
        <v>30800</v>
      </c>
      <c r="N531" s="17">
        <f t="shared" si="74"/>
        <v>39300</v>
      </c>
      <c r="O531" s="17">
        <f t="shared" si="75"/>
        <v>8500</v>
      </c>
      <c r="P531" s="10">
        <f t="shared" si="76"/>
        <v>0.91555555555555557</v>
      </c>
      <c r="Q531" s="10">
        <f t="shared" si="77"/>
        <v>4.6116504854368932E-2</v>
      </c>
      <c r="R531" s="10">
        <f t="shared" si="78"/>
        <v>0.21628498727735368</v>
      </c>
      <c r="S531" s="18">
        <f t="shared" si="79"/>
        <v>78.371501272264638</v>
      </c>
      <c r="T531" s="8">
        <f>480-ProductionData[[#This Row],[Downtime Minutes]]</f>
        <v>437</v>
      </c>
      <c r="U531" s="11">
        <f t="shared" si="80"/>
        <v>0.94279176201372994</v>
      </c>
      <c r="V531" s="18">
        <f>ProductionData[[#This Row],[Profit]]/ProductionData[[#This Row],[Good Units]]</f>
        <v>21.628498727735369</v>
      </c>
      <c r="W531" s="11">
        <f>ProductionData[[#This Row],[Good Units]]/ProductionData[[#This Row],[Operating Minutes]]</f>
        <v>0.89931350114416475</v>
      </c>
    </row>
    <row r="532" spans="1:23">
      <c r="A532" s="7">
        <v>46262</v>
      </c>
      <c r="B532" s="8" t="s">
        <v>29</v>
      </c>
      <c r="C532" s="8" t="s">
        <v>28</v>
      </c>
      <c r="D532" s="8" t="s">
        <v>25</v>
      </c>
      <c r="E532" s="8" t="s">
        <v>24</v>
      </c>
      <c r="F532" s="9">
        <v>400</v>
      </c>
      <c r="G532" s="9">
        <v>368</v>
      </c>
      <c r="H532" s="9">
        <v>10</v>
      </c>
      <c r="I532" s="9">
        <f t="shared" si="72"/>
        <v>358</v>
      </c>
      <c r="J532" s="9">
        <v>43</v>
      </c>
      <c r="K532" s="10">
        <f t="shared" si="73"/>
        <v>8.9583333333333334E-2</v>
      </c>
      <c r="L532" s="17">
        <v>120</v>
      </c>
      <c r="M532" s="17">
        <v>30800</v>
      </c>
      <c r="N532" s="17">
        <f t="shared" si="74"/>
        <v>42960</v>
      </c>
      <c r="O532" s="17">
        <f t="shared" si="75"/>
        <v>12160</v>
      </c>
      <c r="P532" s="10">
        <f t="shared" si="76"/>
        <v>0.92</v>
      </c>
      <c r="Q532" s="10">
        <f t="shared" si="77"/>
        <v>2.717391304347826E-2</v>
      </c>
      <c r="R532" s="10">
        <f t="shared" si="78"/>
        <v>0.28305400372439476</v>
      </c>
      <c r="S532" s="18">
        <f t="shared" si="79"/>
        <v>86.033519553072622</v>
      </c>
      <c r="T532" s="8">
        <f>480-ProductionData[[#This Row],[Downtime Minutes]]</f>
        <v>437</v>
      </c>
      <c r="U532" s="11">
        <f t="shared" si="80"/>
        <v>0.84210526315789469</v>
      </c>
      <c r="V532" s="18">
        <f>ProductionData[[#This Row],[Profit]]/ProductionData[[#This Row],[Good Units]]</f>
        <v>33.966480446927378</v>
      </c>
      <c r="W532" s="11">
        <f>ProductionData[[#This Row],[Good Units]]/ProductionData[[#This Row],[Operating Minutes]]</f>
        <v>0.81922196796338675</v>
      </c>
    </row>
    <row r="533" spans="1:23">
      <c r="A533" s="7">
        <v>46263</v>
      </c>
      <c r="B533" s="8" t="s">
        <v>29</v>
      </c>
      <c r="C533" s="8" t="s">
        <v>20</v>
      </c>
      <c r="D533" s="8" t="s">
        <v>21</v>
      </c>
      <c r="E533" s="8" t="s">
        <v>24</v>
      </c>
      <c r="F533" s="9">
        <v>400</v>
      </c>
      <c r="G533" s="9">
        <v>383</v>
      </c>
      <c r="H533" s="9">
        <v>10</v>
      </c>
      <c r="I533" s="9">
        <f t="shared" si="72"/>
        <v>373</v>
      </c>
      <c r="J533" s="9">
        <v>31</v>
      </c>
      <c r="K533" s="10">
        <f t="shared" si="73"/>
        <v>6.458333333333334E-2</v>
      </c>
      <c r="L533" s="17">
        <v>120</v>
      </c>
      <c r="M533" s="17">
        <v>30800</v>
      </c>
      <c r="N533" s="17">
        <f t="shared" si="74"/>
        <v>44760</v>
      </c>
      <c r="O533" s="17">
        <f t="shared" si="75"/>
        <v>13960</v>
      </c>
      <c r="P533" s="10">
        <f t="shared" si="76"/>
        <v>0.95750000000000002</v>
      </c>
      <c r="Q533" s="10">
        <f t="shared" si="77"/>
        <v>2.6109660574412531E-2</v>
      </c>
      <c r="R533" s="10">
        <f t="shared" si="78"/>
        <v>0.31188561215370869</v>
      </c>
      <c r="S533" s="18">
        <f t="shared" si="79"/>
        <v>82.573726541554961</v>
      </c>
      <c r="T533" s="8">
        <f>480-ProductionData[[#This Row],[Downtime Minutes]]</f>
        <v>449</v>
      </c>
      <c r="U533" s="11">
        <f t="shared" si="80"/>
        <v>0.85300668151447656</v>
      </c>
      <c r="V533" s="18">
        <f>ProductionData[[#This Row],[Profit]]/ProductionData[[#This Row],[Good Units]]</f>
        <v>37.426273458445039</v>
      </c>
      <c r="W533" s="11">
        <f>ProductionData[[#This Row],[Good Units]]/ProductionData[[#This Row],[Operating Minutes]]</f>
        <v>0.83073496659242763</v>
      </c>
    </row>
    <row r="534" spans="1:23">
      <c r="A534" s="7">
        <v>46263</v>
      </c>
      <c r="B534" s="8" t="s">
        <v>29</v>
      </c>
      <c r="C534" s="8" t="s">
        <v>20</v>
      </c>
      <c r="D534" s="8" t="s">
        <v>23</v>
      </c>
      <c r="E534" s="8" t="s">
        <v>26</v>
      </c>
      <c r="F534" s="9">
        <v>480</v>
      </c>
      <c r="G534" s="9">
        <v>435</v>
      </c>
      <c r="H534" s="9">
        <v>16</v>
      </c>
      <c r="I534" s="9">
        <f t="shared" si="72"/>
        <v>419</v>
      </c>
      <c r="J534" s="9">
        <v>36</v>
      </c>
      <c r="K534" s="10">
        <f t="shared" si="73"/>
        <v>7.4999999999999997E-2</v>
      </c>
      <c r="L534" s="17">
        <v>90</v>
      </c>
      <c r="M534" s="17">
        <v>30800</v>
      </c>
      <c r="N534" s="17">
        <f t="shared" si="74"/>
        <v>37710</v>
      </c>
      <c r="O534" s="17">
        <f t="shared" si="75"/>
        <v>6910</v>
      </c>
      <c r="P534" s="10">
        <f t="shared" si="76"/>
        <v>0.90625</v>
      </c>
      <c r="Q534" s="10">
        <f t="shared" si="77"/>
        <v>3.6781609195402298E-2</v>
      </c>
      <c r="R534" s="10">
        <f t="shared" si="78"/>
        <v>0.18324051975603289</v>
      </c>
      <c r="S534" s="18">
        <f t="shared" si="79"/>
        <v>73.508353221957037</v>
      </c>
      <c r="T534" s="8">
        <f>480-ProductionData[[#This Row],[Downtime Minutes]]</f>
        <v>444</v>
      </c>
      <c r="U534" s="11">
        <f t="shared" si="80"/>
        <v>0.97972972972972971</v>
      </c>
      <c r="V534" s="18">
        <f>ProductionData[[#This Row],[Profit]]/ProductionData[[#This Row],[Good Units]]</f>
        <v>16.491646778042959</v>
      </c>
      <c r="W534" s="11">
        <f>ProductionData[[#This Row],[Good Units]]/ProductionData[[#This Row],[Operating Minutes]]</f>
        <v>0.94369369369369371</v>
      </c>
    </row>
    <row r="535" spans="1:23">
      <c r="A535" s="7">
        <v>46263</v>
      </c>
      <c r="B535" s="8" t="s">
        <v>29</v>
      </c>
      <c r="C535" s="8" t="s">
        <v>20</v>
      </c>
      <c r="D535" s="8" t="s">
        <v>25</v>
      </c>
      <c r="E535" s="8" t="s">
        <v>22</v>
      </c>
      <c r="F535" s="9">
        <v>450</v>
      </c>
      <c r="G535" s="9">
        <v>403</v>
      </c>
      <c r="H535" s="9">
        <v>23</v>
      </c>
      <c r="I535" s="9">
        <f t="shared" si="72"/>
        <v>380</v>
      </c>
      <c r="J535" s="9">
        <v>48</v>
      </c>
      <c r="K535" s="10">
        <f t="shared" si="73"/>
        <v>0.1</v>
      </c>
      <c r="L535" s="17">
        <v>100</v>
      </c>
      <c r="M535" s="17">
        <v>30800</v>
      </c>
      <c r="N535" s="17">
        <f t="shared" si="74"/>
        <v>38000</v>
      </c>
      <c r="O535" s="17">
        <f t="shared" si="75"/>
        <v>7200</v>
      </c>
      <c r="P535" s="10">
        <f t="shared" si="76"/>
        <v>0.89555555555555555</v>
      </c>
      <c r="Q535" s="10">
        <f t="shared" si="77"/>
        <v>5.7071960297766747E-2</v>
      </c>
      <c r="R535" s="10">
        <f t="shared" si="78"/>
        <v>0.18947368421052632</v>
      </c>
      <c r="S535" s="18">
        <f t="shared" si="79"/>
        <v>81.05263157894737</v>
      </c>
      <c r="T535" s="8">
        <f>480-ProductionData[[#This Row],[Downtime Minutes]]</f>
        <v>432</v>
      </c>
      <c r="U535" s="11">
        <f t="shared" si="80"/>
        <v>0.93287037037037035</v>
      </c>
      <c r="V535" s="18">
        <f>ProductionData[[#This Row],[Profit]]/ProductionData[[#This Row],[Good Units]]</f>
        <v>18.94736842105263</v>
      </c>
      <c r="W535" s="11">
        <f>ProductionData[[#This Row],[Good Units]]/ProductionData[[#This Row],[Operating Minutes]]</f>
        <v>0.87962962962962965</v>
      </c>
    </row>
    <row r="536" spans="1:23">
      <c r="A536" s="7">
        <v>46263</v>
      </c>
      <c r="B536" s="8" t="s">
        <v>29</v>
      </c>
      <c r="C536" s="8" t="s">
        <v>27</v>
      </c>
      <c r="D536" s="8" t="s">
        <v>21</v>
      </c>
      <c r="E536" s="8" t="s">
        <v>26</v>
      </c>
      <c r="F536" s="9">
        <v>510</v>
      </c>
      <c r="G536" s="9">
        <v>452</v>
      </c>
      <c r="H536" s="9">
        <v>23</v>
      </c>
      <c r="I536" s="9">
        <f t="shared" si="72"/>
        <v>429</v>
      </c>
      <c r="J536" s="9">
        <v>42</v>
      </c>
      <c r="K536" s="10">
        <f t="shared" si="73"/>
        <v>8.7499999999999994E-2</v>
      </c>
      <c r="L536" s="17">
        <v>90</v>
      </c>
      <c r="M536" s="17">
        <v>30800</v>
      </c>
      <c r="N536" s="17">
        <f t="shared" si="74"/>
        <v>38610</v>
      </c>
      <c r="O536" s="17">
        <f t="shared" si="75"/>
        <v>7810</v>
      </c>
      <c r="P536" s="10">
        <f t="shared" si="76"/>
        <v>0.88627450980392153</v>
      </c>
      <c r="Q536" s="10">
        <f t="shared" si="77"/>
        <v>5.0884955752212392E-2</v>
      </c>
      <c r="R536" s="10">
        <f t="shared" si="78"/>
        <v>0.20227920227920229</v>
      </c>
      <c r="S536" s="18">
        <f t="shared" si="79"/>
        <v>71.794871794871796</v>
      </c>
      <c r="T536" s="8">
        <f>480-ProductionData[[#This Row],[Downtime Minutes]]</f>
        <v>438</v>
      </c>
      <c r="U536" s="11">
        <f t="shared" si="80"/>
        <v>1.0319634703196348</v>
      </c>
      <c r="V536" s="18">
        <f>ProductionData[[#This Row],[Profit]]/ProductionData[[#This Row],[Good Units]]</f>
        <v>18.205128205128204</v>
      </c>
      <c r="W536" s="11">
        <f>ProductionData[[#This Row],[Good Units]]/ProductionData[[#This Row],[Operating Minutes]]</f>
        <v>0.97945205479452058</v>
      </c>
    </row>
    <row r="537" spans="1:23">
      <c r="A537" s="7">
        <v>46263</v>
      </c>
      <c r="B537" s="8" t="s">
        <v>29</v>
      </c>
      <c r="C537" s="8" t="s">
        <v>27</v>
      </c>
      <c r="D537" s="8" t="s">
        <v>23</v>
      </c>
      <c r="E537" s="8" t="s">
        <v>22</v>
      </c>
      <c r="F537" s="9">
        <v>450</v>
      </c>
      <c r="G537" s="9">
        <v>386</v>
      </c>
      <c r="H537" s="9">
        <v>28</v>
      </c>
      <c r="I537" s="9">
        <f t="shared" si="72"/>
        <v>358</v>
      </c>
      <c r="J537" s="9">
        <v>50</v>
      </c>
      <c r="K537" s="10">
        <f t="shared" si="73"/>
        <v>0.10416666666666667</v>
      </c>
      <c r="L537" s="17">
        <v>100</v>
      </c>
      <c r="M537" s="17">
        <v>30800</v>
      </c>
      <c r="N537" s="17">
        <f t="shared" si="74"/>
        <v>35800</v>
      </c>
      <c r="O537" s="17">
        <f t="shared" si="75"/>
        <v>5000</v>
      </c>
      <c r="P537" s="10">
        <f t="shared" si="76"/>
        <v>0.85777777777777775</v>
      </c>
      <c r="Q537" s="10">
        <f t="shared" si="77"/>
        <v>7.2538860103626937E-2</v>
      </c>
      <c r="R537" s="10">
        <f t="shared" si="78"/>
        <v>0.13966480446927373</v>
      </c>
      <c r="S537" s="18">
        <f t="shared" si="79"/>
        <v>86.033519553072622</v>
      </c>
      <c r="T537" s="8">
        <f>480-ProductionData[[#This Row],[Downtime Minutes]]</f>
        <v>430</v>
      </c>
      <c r="U537" s="11">
        <f t="shared" si="80"/>
        <v>0.89767441860465114</v>
      </c>
      <c r="V537" s="18">
        <f>ProductionData[[#This Row],[Profit]]/ProductionData[[#This Row],[Good Units]]</f>
        <v>13.966480446927374</v>
      </c>
      <c r="W537" s="11">
        <f>ProductionData[[#This Row],[Good Units]]/ProductionData[[#This Row],[Operating Minutes]]</f>
        <v>0.83255813953488367</v>
      </c>
    </row>
    <row r="538" spans="1:23">
      <c r="A538" s="7">
        <v>46263</v>
      </c>
      <c r="B538" s="8" t="s">
        <v>29</v>
      </c>
      <c r="C538" s="8" t="s">
        <v>27</v>
      </c>
      <c r="D538" s="8" t="s">
        <v>25</v>
      </c>
      <c r="E538" s="8" t="s">
        <v>24</v>
      </c>
      <c r="F538" s="9">
        <v>410</v>
      </c>
      <c r="G538" s="9">
        <v>350</v>
      </c>
      <c r="H538" s="9">
        <v>20</v>
      </c>
      <c r="I538" s="9">
        <f t="shared" si="72"/>
        <v>330</v>
      </c>
      <c r="J538" s="9">
        <v>59</v>
      </c>
      <c r="K538" s="10">
        <f t="shared" si="73"/>
        <v>0.12291666666666666</v>
      </c>
      <c r="L538" s="17">
        <v>120</v>
      </c>
      <c r="M538" s="17">
        <v>30800</v>
      </c>
      <c r="N538" s="17">
        <f t="shared" si="74"/>
        <v>39600</v>
      </c>
      <c r="O538" s="17">
        <f t="shared" si="75"/>
        <v>8800</v>
      </c>
      <c r="P538" s="10">
        <f t="shared" si="76"/>
        <v>0.85365853658536583</v>
      </c>
      <c r="Q538" s="10">
        <f t="shared" si="77"/>
        <v>5.7142857142857141E-2</v>
      </c>
      <c r="R538" s="10">
        <f t="shared" si="78"/>
        <v>0.22222222222222221</v>
      </c>
      <c r="S538" s="18">
        <f t="shared" si="79"/>
        <v>93.333333333333329</v>
      </c>
      <c r="T538" s="8">
        <f>480-ProductionData[[#This Row],[Downtime Minutes]]</f>
        <v>421</v>
      </c>
      <c r="U538" s="11">
        <f t="shared" si="80"/>
        <v>0.83135391923990498</v>
      </c>
      <c r="V538" s="18">
        <f>ProductionData[[#This Row],[Profit]]/ProductionData[[#This Row],[Good Units]]</f>
        <v>26.666666666666668</v>
      </c>
      <c r="W538" s="11">
        <f>ProductionData[[#This Row],[Good Units]]/ProductionData[[#This Row],[Operating Minutes]]</f>
        <v>0.78384798099762465</v>
      </c>
    </row>
    <row r="539" spans="1:23">
      <c r="A539" s="7">
        <v>46263</v>
      </c>
      <c r="B539" s="8" t="s">
        <v>29</v>
      </c>
      <c r="C539" s="8" t="s">
        <v>28</v>
      </c>
      <c r="D539" s="8" t="s">
        <v>21</v>
      </c>
      <c r="E539" s="8" t="s">
        <v>22</v>
      </c>
      <c r="F539" s="9">
        <v>460</v>
      </c>
      <c r="G539" s="9">
        <v>438</v>
      </c>
      <c r="H539" s="9">
        <v>16</v>
      </c>
      <c r="I539" s="9">
        <f t="shared" si="72"/>
        <v>422</v>
      </c>
      <c r="J539" s="9">
        <v>18</v>
      </c>
      <c r="K539" s="10">
        <f t="shared" si="73"/>
        <v>3.7499999999999999E-2</v>
      </c>
      <c r="L539" s="17">
        <v>100</v>
      </c>
      <c r="M539" s="17">
        <v>30800</v>
      </c>
      <c r="N539" s="17">
        <f t="shared" si="74"/>
        <v>42200</v>
      </c>
      <c r="O539" s="17">
        <f t="shared" si="75"/>
        <v>11400</v>
      </c>
      <c r="P539" s="10">
        <f t="shared" si="76"/>
        <v>0.95217391304347831</v>
      </c>
      <c r="Q539" s="10">
        <f t="shared" si="77"/>
        <v>3.6529680365296802E-2</v>
      </c>
      <c r="R539" s="10">
        <f t="shared" si="78"/>
        <v>0.27014218009478674</v>
      </c>
      <c r="S539" s="18">
        <f t="shared" si="79"/>
        <v>72.985781990521332</v>
      </c>
      <c r="T539" s="8">
        <f>480-ProductionData[[#This Row],[Downtime Minutes]]</f>
        <v>462</v>
      </c>
      <c r="U539" s="11">
        <f t="shared" si="80"/>
        <v>0.94805194805194803</v>
      </c>
      <c r="V539" s="18">
        <f>ProductionData[[#This Row],[Profit]]/ProductionData[[#This Row],[Good Units]]</f>
        <v>27.014218009478672</v>
      </c>
      <c r="W539" s="11">
        <f>ProductionData[[#This Row],[Good Units]]/ProductionData[[#This Row],[Operating Minutes]]</f>
        <v>0.91341991341991347</v>
      </c>
    </row>
    <row r="540" spans="1:23">
      <c r="A540" s="7">
        <v>46263</v>
      </c>
      <c r="B540" s="8" t="s">
        <v>29</v>
      </c>
      <c r="C540" s="8" t="s">
        <v>28</v>
      </c>
      <c r="D540" s="8" t="s">
        <v>23</v>
      </c>
      <c r="E540" s="8" t="s">
        <v>24</v>
      </c>
      <c r="F540" s="9">
        <v>410</v>
      </c>
      <c r="G540" s="9">
        <v>384</v>
      </c>
      <c r="H540" s="9">
        <v>8</v>
      </c>
      <c r="I540" s="9">
        <f t="shared" si="72"/>
        <v>376</v>
      </c>
      <c r="J540" s="9">
        <v>18</v>
      </c>
      <c r="K540" s="10">
        <f t="shared" si="73"/>
        <v>3.7499999999999999E-2</v>
      </c>
      <c r="L540" s="17">
        <v>120</v>
      </c>
      <c r="M540" s="17">
        <v>30800</v>
      </c>
      <c r="N540" s="17">
        <f t="shared" si="74"/>
        <v>45120</v>
      </c>
      <c r="O540" s="17">
        <f t="shared" si="75"/>
        <v>14320</v>
      </c>
      <c r="P540" s="10">
        <f t="shared" si="76"/>
        <v>0.93658536585365859</v>
      </c>
      <c r="Q540" s="10">
        <f t="shared" si="77"/>
        <v>2.0833333333333332E-2</v>
      </c>
      <c r="R540" s="10">
        <f t="shared" si="78"/>
        <v>0.31737588652482268</v>
      </c>
      <c r="S540" s="18">
        <f t="shared" si="79"/>
        <v>81.914893617021278</v>
      </c>
      <c r="T540" s="8">
        <f>480-ProductionData[[#This Row],[Downtime Minutes]]</f>
        <v>462</v>
      </c>
      <c r="U540" s="11">
        <f t="shared" si="80"/>
        <v>0.83116883116883122</v>
      </c>
      <c r="V540" s="18">
        <f>ProductionData[[#This Row],[Profit]]/ProductionData[[#This Row],[Good Units]]</f>
        <v>38.085106382978722</v>
      </c>
      <c r="W540" s="11">
        <f>ProductionData[[#This Row],[Good Units]]/ProductionData[[#This Row],[Operating Minutes]]</f>
        <v>0.81385281385281383</v>
      </c>
    </row>
    <row r="541" spans="1:23">
      <c r="A541" s="7">
        <v>46263</v>
      </c>
      <c r="B541" s="8" t="s">
        <v>29</v>
      </c>
      <c r="C541" s="8" t="s">
        <v>28</v>
      </c>
      <c r="D541" s="8" t="s">
        <v>25</v>
      </c>
      <c r="E541" s="8" t="s">
        <v>26</v>
      </c>
      <c r="F541" s="9">
        <v>480</v>
      </c>
      <c r="G541" s="9">
        <v>432</v>
      </c>
      <c r="H541" s="9">
        <v>14</v>
      </c>
      <c r="I541" s="9">
        <f t="shared" si="72"/>
        <v>418</v>
      </c>
      <c r="J541" s="9">
        <v>23</v>
      </c>
      <c r="K541" s="10">
        <f t="shared" si="73"/>
        <v>4.791666666666667E-2</v>
      </c>
      <c r="L541" s="17">
        <v>90</v>
      </c>
      <c r="M541" s="17">
        <v>30800</v>
      </c>
      <c r="N541" s="17">
        <f t="shared" si="74"/>
        <v>37620</v>
      </c>
      <c r="O541" s="17">
        <f t="shared" si="75"/>
        <v>6820</v>
      </c>
      <c r="P541" s="10">
        <f t="shared" si="76"/>
        <v>0.9</v>
      </c>
      <c r="Q541" s="10">
        <f t="shared" si="77"/>
        <v>3.2407407407407406E-2</v>
      </c>
      <c r="R541" s="10">
        <f t="shared" si="78"/>
        <v>0.18128654970760233</v>
      </c>
      <c r="S541" s="18">
        <f t="shared" si="79"/>
        <v>73.684210526315795</v>
      </c>
      <c r="T541" s="8">
        <f>480-ProductionData[[#This Row],[Downtime Minutes]]</f>
        <v>457</v>
      </c>
      <c r="U541" s="11">
        <f t="shared" si="80"/>
        <v>0.94529540481400443</v>
      </c>
      <c r="V541" s="18">
        <f>ProductionData[[#This Row],[Profit]]/ProductionData[[#This Row],[Good Units]]</f>
        <v>16.315789473684209</v>
      </c>
      <c r="W541" s="11">
        <f>ProductionData[[#This Row],[Good Units]]/ProductionData[[#This Row],[Operating Minutes]]</f>
        <v>0.91466083150984678</v>
      </c>
    </row>
    <row r="542" spans="1:23">
      <c r="A542" s="7">
        <v>46264</v>
      </c>
      <c r="B542" s="8" t="s">
        <v>29</v>
      </c>
      <c r="C542" s="8" t="s">
        <v>20</v>
      </c>
      <c r="D542" s="8" t="s">
        <v>21</v>
      </c>
      <c r="E542" s="8" t="s">
        <v>26</v>
      </c>
      <c r="F542" s="9">
        <v>500</v>
      </c>
      <c r="G542" s="9">
        <v>467</v>
      </c>
      <c r="H542" s="9">
        <v>14</v>
      </c>
      <c r="I542" s="9">
        <f t="shared" si="72"/>
        <v>453</v>
      </c>
      <c r="J542" s="9">
        <v>26</v>
      </c>
      <c r="K542" s="10">
        <f t="shared" si="73"/>
        <v>5.4166666666666669E-2</v>
      </c>
      <c r="L542" s="17">
        <v>90</v>
      </c>
      <c r="M542" s="17">
        <v>30800</v>
      </c>
      <c r="N542" s="17">
        <f t="shared" si="74"/>
        <v>40770</v>
      </c>
      <c r="O542" s="17">
        <f t="shared" si="75"/>
        <v>9970</v>
      </c>
      <c r="P542" s="10">
        <f t="shared" si="76"/>
        <v>0.93400000000000005</v>
      </c>
      <c r="Q542" s="10">
        <f t="shared" si="77"/>
        <v>2.9978586723768737E-2</v>
      </c>
      <c r="R542" s="10">
        <f t="shared" si="78"/>
        <v>0.24454255580083395</v>
      </c>
      <c r="S542" s="18">
        <f t="shared" si="79"/>
        <v>67.99116997792494</v>
      </c>
      <c r="T542" s="8">
        <f>480-ProductionData[[#This Row],[Downtime Minutes]]</f>
        <v>454</v>
      </c>
      <c r="U542" s="11">
        <f t="shared" si="80"/>
        <v>1.0286343612334801</v>
      </c>
      <c r="V542" s="18">
        <f>ProductionData[[#This Row],[Profit]]/ProductionData[[#This Row],[Good Units]]</f>
        <v>22.008830022075056</v>
      </c>
      <c r="W542" s="11">
        <f>ProductionData[[#This Row],[Good Units]]/ProductionData[[#This Row],[Operating Minutes]]</f>
        <v>0.99779735682819382</v>
      </c>
    </row>
    <row r="543" spans="1:23">
      <c r="A543" s="7">
        <v>46264</v>
      </c>
      <c r="B543" s="8" t="s">
        <v>29</v>
      </c>
      <c r="C543" s="8" t="s">
        <v>20</v>
      </c>
      <c r="D543" s="8" t="s">
        <v>23</v>
      </c>
      <c r="E543" s="8" t="s">
        <v>22</v>
      </c>
      <c r="F543" s="9">
        <v>440</v>
      </c>
      <c r="G543" s="9">
        <v>403</v>
      </c>
      <c r="H543" s="9">
        <v>18</v>
      </c>
      <c r="I543" s="9">
        <f t="shared" si="72"/>
        <v>385</v>
      </c>
      <c r="J543" s="9">
        <v>50</v>
      </c>
      <c r="K543" s="10">
        <f t="shared" si="73"/>
        <v>0.10416666666666667</v>
      </c>
      <c r="L543" s="17">
        <v>100</v>
      </c>
      <c r="M543" s="17">
        <v>30800</v>
      </c>
      <c r="N543" s="17">
        <f t="shared" si="74"/>
        <v>38500</v>
      </c>
      <c r="O543" s="17">
        <f t="shared" si="75"/>
        <v>7700</v>
      </c>
      <c r="P543" s="10">
        <f t="shared" si="76"/>
        <v>0.91590909090909089</v>
      </c>
      <c r="Q543" s="10">
        <f t="shared" si="77"/>
        <v>4.4665012406947889E-2</v>
      </c>
      <c r="R543" s="10">
        <f t="shared" si="78"/>
        <v>0.2</v>
      </c>
      <c r="S543" s="18">
        <f t="shared" si="79"/>
        <v>80</v>
      </c>
      <c r="T543" s="8">
        <f>480-ProductionData[[#This Row],[Downtime Minutes]]</f>
        <v>430</v>
      </c>
      <c r="U543" s="11">
        <f t="shared" si="80"/>
        <v>0.93720930232558142</v>
      </c>
      <c r="V543" s="18">
        <f>ProductionData[[#This Row],[Profit]]/ProductionData[[#This Row],[Good Units]]</f>
        <v>20</v>
      </c>
      <c r="W543" s="11">
        <f>ProductionData[[#This Row],[Good Units]]/ProductionData[[#This Row],[Operating Minutes]]</f>
        <v>0.89534883720930236</v>
      </c>
    </row>
    <row r="544" spans="1:23">
      <c r="A544" s="7">
        <v>46264</v>
      </c>
      <c r="B544" s="8" t="s">
        <v>29</v>
      </c>
      <c r="C544" s="8" t="s">
        <v>20</v>
      </c>
      <c r="D544" s="8" t="s">
        <v>25</v>
      </c>
      <c r="E544" s="8" t="s">
        <v>24</v>
      </c>
      <c r="F544" s="9">
        <v>400</v>
      </c>
      <c r="G544" s="9">
        <v>345</v>
      </c>
      <c r="H544" s="9">
        <v>15</v>
      </c>
      <c r="I544" s="9">
        <f t="shared" si="72"/>
        <v>330</v>
      </c>
      <c r="J544" s="9">
        <v>37</v>
      </c>
      <c r="K544" s="10">
        <f t="shared" si="73"/>
        <v>7.7083333333333337E-2</v>
      </c>
      <c r="L544" s="17">
        <v>120</v>
      </c>
      <c r="M544" s="17">
        <v>30800</v>
      </c>
      <c r="N544" s="17">
        <f t="shared" si="74"/>
        <v>39600</v>
      </c>
      <c r="O544" s="17">
        <f t="shared" si="75"/>
        <v>8800</v>
      </c>
      <c r="P544" s="10">
        <f t="shared" si="76"/>
        <v>0.86250000000000004</v>
      </c>
      <c r="Q544" s="10">
        <f t="shared" si="77"/>
        <v>4.3478260869565216E-2</v>
      </c>
      <c r="R544" s="10">
        <f t="shared" si="78"/>
        <v>0.22222222222222221</v>
      </c>
      <c r="S544" s="18">
        <f t="shared" si="79"/>
        <v>93.333333333333329</v>
      </c>
      <c r="T544" s="8">
        <f>480-ProductionData[[#This Row],[Downtime Minutes]]</f>
        <v>443</v>
      </c>
      <c r="U544" s="11">
        <f t="shared" si="80"/>
        <v>0.77878103837471779</v>
      </c>
      <c r="V544" s="18">
        <f>ProductionData[[#This Row],[Profit]]/ProductionData[[#This Row],[Good Units]]</f>
        <v>26.666666666666668</v>
      </c>
      <c r="W544" s="11">
        <f>ProductionData[[#This Row],[Good Units]]/ProductionData[[#This Row],[Operating Minutes]]</f>
        <v>0.74492099322799099</v>
      </c>
    </row>
    <row r="545" spans="1:23">
      <c r="A545" s="7">
        <v>46264</v>
      </c>
      <c r="B545" s="8" t="s">
        <v>29</v>
      </c>
      <c r="C545" s="8" t="s">
        <v>27</v>
      </c>
      <c r="D545" s="8" t="s">
        <v>21</v>
      </c>
      <c r="E545" s="8" t="s">
        <v>22</v>
      </c>
      <c r="F545" s="9">
        <v>450</v>
      </c>
      <c r="G545" s="9">
        <v>393</v>
      </c>
      <c r="H545" s="9">
        <v>26</v>
      </c>
      <c r="I545" s="9">
        <f t="shared" si="72"/>
        <v>367</v>
      </c>
      <c r="J545" s="9">
        <v>47</v>
      </c>
      <c r="K545" s="10">
        <f t="shared" si="73"/>
        <v>9.7916666666666666E-2</v>
      </c>
      <c r="L545" s="17">
        <v>100</v>
      </c>
      <c r="M545" s="17">
        <v>30800</v>
      </c>
      <c r="N545" s="17">
        <f t="shared" si="74"/>
        <v>36700</v>
      </c>
      <c r="O545" s="17">
        <f t="shared" si="75"/>
        <v>5900</v>
      </c>
      <c r="P545" s="10">
        <f t="shared" si="76"/>
        <v>0.87333333333333329</v>
      </c>
      <c r="Q545" s="10">
        <f t="shared" si="77"/>
        <v>6.6157760814249358E-2</v>
      </c>
      <c r="R545" s="10">
        <f t="shared" si="78"/>
        <v>0.16076294277929154</v>
      </c>
      <c r="S545" s="18">
        <f t="shared" si="79"/>
        <v>83.923705722070849</v>
      </c>
      <c r="T545" s="8">
        <f>480-ProductionData[[#This Row],[Downtime Minutes]]</f>
        <v>433</v>
      </c>
      <c r="U545" s="11">
        <f t="shared" si="80"/>
        <v>0.90762124711316394</v>
      </c>
      <c r="V545" s="18">
        <f>ProductionData[[#This Row],[Profit]]/ProductionData[[#This Row],[Good Units]]</f>
        <v>16.076294277929154</v>
      </c>
      <c r="W545" s="11">
        <f>ProductionData[[#This Row],[Good Units]]/ProductionData[[#This Row],[Operating Minutes]]</f>
        <v>0.84757505773672059</v>
      </c>
    </row>
    <row r="546" spans="1:23">
      <c r="A546" s="7">
        <v>46264</v>
      </c>
      <c r="B546" s="8" t="s">
        <v>29</v>
      </c>
      <c r="C546" s="8" t="s">
        <v>27</v>
      </c>
      <c r="D546" s="8" t="s">
        <v>23</v>
      </c>
      <c r="E546" s="8" t="s">
        <v>24</v>
      </c>
      <c r="F546" s="9">
        <v>410</v>
      </c>
      <c r="G546" s="9">
        <v>365</v>
      </c>
      <c r="H546" s="9">
        <v>16</v>
      </c>
      <c r="I546" s="9">
        <f t="shared" si="72"/>
        <v>349</v>
      </c>
      <c r="J546" s="9">
        <v>46</v>
      </c>
      <c r="K546" s="10">
        <f t="shared" si="73"/>
        <v>9.583333333333334E-2</v>
      </c>
      <c r="L546" s="17">
        <v>120</v>
      </c>
      <c r="M546" s="17">
        <v>30800</v>
      </c>
      <c r="N546" s="17">
        <f t="shared" si="74"/>
        <v>41880</v>
      </c>
      <c r="O546" s="17">
        <f t="shared" si="75"/>
        <v>11080</v>
      </c>
      <c r="P546" s="10">
        <f t="shared" si="76"/>
        <v>0.8902439024390244</v>
      </c>
      <c r="Q546" s="10">
        <f t="shared" si="77"/>
        <v>4.3835616438356165E-2</v>
      </c>
      <c r="R546" s="10">
        <f t="shared" si="78"/>
        <v>0.26456542502387775</v>
      </c>
      <c r="S546" s="18">
        <f t="shared" si="79"/>
        <v>88.252148997134668</v>
      </c>
      <c r="T546" s="8">
        <f>480-ProductionData[[#This Row],[Downtime Minutes]]</f>
        <v>434</v>
      </c>
      <c r="U546" s="11">
        <f t="shared" si="80"/>
        <v>0.84101382488479259</v>
      </c>
      <c r="V546" s="18">
        <f>ProductionData[[#This Row],[Profit]]/ProductionData[[#This Row],[Good Units]]</f>
        <v>31.747851002865328</v>
      </c>
      <c r="W546" s="11">
        <f>ProductionData[[#This Row],[Good Units]]/ProductionData[[#This Row],[Operating Minutes]]</f>
        <v>0.80414746543778803</v>
      </c>
    </row>
    <row r="547" spans="1:23">
      <c r="A547" s="7">
        <v>46264</v>
      </c>
      <c r="B547" s="8" t="s">
        <v>29</v>
      </c>
      <c r="C547" s="8" t="s">
        <v>27</v>
      </c>
      <c r="D547" s="8" t="s">
        <v>25</v>
      </c>
      <c r="E547" s="8" t="s">
        <v>26</v>
      </c>
      <c r="F547" s="9">
        <v>490</v>
      </c>
      <c r="G547" s="9">
        <v>407</v>
      </c>
      <c r="H547" s="9">
        <v>25</v>
      </c>
      <c r="I547" s="9">
        <f t="shared" si="72"/>
        <v>382</v>
      </c>
      <c r="J547" s="9">
        <v>52</v>
      </c>
      <c r="K547" s="10">
        <f t="shared" si="73"/>
        <v>0.10833333333333334</v>
      </c>
      <c r="L547" s="17">
        <v>90</v>
      </c>
      <c r="M547" s="17">
        <v>30800</v>
      </c>
      <c r="N547" s="17">
        <f t="shared" si="74"/>
        <v>34380</v>
      </c>
      <c r="O547" s="17">
        <f t="shared" si="75"/>
        <v>3580</v>
      </c>
      <c r="P547" s="10">
        <f t="shared" si="76"/>
        <v>0.83061224489795915</v>
      </c>
      <c r="Q547" s="10">
        <f t="shared" si="77"/>
        <v>6.1425061425061427E-2</v>
      </c>
      <c r="R547" s="10">
        <f t="shared" si="78"/>
        <v>0.10413030831879</v>
      </c>
      <c r="S547" s="18">
        <f t="shared" si="79"/>
        <v>80.6282722513089</v>
      </c>
      <c r="T547" s="8">
        <f>480-ProductionData[[#This Row],[Downtime Minutes]]</f>
        <v>428</v>
      </c>
      <c r="U547" s="11">
        <f t="shared" si="80"/>
        <v>0.9509345794392523</v>
      </c>
      <c r="V547" s="18">
        <f>ProductionData[[#This Row],[Profit]]/ProductionData[[#This Row],[Good Units]]</f>
        <v>9.3717277486911001</v>
      </c>
      <c r="W547" s="11">
        <f>ProductionData[[#This Row],[Good Units]]/ProductionData[[#This Row],[Operating Minutes]]</f>
        <v>0.89252336448598135</v>
      </c>
    </row>
    <row r="548" spans="1:23">
      <c r="A548" s="7">
        <v>46264</v>
      </c>
      <c r="B548" s="8" t="s">
        <v>29</v>
      </c>
      <c r="C548" s="8" t="s">
        <v>28</v>
      </c>
      <c r="D548" s="8" t="s">
        <v>21</v>
      </c>
      <c r="E548" s="8" t="s">
        <v>24</v>
      </c>
      <c r="F548" s="9">
        <v>410</v>
      </c>
      <c r="G548" s="9">
        <v>390</v>
      </c>
      <c r="H548" s="9">
        <v>9</v>
      </c>
      <c r="I548" s="9">
        <f t="shared" si="72"/>
        <v>381</v>
      </c>
      <c r="J548" s="9">
        <v>29</v>
      </c>
      <c r="K548" s="10">
        <f t="shared" si="73"/>
        <v>6.0416666666666667E-2</v>
      </c>
      <c r="L548" s="17">
        <v>120</v>
      </c>
      <c r="M548" s="17">
        <v>30800</v>
      </c>
      <c r="N548" s="17">
        <f t="shared" si="74"/>
        <v>45720</v>
      </c>
      <c r="O548" s="17">
        <f t="shared" si="75"/>
        <v>14920</v>
      </c>
      <c r="P548" s="10">
        <f t="shared" si="76"/>
        <v>0.95121951219512191</v>
      </c>
      <c r="Q548" s="10">
        <f t="shared" si="77"/>
        <v>2.3076923076923078E-2</v>
      </c>
      <c r="R548" s="10">
        <f t="shared" si="78"/>
        <v>0.32633420822397202</v>
      </c>
      <c r="S548" s="18">
        <f t="shared" si="79"/>
        <v>80.839895013123353</v>
      </c>
      <c r="T548" s="8">
        <f>480-ProductionData[[#This Row],[Downtime Minutes]]</f>
        <v>451</v>
      </c>
      <c r="U548" s="11">
        <f t="shared" si="80"/>
        <v>0.8647450110864745</v>
      </c>
      <c r="V548" s="18">
        <f>ProductionData[[#This Row],[Profit]]/ProductionData[[#This Row],[Good Units]]</f>
        <v>39.16010498687664</v>
      </c>
      <c r="W548" s="11">
        <f>ProductionData[[#This Row],[Good Units]]/ProductionData[[#This Row],[Operating Minutes]]</f>
        <v>0.84478935698447899</v>
      </c>
    </row>
    <row r="549" spans="1:23">
      <c r="A549" s="7">
        <v>46264</v>
      </c>
      <c r="B549" s="8" t="s">
        <v>29</v>
      </c>
      <c r="C549" s="8" t="s">
        <v>28</v>
      </c>
      <c r="D549" s="8" t="s">
        <v>23</v>
      </c>
      <c r="E549" s="8" t="s">
        <v>26</v>
      </c>
      <c r="F549" s="9">
        <v>500</v>
      </c>
      <c r="G549" s="9">
        <v>473</v>
      </c>
      <c r="H549" s="9">
        <v>14</v>
      </c>
      <c r="I549" s="9">
        <f t="shared" si="72"/>
        <v>459</v>
      </c>
      <c r="J549" s="9">
        <v>26</v>
      </c>
      <c r="K549" s="10">
        <f t="shared" si="73"/>
        <v>5.4166666666666669E-2</v>
      </c>
      <c r="L549" s="17">
        <v>90</v>
      </c>
      <c r="M549" s="17">
        <v>30800</v>
      </c>
      <c r="N549" s="17">
        <f t="shared" si="74"/>
        <v>41310</v>
      </c>
      <c r="O549" s="17">
        <f t="shared" si="75"/>
        <v>10510</v>
      </c>
      <c r="P549" s="10">
        <f t="shared" si="76"/>
        <v>0.94599999999999995</v>
      </c>
      <c r="Q549" s="10">
        <f t="shared" si="77"/>
        <v>2.9598308668076109E-2</v>
      </c>
      <c r="R549" s="10">
        <f t="shared" si="78"/>
        <v>0.25441781650931977</v>
      </c>
      <c r="S549" s="18">
        <f t="shared" si="79"/>
        <v>67.102396514161214</v>
      </c>
      <c r="T549" s="8">
        <f>480-ProductionData[[#This Row],[Downtime Minutes]]</f>
        <v>454</v>
      </c>
      <c r="U549" s="11">
        <f t="shared" si="80"/>
        <v>1.0418502202643172</v>
      </c>
      <c r="V549" s="18">
        <f>ProductionData[[#This Row],[Profit]]/ProductionData[[#This Row],[Good Units]]</f>
        <v>22.897603485838779</v>
      </c>
      <c r="W549" s="11">
        <f>ProductionData[[#This Row],[Good Units]]/ProductionData[[#This Row],[Operating Minutes]]</f>
        <v>1.0110132158590308</v>
      </c>
    </row>
    <row r="550" spans="1:23">
      <c r="A550" s="7">
        <v>46264</v>
      </c>
      <c r="B550" s="8" t="s">
        <v>29</v>
      </c>
      <c r="C550" s="8" t="s">
        <v>28</v>
      </c>
      <c r="D550" s="8" t="s">
        <v>25</v>
      </c>
      <c r="E550" s="8" t="s">
        <v>22</v>
      </c>
      <c r="F550" s="9">
        <v>440</v>
      </c>
      <c r="G550" s="9">
        <v>405</v>
      </c>
      <c r="H550" s="9">
        <v>23</v>
      </c>
      <c r="I550" s="9">
        <f t="shared" si="72"/>
        <v>382</v>
      </c>
      <c r="J550" s="9">
        <v>47</v>
      </c>
      <c r="K550" s="10">
        <f t="shared" si="73"/>
        <v>9.7916666666666666E-2</v>
      </c>
      <c r="L550" s="17">
        <v>100</v>
      </c>
      <c r="M550" s="17">
        <v>30800</v>
      </c>
      <c r="N550" s="17">
        <f t="shared" si="74"/>
        <v>38200</v>
      </c>
      <c r="O550" s="17">
        <f t="shared" si="75"/>
        <v>7400</v>
      </c>
      <c r="P550" s="10">
        <f t="shared" si="76"/>
        <v>0.92045454545454541</v>
      </c>
      <c r="Q550" s="10">
        <f t="shared" si="77"/>
        <v>5.6790123456790124E-2</v>
      </c>
      <c r="R550" s="10">
        <f t="shared" si="78"/>
        <v>0.193717277486911</v>
      </c>
      <c r="S550" s="18">
        <f t="shared" si="79"/>
        <v>80.6282722513089</v>
      </c>
      <c r="T550" s="8">
        <f>480-ProductionData[[#This Row],[Downtime Minutes]]</f>
        <v>433</v>
      </c>
      <c r="U550" s="11">
        <f t="shared" si="80"/>
        <v>0.9353348729792148</v>
      </c>
      <c r="V550" s="18">
        <f>ProductionData[[#This Row],[Profit]]/ProductionData[[#This Row],[Good Units]]</f>
        <v>19.3717277486911</v>
      </c>
      <c r="W550" s="11">
        <f>ProductionData[[#This Row],[Good Units]]/ProductionData[[#This Row],[Operating Minutes]]</f>
        <v>0.88221709006928406</v>
      </c>
    </row>
    <row r="551" spans="1:23">
      <c r="A551" s="7">
        <v>46265</v>
      </c>
      <c r="B551" s="8" t="s">
        <v>29</v>
      </c>
      <c r="C551" s="8" t="s">
        <v>20</v>
      </c>
      <c r="D551" s="8" t="s">
        <v>21</v>
      </c>
      <c r="E551" s="8" t="s">
        <v>22</v>
      </c>
      <c r="F551" s="9">
        <v>440</v>
      </c>
      <c r="G551" s="9">
        <v>400</v>
      </c>
      <c r="H551" s="9">
        <v>15</v>
      </c>
      <c r="I551" s="9">
        <f t="shared" si="72"/>
        <v>385</v>
      </c>
      <c r="J551" s="9">
        <v>32</v>
      </c>
      <c r="K551" s="10">
        <f t="shared" si="73"/>
        <v>6.6666666666666666E-2</v>
      </c>
      <c r="L551" s="17">
        <v>100</v>
      </c>
      <c r="M551" s="17">
        <v>30800</v>
      </c>
      <c r="N551" s="17">
        <f t="shared" si="74"/>
        <v>38500</v>
      </c>
      <c r="O551" s="17">
        <f t="shared" si="75"/>
        <v>7700</v>
      </c>
      <c r="P551" s="10">
        <f t="shared" si="76"/>
        <v>0.90909090909090906</v>
      </c>
      <c r="Q551" s="10">
        <f t="shared" si="77"/>
        <v>3.7499999999999999E-2</v>
      </c>
      <c r="R551" s="10">
        <f t="shared" si="78"/>
        <v>0.2</v>
      </c>
      <c r="S551" s="18">
        <f t="shared" si="79"/>
        <v>80</v>
      </c>
      <c r="T551" s="8">
        <f>480-ProductionData[[#This Row],[Downtime Minutes]]</f>
        <v>448</v>
      </c>
      <c r="U551" s="11">
        <f t="shared" si="80"/>
        <v>0.8928571428571429</v>
      </c>
      <c r="V551" s="18">
        <f>ProductionData[[#This Row],[Profit]]/ProductionData[[#This Row],[Good Units]]</f>
        <v>20</v>
      </c>
      <c r="W551" s="11">
        <f>ProductionData[[#This Row],[Good Units]]/ProductionData[[#This Row],[Operating Minutes]]</f>
        <v>0.859375</v>
      </c>
    </row>
    <row r="552" spans="1:23">
      <c r="A552" s="7">
        <v>46265</v>
      </c>
      <c r="B552" s="8" t="s">
        <v>29</v>
      </c>
      <c r="C552" s="8" t="s">
        <v>20</v>
      </c>
      <c r="D552" s="8" t="s">
        <v>23</v>
      </c>
      <c r="E552" s="8" t="s">
        <v>24</v>
      </c>
      <c r="F552" s="9">
        <v>390</v>
      </c>
      <c r="G552" s="9">
        <v>364</v>
      </c>
      <c r="H552" s="9">
        <v>12</v>
      </c>
      <c r="I552" s="9">
        <f t="shared" si="72"/>
        <v>352</v>
      </c>
      <c r="J552" s="9">
        <v>38</v>
      </c>
      <c r="K552" s="10">
        <f t="shared" si="73"/>
        <v>7.9166666666666663E-2</v>
      </c>
      <c r="L552" s="17">
        <v>120</v>
      </c>
      <c r="M552" s="17">
        <v>30800</v>
      </c>
      <c r="N552" s="17">
        <f t="shared" si="74"/>
        <v>42240</v>
      </c>
      <c r="O552" s="17">
        <f t="shared" si="75"/>
        <v>11440</v>
      </c>
      <c r="P552" s="10">
        <f t="shared" si="76"/>
        <v>0.93333333333333335</v>
      </c>
      <c r="Q552" s="10">
        <f t="shared" si="77"/>
        <v>3.2967032967032968E-2</v>
      </c>
      <c r="R552" s="10">
        <f t="shared" si="78"/>
        <v>0.27083333333333331</v>
      </c>
      <c r="S552" s="18">
        <f t="shared" si="79"/>
        <v>87.5</v>
      </c>
      <c r="T552" s="8">
        <f>480-ProductionData[[#This Row],[Downtime Minutes]]</f>
        <v>442</v>
      </c>
      <c r="U552" s="11">
        <f t="shared" si="80"/>
        <v>0.82352941176470584</v>
      </c>
      <c r="V552" s="18">
        <f>ProductionData[[#This Row],[Profit]]/ProductionData[[#This Row],[Good Units]]</f>
        <v>32.5</v>
      </c>
      <c r="W552" s="11">
        <f>ProductionData[[#This Row],[Good Units]]/ProductionData[[#This Row],[Operating Minutes]]</f>
        <v>0.7963800904977375</v>
      </c>
    </row>
    <row r="553" spans="1:23">
      <c r="A553" s="7">
        <v>46265</v>
      </c>
      <c r="B553" s="8" t="s">
        <v>29</v>
      </c>
      <c r="C553" s="8" t="s">
        <v>20</v>
      </c>
      <c r="D553" s="8" t="s">
        <v>25</v>
      </c>
      <c r="E553" s="8" t="s">
        <v>26</v>
      </c>
      <c r="F553" s="9">
        <v>490</v>
      </c>
      <c r="G553" s="9">
        <v>433</v>
      </c>
      <c r="H553" s="9">
        <v>17</v>
      </c>
      <c r="I553" s="9">
        <f t="shared" si="72"/>
        <v>416</v>
      </c>
      <c r="J553" s="9">
        <v>46</v>
      </c>
      <c r="K553" s="10">
        <f t="shared" si="73"/>
        <v>9.583333333333334E-2</v>
      </c>
      <c r="L553" s="17">
        <v>90</v>
      </c>
      <c r="M553" s="17">
        <v>30800</v>
      </c>
      <c r="N553" s="17">
        <f t="shared" si="74"/>
        <v>37440</v>
      </c>
      <c r="O553" s="17">
        <f t="shared" si="75"/>
        <v>6640</v>
      </c>
      <c r="P553" s="10">
        <f t="shared" si="76"/>
        <v>0.88367346938775515</v>
      </c>
      <c r="Q553" s="10">
        <f t="shared" si="77"/>
        <v>3.9260969976905313E-2</v>
      </c>
      <c r="R553" s="10">
        <f t="shared" si="78"/>
        <v>0.17735042735042736</v>
      </c>
      <c r="S553" s="18">
        <f t="shared" si="79"/>
        <v>74.038461538461533</v>
      </c>
      <c r="T553" s="8">
        <f>480-ProductionData[[#This Row],[Downtime Minutes]]</f>
        <v>434</v>
      </c>
      <c r="U553" s="11">
        <f t="shared" si="80"/>
        <v>0.99769585253456217</v>
      </c>
      <c r="V553" s="18">
        <f>ProductionData[[#This Row],[Profit]]/ProductionData[[#This Row],[Good Units]]</f>
        <v>15.961538461538462</v>
      </c>
      <c r="W553" s="11">
        <f>ProductionData[[#This Row],[Good Units]]/ProductionData[[#This Row],[Operating Minutes]]</f>
        <v>0.95852534562211977</v>
      </c>
    </row>
    <row r="554" spans="1:23">
      <c r="A554" s="7">
        <v>46265</v>
      </c>
      <c r="B554" s="8" t="s">
        <v>29</v>
      </c>
      <c r="C554" s="8" t="s">
        <v>27</v>
      </c>
      <c r="D554" s="8" t="s">
        <v>21</v>
      </c>
      <c r="E554" s="8" t="s">
        <v>24</v>
      </c>
      <c r="F554" s="9">
        <v>410</v>
      </c>
      <c r="G554" s="9">
        <v>365</v>
      </c>
      <c r="H554" s="9">
        <v>20</v>
      </c>
      <c r="I554" s="9">
        <f t="shared" si="72"/>
        <v>345</v>
      </c>
      <c r="J554" s="9">
        <v>53</v>
      </c>
      <c r="K554" s="10">
        <f t="shared" si="73"/>
        <v>0.11041666666666666</v>
      </c>
      <c r="L554" s="17">
        <v>120</v>
      </c>
      <c r="M554" s="17">
        <v>30800</v>
      </c>
      <c r="N554" s="17">
        <f t="shared" si="74"/>
        <v>41400</v>
      </c>
      <c r="O554" s="17">
        <f t="shared" si="75"/>
        <v>10600</v>
      </c>
      <c r="P554" s="10">
        <f t="shared" si="76"/>
        <v>0.8902439024390244</v>
      </c>
      <c r="Q554" s="10">
        <f t="shared" si="77"/>
        <v>5.4794520547945202E-2</v>
      </c>
      <c r="R554" s="10">
        <f t="shared" si="78"/>
        <v>0.2560386473429952</v>
      </c>
      <c r="S554" s="18">
        <f t="shared" si="79"/>
        <v>89.275362318840578</v>
      </c>
      <c r="T554" s="8">
        <f>480-ProductionData[[#This Row],[Downtime Minutes]]</f>
        <v>427</v>
      </c>
      <c r="U554" s="11">
        <f t="shared" si="80"/>
        <v>0.85480093676814983</v>
      </c>
      <c r="V554" s="18">
        <f>ProductionData[[#This Row],[Profit]]/ProductionData[[#This Row],[Good Units]]</f>
        <v>30.724637681159422</v>
      </c>
      <c r="W554" s="11">
        <f>ProductionData[[#This Row],[Good Units]]/ProductionData[[#This Row],[Operating Minutes]]</f>
        <v>0.80796252927400469</v>
      </c>
    </row>
    <row r="555" spans="1:23">
      <c r="A555" s="7">
        <v>46265</v>
      </c>
      <c r="B555" s="8" t="s">
        <v>29</v>
      </c>
      <c r="C555" s="8" t="s">
        <v>27</v>
      </c>
      <c r="D555" s="8" t="s">
        <v>23</v>
      </c>
      <c r="E555" s="8" t="s">
        <v>26</v>
      </c>
      <c r="F555" s="9">
        <v>500</v>
      </c>
      <c r="G555" s="9">
        <v>425</v>
      </c>
      <c r="H555" s="9">
        <v>22</v>
      </c>
      <c r="I555" s="9">
        <f t="shared" si="72"/>
        <v>403</v>
      </c>
      <c r="J555" s="9">
        <v>52</v>
      </c>
      <c r="K555" s="10">
        <f t="shared" si="73"/>
        <v>0.10833333333333334</v>
      </c>
      <c r="L555" s="17">
        <v>90</v>
      </c>
      <c r="M555" s="17">
        <v>30800</v>
      </c>
      <c r="N555" s="17">
        <f t="shared" si="74"/>
        <v>36270</v>
      </c>
      <c r="O555" s="17">
        <f t="shared" si="75"/>
        <v>5470</v>
      </c>
      <c r="P555" s="10">
        <f t="shared" si="76"/>
        <v>0.85</v>
      </c>
      <c r="Q555" s="10">
        <f t="shared" si="77"/>
        <v>5.1764705882352942E-2</v>
      </c>
      <c r="R555" s="10">
        <f t="shared" si="78"/>
        <v>0.15081334436173147</v>
      </c>
      <c r="S555" s="18">
        <f t="shared" si="79"/>
        <v>76.426799007444174</v>
      </c>
      <c r="T555" s="8">
        <f>480-ProductionData[[#This Row],[Downtime Minutes]]</f>
        <v>428</v>
      </c>
      <c r="U555" s="11">
        <f t="shared" si="80"/>
        <v>0.9929906542056075</v>
      </c>
      <c r="V555" s="18">
        <f>ProductionData[[#This Row],[Profit]]/ProductionData[[#This Row],[Good Units]]</f>
        <v>13.573200992555831</v>
      </c>
      <c r="W555" s="11">
        <f>ProductionData[[#This Row],[Good Units]]/ProductionData[[#This Row],[Operating Minutes]]</f>
        <v>0.94158878504672894</v>
      </c>
    </row>
    <row r="556" spans="1:23">
      <c r="A556" s="7">
        <v>46265</v>
      </c>
      <c r="B556" s="8" t="s">
        <v>29</v>
      </c>
      <c r="C556" s="8" t="s">
        <v>27</v>
      </c>
      <c r="D556" s="8" t="s">
        <v>25</v>
      </c>
      <c r="E556" s="8" t="s">
        <v>22</v>
      </c>
      <c r="F556" s="9">
        <v>430</v>
      </c>
      <c r="G556" s="9">
        <v>358</v>
      </c>
      <c r="H556" s="9">
        <v>24</v>
      </c>
      <c r="I556" s="9">
        <f t="shared" si="72"/>
        <v>334</v>
      </c>
      <c r="J556" s="9">
        <v>58</v>
      </c>
      <c r="K556" s="10">
        <f t="shared" si="73"/>
        <v>0.12083333333333333</v>
      </c>
      <c r="L556" s="17">
        <v>100</v>
      </c>
      <c r="M556" s="17">
        <v>30800</v>
      </c>
      <c r="N556" s="17">
        <f t="shared" si="74"/>
        <v>33400</v>
      </c>
      <c r="O556" s="17">
        <f t="shared" si="75"/>
        <v>2600</v>
      </c>
      <c r="P556" s="10">
        <f t="shared" si="76"/>
        <v>0.83255813953488367</v>
      </c>
      <c r="Q556" s="10">
        <f t="shared" si="77"/>
        <v>6.7039106145251395E-2</v>
      </c>
      <c r="R556" s="10">
        <f t="shared" si="78"/>
        <v>7.7844311377245512E-2</v>
      </c>
      <c r="S556" s="18">
        <f t="shared" si="79"/>
        <v>92.215568862275447</v>
      </c>
      <c r="T556" s="8">
        <f>480-ProductionData[[#This Row],[Downtime Minutes]]</f>
        <v>422</v>
      </c>
      <c r="U556" s="11">
        <f t="shared" si="80"/>
        <v>0.84834123222748814</v>
      </c>
      <c r="V556" s="18">
        <f>ProductionData[[#This Row],[Profit]]/ProductionData[[#This Row],[Good Units]]</f>
        <v>7.7844311377245505</v>
      </c>
      <c r="W556" s="11">
        <f>ProductionData[[#This Row],[Good Units]]/ProductionData[[#This Row],[Operating Minutes]]</f>
        <v>0.79146919431279616</v>
      </c>
    </row>
    <row r="557" spans="1:23">
      <c r="A557" s="7">
        <v>46265</v>
      </c>
      <c r="B557" s="8" t="s">
        <v>29</v>
      </c>
      <c r="C557" s="8" t="s">
        <v>28</v>
      </c>
      <c r="D557" s="8" t="s">
        <v>21</v>
      </c>
      <c r="E557" s="8" t="s">
        <v>26</v>
      </c>
      <c r="F557" s="9">
        <v>510</v>
      </c>
      <c r="G557" s="9">
        <v>499</v>
      </c>
      <c r="H557" s="9">
        <v>13</v>
      </c>
      <c r="I557" s="9">
        <f t="shared" si="72"/>
        <v>486</v>
      </c>
      <c r="J557" s="9">
        <v>20</v>
      </c>
      <c r="K557" s="10">
        <f t="shared" si="73"/>
        <v>4.1666666666666664E-2</v>
      </c>
      <c r="L557" s="17">
        <v>90</v>
      </c>
      <c r="M557" s="17">
        <v>30800</v>
      </c>
      <c r="N557" s="17">
        <f t="shared" si="74"/>
        <v>43740</v>
      </c>
      <c r="O557" s="17">
        <f t="shared" si="75"/>
        <v>12940</v>
      </c>
      <c r="P557" s="10">
        <f t="shared" si="76"/>
        <v>0.97843137254901957</v>
      </c>
      <c r="Q557" s="10">
        <f t="shared" si="77"/>
        <v>2.6052104208416832E-2</v>
      </c>
      <c r="R557" s="10">
        <f t="shared" si="78"/>
        <v>0.2958390489254687</v>
      </c>
      <c r="S557" s="18">
        <f t="shared" si="79"/>
        <v>63.374485596707821</v>
      </c>
      <c r="T557" s="8">
        <f>480-ProductionData[[#This Row],[Downtime Minutes]]</f>
        <v>460</v>
      </c>
      <c r="U557" s="11">
        <f t="shared" si="80"/>
        <v>1.0847826086956522</v>
      </c>
      <c r="V557" s="18">
        <f>ProductionData[[#This Row],[Profit]]/ProductionData[[#This Row],[Good Units]]</f>
        <v>26.625514403292183</v>
      </c>
      <c r="W557" s="11">
        <f>ProductionData[[#This Row],[Good Units]]/ProductionData[[#This Row],[Operating Minutes]]</f>
        <v>1.0565217391304347</v>
      </c>
    </row>
    <row r="558" spans="1:23">
      <c r="A558" s="7">
        <v>46265</v>
      </c>
      <c r="B558" s="8" t="s">
        <v>29</v>
      </c>
      <c r="C558" s="8" t="s">
        <v>28</v>
      </c>
      <c r="D558" s="8" t="s">
        <v>23</v>
      </c>
      <c r="E558" s="8" t="s">
        <v>22</v>
      </c>
      <c r="F558" s="9">
        <v>460</v>
      </c>
      <c r="G558" s="9">
        <v>431</v>
      </c>
      <c r="H558" s="9">
        <v>21</v>
      </c>
      <c r="I558" s="9">
        <f t="shared" si="72"/>
        <v>410</v>
      </c>
      <c r="J558" s="9">
        <v>37</v>
      </c>
      <c r="K558" s="10">
        <f t="shared" si="73"/>
        <v>7.7083333333333337E-2</v>
      </c>
      <c r="L558" s="17">
        <v>100</v>
      </c>
      <c r="M558" s="17">
        <v>30800</v>
      </c>
      <c r="N558" s="17">
        <f t="shared" si="74"/>
        <v>41000</v>
      </c>
      <c r="O558" s="17">
        <f t="shared" si="75"/>
        <v>10200</v>
      </c>
      <c r="P558" s="10">
        <f t="shared" si="76"/>
        <v>0.93695652173913047</v>
      </c>
      <c r="Q558" s="10">
        <f t="shared" si="77"/>
        <v>4.8723897911832945E-2</v>
      </c>
      <c r="R558" s="10">
        <f t="shared" si="78"/>
        <v>0.24878048780487805</v>
      </c>
      <c r="S558" s="18">
        <f t="shared" si="79"/>
        <v>75.121951219512198</v>
      </c>
      <c r="T558" s="8">
        <f>480-ProductionData[[#This Row],[Downtime Minutes]]</f>
        <v>443</v>
      </c>
      <c r="U558" s="11">
        <f t="shared" si="80"/>
        <v>0.97291196388261847</v>
      </c>
      <c r="V558" s="18">
        <f>ProductionData[[#This Row],[Profit]]/ProductionData[[#This Row],[Good Units]]</f>
        <v>24.878048780487806</v>
      </c>
      <c r="W558" s="11">
        <f>ProductionData[[#This Row],[Good Units]]/ProductionData[[#This Row],[Operating Minutes]]</f>
        <v>0.9255079006772009</v>
      </c>
    </row>
    <row r="559" spans="1:23">
      <c r="A559" s="7">
        <v>46265</v>
      </c>
      <c r="B559" s="8" t="s">
        <v>29</v>
      </c>
      <c r="C559" s="8" t="s">
        <v>28</v>
      </c>
      <c r="D559" s="8" t="s">
        <v>25</v>
      </c>
      <c r="E559" s="8" t="s">
        <v>24</v>
      </c>
      <c r="F559" s="9">
        <v>390</v>
      </c>
      <c r="G559" s="9">
        <v>344</v>
      </c>
      <c r="H559" s="9">
        <v>13</v>
      </c>
      <c r="I559" s="9">
        <f t="shared" si="72"/>
        <v>331</v>
      </c>
      <c r="J559" s="9">
        <v>32</v>
      </c>
      <c r="K559" s="10">
        <f t="shared" si="73"/>
        <v>6.6666666666666666E-2</v>
      </c>
      <c r="L559" s="17">
        <v>120</v>
      </c>
      <c r="M559" s="17">
        <v>30800</v>
      </c>
      <c r="N559" s="17">
        <f t="shared" si="74"/>
        <v>39720</v>
      </c>
      <c r="O559" s="17">
        <f t="shared" si="75"/>
        <v>8920</v>
      </c>
      <c r="P559" s="10">
        <f t="shared" si="76"/>
        <v>0.88205128205128203</v>
      </c>
      <c r="Q559" s="10">
        <f t="shared" si="77"/>
        <v>3.7790697674418602E-2</v>
      </c>
      <c r="R559" s="10">
        <f t="shared" si="78"/>
        <v>0.22457200402819738</v>
      </c>
      <c r="S559" s="18">
        <f t="shared" si="79"/>
        <v>93.051359516616316</v>
      </c>
      <c r="T559" s="8">
        <f>480-ProductionData[[#This Row],[Downtime Minutes]]</f>
        <v>448</v>
      </c>
      <c r="U559" s="11">
        <f t="shared" si="80"/>
        <v>0.7678571428571429</v>
      </c>
      <c r="V559" s="18">
        <f>ProductionData[[#This Row],[Profit]]/ProductionData[[#This Row],[Good Units]]</f>
        <v>26.948640483383684</v>
      </c>
      <c r="W559" s="11">
        <f>ProductionData[[#This Row],[Good Units]]/ProductionData[[#This Row],[Operating Minutes]]</f>
        <v>0.7388392857142857</v>
      </c>
    </row>
    <row r="560" spans="1:23">
      <c r="A560" s="7">
        <v>46266</v>
      </c>
      <c r="B560" s="8" t="s">
        <v>30</v>
      </c>
      <c r="C560" s="8" t="s">
        <v>20</v>
      </c>
      <c r="D560" s="8" t="s">
        <v>21</v>
      </c>
      <c r="E560" s="8" t="s">
        <v>22</v>
      </c>
      <c r="F560" s="9">
        <v>440</v>
      </c>
      <c r="G560" s="9">
        <v>411</v>
      </c>
      <c r="H560" s="9">
        <v>16</v>
      </c>
      <c r="I560" s="9">
        <f t="shared" si="72"/>
        <v>395</v>
      </c>
      <c r="J560" s="9">
        <v>37</v>
      </c>
      <c r="K560" s="10">
        <f t="shared" si="73"/>
        <v>7.7083333333333337E-2</v>
      </c>
      <c r="L560" s="17">
        <v>100</v>
      </c>
      <c r="M560" s="17">
        <v>30800</v>
      </c>
      <c r="N560" s="17">
        <f t="shared" si="74"/>
        <v>39500</v>
      </c>
      <c r="O560" s="17">
        <f t="shared" si="75"/>
        <v>8700</v>
      </c>
      <c r="P560" s="10">
        <f t="shared" si="76"/>
        <v>0.93409090909090908</v>
      </c>
      <c r="Q560" s="10">
        <f t="shared" si="77"/>
        <v>3.8929440389294405E-2</v>
      </c>
      <c r="R560" s="10">
        <f t="shared" si="78"/>
        <v>0.22025316455696203</v>
      </c>
      <c r="S560" s="18">
        <f t="shared" si="79"/>
        <v>77.974683544303801</v>
      </c>
      <c r="T560" s="8">
        <f>480-ProductionData[[#This Row],[Downtime Minutes]]</f>
        <v>443</v>
      </c>
      <c r="U560" s="11">
        <f t="shared" si="80"/>
        <v>0.92776523702031599</v>
      </c>
      <c r="V560" s="18">
        <f>ProductionData[[#This Row],[Profit]]/ProductionData[[#This Row],[Good Units]]</f>
        <v>22.025316455696203</v>
      </c>
      <c r="W560" s="11">
        <f>ProductionData[[#This Row],[Good Units]]/ProductionData[[#This Row],[Operating Minutes]]</f>
        <v>0.89164785553047399</v>
      </c>
    </row>
    <row r="561" spans="1:23">
      <c r="A561" s="7">
        <v>46266</v>
      </c>
      <c r="B561" s="8" t="s">
        <v>30</v>
      </c>
      <c r="C561" s="8" t="s">
        <v>20</v>
      </c>
      <c r="D561" s="8" t="s">
        <v>23</v>
      </c>
      <c r="E561" s="8" t="s">
        <v>24</v>
      </c>
      <c r="F561" s="9">
        <v>410</v>
      </c>
      <c r="G561" s="9">
        <v>384</v>
      </c>
      <c r="H561" s="9">
        <v>13</v>
      </c>
      <c r="I561" s="9">
        <f t="shared" si="72"/>
        <v>371</v>
      </c>
      <c r="J561" s="9">
        <v>28</v>
      </c>
      <c r="K561" s="10">
        <f t="shared" si="73"/>
        <v>5.8333333333333334E-2</v>
      </c>
      <c r="L561" s="17">
        <v>120</v>
      </c>
      <c r="M561" s="17">
        <v>30800</v>
      </c>
      <c r="N561" s="17">
        <f t="shared" si="74"/>
        <v>44520</v>
      </c>
      <c r="O561" s="17">
        <f t="shared" si="75"/>
        <v>13720</v>
      </c>
      <c r="P561" s="10">
        <f t="shared" si="76"/>
        <v>0.93658536585365859</v>
      </c>
      <c r="Q561" s="10">
        <f t="shared" si="77"/>
        <v>3.3854166666666664E-2</v>
      </c>
      <c r="R561" s="10">
        <f t="shared" si="78"/>
        <v>0.3081761006289308</v>
      </c>
      <c r="S561" s="18">
        <f t="shared" si="79"/>
        <v>83.018867924528308</v>
      </c>
      <c r="T561" s="8">
        <f>480-ProductionData[[#This Row],[Downtime Minutes]]</f>
        <v>452</v>
      </c>
      <c r="U561" s="11">
        <f t="shared" si="80"/>
        <v>0.84955752212389379</v>
      </c>
      <c r="V561" s="18">
        <f>ProductionData[[#This Row],[Profit]]/ProductionData[[#This Row],[Good Units]]</f>
        <v>36.981132075471699</v>
      </c>
      <c r="W561" s="11">
        <f>ProductionData[[#This Row],[Good Units]]/ProductionData[[#This Row],[Operating Minutes]]</f>
        <v>0.82079646017699115</v>
      </c>
    </row>
    <row r="562" spans="1:23">
      <c r="A562" s="7">
        <v>46266</v>
      </c>
      <c r="B562" s="8" t="s">
        <v>30</v>
      </c>
      <c r="C562" s="8" t="s">
        <v>20</v>
      </c>
      <c r="D562" s="8" t="s">
        <v>25</v>
      </c>
      <c r="E562" s="8" t="s">
        <v>26</v>
      </c>
      <c r="F562" s="9">
        <v>480</v>
      </c>
      <c r="G562" s="9">
        <v>436</v>
      </c>
      <c r="H562" s="9">
        <v>22</v>
      </c>
      <c r="I562" s="9">
        <f t="shared" si="72"/>
        <v>414</v>
      </c>
      <c r="J562" s="9">
        <v>37</v>
      </c>
      <c r="K562" s="10">
        <f t="shared" si="73"/>
        <v>7.7083333333333337E-2</v>
      </c>
      <c r="L562" s="17">
        <v>90</v>
      </c>
      <c r="M562" s="17">
        <v>30800</v>
      </c>
      <c r="N562" s="17">
        <f t="shared" si="74"/>
        <v>37260</v>
      </c>
      <c r="O562" s="17">
        <f t="shared" si="75"/>
        <v>6460</v>
      </c>
      <c r="P562" s="10">
        <f t="shared" si="76"/>
        <v>0.90833333333333333</v>
      </c>
      <c r="Q562" s="10">
        <f t="shared" si="77"/>
        <v>5.0458715596330278E-2</v>
      </c>
      <c r="R562" s="10">
        <f t="shared" si="78"/>
        <v>0.17337627482555018</v>
      </c>
      <c r="S562" s="18">
        <f t="shared" si="79"/>
        <v>74.39613526570048</v>
      </c>
      <c r="T562" s="8">
        <f>480-ProductionData[[#This Row],[Downtime Minutes]]</f>
        <v>443</v>
      </c>
      <c r="U562" s="11">
        <f t="shared" si="80"/>
        <v>0.98419864559819414</v>
      </c>
      <c r="V562" s="18">
        <f>ProductionData[[#This Row],[Profit]]/ProductionData[[#This Row],[Good Units]]</f>
        <v>15.603864734299517</v>
      </c>
      <c r="W562" s="11">
        <f>ProductionData[[#This Row],[Good Units]]/ProductionData[[#This Row],[Operating Minutes]]</f>
        <v>0.93453724604966137</v>
      </c>
    </row>
    <row r="563" spans="1:23">
      <c r="A563" s="7">
        <v>46266</v>
      </c>
      <c r="B563" s="8" t="s">
        <v>30</v>
      </c>
      <c r="C563" s="8" t="s">
        <v>27</v>
      </c>
      <c r="D563" s="8" t="s">
        <v>21</v>
      </c>
      <c r="E563" s="8" t="s">
        <v>24</v>
      </c>
      <c r="F563" s="9">
        <v>410</v>
      </c>
      <c r="G563" s="9">
        <v>350</v>
      </c>
      <c r="H563" s="9">
        <v>17</v>
      </c>
      <c r="I563" s="9">
        <f t="shared" si="72"/>
        <v>333</v>
      </c>
      <c r="J563" s="9">
        <v>53</v>
      </c>
      <c r="K563" s="10">
        <f t="shared" si="73"/>
        <v>0.11041666666666666</v>
      </c>
      <c r="L563" s="17">
        <v>120</v>
      </c>
      <c r="M563" s="17">
        <v>30800</v>
      </c>
      <c r="N563" s="17">
        <f t="shared" si="74"/>
        <v>39960</v>
      </c>
      <c r="O563" s="17">
        <f t="shared" si="75"/>
        <v>9160</v>
      </c>
      <c r="P563" s="10">
        <f t="shared" si="76"/>
        <v>0.85365853658536583</v>
      </c>
      <c r="Q563" s="10">
        <f t="shared" si="77"/>
        <v>4.8571428571428571E-2</v>
      </c>
      <c r="R563" s="10">
        <f t="shared" si="78"/>
        <v>0.22922922922922923</v>
      </c>
      <c r="S563" s="18">
        <f t="shared" si="79"/>
        <v>92.492492492492488</v>
      </c>
      <c r="T563" s="8">
        <f>480-ProductionData[[#This Row],[Downtime Minutes]]</f>
        <v>427</v>
      </c>
      <c r="U563" s="11">
        <f t="shared" si="80"/>
        <v>0.81967213114754101</v>
      </c>
      <c r="V563" s="18">
        <f>ProductionData[[#This Row],[Profit]]/ProductionData[[#This Row],[Good Units]]</f>
        <v>27.507507507507508</v>
      </c>
      <c r="W563" s="11">
        <f>ProductionData[[#This Row],[Good Units]]/ProductionData[[#This Row],[Operating Minutes]]</f>
        <v>0.77985948477751754</v>
      </c>
    </row>
    <row r="564" spans="1:23">
      <c r="A564" s="7">
        <v>46266</v>
      </c>
      <c r="B564" s="8" t="s">
        <v>30</v>
      </c>
      <c r="C564" s="8" t="s">
        <v>27</v>
      </c>
      <c r="D564" s="8" t="s">
        <v>23</v>
      </c>
      <c r="E564" s="8" t="s">
        <v>26</v>
      </c>
      <c r="F564" s="9">
        <v>520</v>
      </c>
      <c r="G564" s="9">
        <v>441</v>
      </c>
      <c r="H564" s="9">
        <v>27</v>
      </c>
      <c r="I564" s="9">
        <f t="shared" si="72"/>
        <v>414</v>
      </c>
      <c r="J564" s="9">
        <v>62</v>
      </c>
      <c r="K564" s="10">
        <f t="shared" si="73"/>
        <v>0.12916666666666668</v>
      </c>
      <c r="L564" s="17">
        <v>90</v>
      </c>
      <c r="M564" s="17">
        <v>30800</v>
      </c>
      <c r="N564" s="17">
        <f t="shared" si="74"/>
        <v>37260</v>
      </c>
      <c r="O564" s="17">
        <f t="shared" si="75"/>
        <v>6460</v>
      </c>
      <c r="P564" s="10">
        <f t="shared" si="76"/>
        <v>0.84807692307692306</v>
      </c>
      <c r="Q564" s="10">
        <f t="shared" si="77"/>
        <v>6.1224489795918366E-2</v>
      </c>
      <c r="R564" s="10">
        <f t="shared" si="78"/>
        <v>0.17337627482555018</v>
      </c>
      <c r="S564" s="18">
        <f t="shared" si="79"/>
        <v>74.39613526570048</v>
      </c>
      <c r="T564" s="8">
        <f>480-ProductionData[[#This Row],[Downtime Minutes]]</f>
        <v>418</v>
      </c>
      <c r="U564" s="11">
        <f t="shared" si="80"/>
        <v>1.0550239234449761</v>
      </c>
      <c r="V564" s="18">
        <f>ProductionData[[#This Row],[Profit]]/ProductionData[[#This Row],[Good Units]]</f>
        <v>15.603864734299517</v>
      </c>
      <c r="W564" s="11">
        <f>ProductionData[[#This Row],[Good Units]]/ProductionData[[#This Row],[Operating Minutes]]</f>
        <v>0.99043062200956933</v>
      </c>
    </row>
    <row r="565" spans="1:23">
      <c r="A565" s="7">
        <v>46266</v>
      </c>
      <c r="B565" s="8" t="s">
        <v>30</v>
      </c>
      <c r="C565" s="8" t="s">
        <v>27</v>
      </c>
      <c r="D565" s="8" t="s">
        <v>25</v>
      </c>
      <c r="E565" s="8" t="s">
        <v>22</v>
      </c>
      <c r="F565" s="9">
        <v>440</v>
      </c>
      <c r="G565" s="9">
        <v>383</v>
      </c>
      <c r="H565" s="9">
        <v>28</v>
      </c>
      <c r="I565" s="9">
        <f t="shared" si="72"/>
        <v>355</v>
      </c>
      <c r="J565" s="9">
        <v>65</v>
      </c>
      <c r="K565" s="10">
        <f t="shared" si="73"/>
        <v>0.13541666666666666</v>
      </c>
      <c r="L565" s="17">
        <v>100</v>
      </c>
      <c r="M565" s="17">
        <v>30800</v>
      </c>
      <c r="N565" s="17">
        <f t="shared" si="74"/>
        <v>35500</v>
      </c>
      <c r="O565" s="17">
        <f t="shared" si="75"/>
        <v>4700</v>
      </c>
      <c r="P565" s="10">
        <f t="shared" si="76"/>
        <v>0.87045454545454548</v>
      </c>
      <c r="Q565" s="10">
        <f t="shared" si="77"/>
        <v>7.3107049608355096E-2</v>
      </c>
      <c r="R565" s="10">
        <f t="shared" si="78"/>
        <v>0.13239436619718309</v>
      </c>
      <c r="S565" s="18">
        <f t="shared" si="79"/>
        <v>86.760563380281695</v>
      </c>
      <c r="T565" s="8">
        <f>480-ProductionData[[#This Row],[Downtime Minutes]]</f>
        <v>415</v>
      </c>
      <c r="U565" s="11">
        <f t="shared" si="80"/>
        <v>0.92289156626506019</v>
      </c>
      <c r="V565" s="18">
        <f>ProductionData[[#This Row],[Profit]]/ProductionData[[#This Row],[Good Units]]</f>
        <v>13.23943661971831</v>
      </c>
      <c r="W565" s="11">
        <f>ProductionData[[#This Row],[Good Units]]/ProductionData[[#This Row],[Operating Minutes]]</f>
        <v>0.85542168674698793</v>
      </c>
    </row>
    <row r="566" spans="1:23">
      <c r="A566" s="7">
        <v>46266</v>
      </c>
      <c r="B566" s="8" t="s">
        <v>30</v>
      </c>
      <c r="C566" s="8" t="s">
        <v>28</v>
      </c>
      <c r="D566" s="8" t="s">
        <v>21</v>
      </c>
      <c r="E566" s="8" t="s">
        <v>26</v>
      </c>
      <c r="F566" s="9">
        <v>500</v>
      </c>
      <c r="G566" s="9">
        <v>491</v>
      </c>
      <c r="H566" s="9">
        <v>15</v>
      </c>
      <c r="I566" s="9">
        <f t="shared" si="72"/>
        <v>476</v>
      </c>
      <c r="J566" s="9">
        <v>12</v>
      </c>
      <c r="K566" s="10">
        <f t="shared" si="73"/>
        <v>2.5000000000000001E-2</v>
      </c>
      <c r="L566" s="17">
        <v>90</v>
      </c>
      <c r="M566" s="17">
        <v>30800</v>
      </c>
      <c r="N566" s="17">
        <f t="shared" si="74"/>
        <v>42840</v>
      </c>
      <c r="O566" s="17">
        <f t="shared" si="75"/>
        <v>12040</v>
      </c>
      <c r="P566" s="10">
        <f t="shared" si="76"/>
        <v>0.98199999999999998</v>
      </c>
      <c r="Q566" s="10">
        <f t="shared" si="77"/>
        <v>3.0549898167006109E-2</v>
      </c>
      <c r="R566" s="10">
        <f t="shared" si="78"/>
        <v>0.28104575163398693</v>
      </c>
      <c r="S566" s="18">
        <f t="shared" si="79"/>
        <v>64.705882352941174</v>
      </c>
      <c r="T566" s="8">
        <f>480-ProductionData[[#This Row],[Downtime Minutes]]</f>
        <v>468</v>
      </c>
      <c r="U566" s="11">
        <f t="shared" si="80"/>
        <v>1.0491452991452992</v>
      </c>
      <c r="V566" s="18">
        <f>ProductionData[[#This Row],[Profit]]/ProductionData[[#This Row],[Good Units]]</f>
        <v>25.294117647058822</v>
      </c>
      <c r="W566" s="11">
        <f>ProductionData[[#This Row],[Good Units]]/ProductionData[[#This Row],[Operating Minutes]]</f>
        <v>1.017094017094017</v>
      </c>
    </row>
    <row r="567" spans="1:23">
      <c r="A567" s="7">
        <v>46266</v>
      </c>
      <c r="B567" s="8" t="s">
        <v>30</v>
      </c>
      <c r="C567" s="8" t="s">
        <v>28</v>
      </c>
      <c r="D567" s="8" t="s">
        <v>23</v>
      </c>
      <c r="E567" s="8" t="s">
        <v>22</v>
      </c>
      <c r="F567" s="9">
        <v>460</v>
      </c>
      <c r="G567" s="9">
        <v>436</v>
      </c>
      <c r="H567" s="9">
        <v>18</v>
      </c>
      <c r="I567" s="9">
        <f t="shared" si="72"/>
        <v>418</v>
      </c>
      <c r="J567" s="9">
        <v>44</v>
      </c>
      <c r="K567" s="10">
        <f t="shared" si="73"/>
        <v>9.166666666666666E-2</v>
      </c>
      <c r="L567" s="17">
        <v>100</v>
      </c>
      <c r="M567" s="17">
        <v>30800</v>
      </c>
      <c r="N567" s="17">
        <f t="shared" si="74"/>
        <v>41800</v>
      </c>
      <c r="O567" s="17">
        <f t="shared" si="75"/>
        <v>11000</v>
      </c>
      <c r="P567" s="10">
        <f t="shared" si="76"/>
        <v>0.94782608695652171</v>
      </c>
      <c r="Q567" s="10">
        <f t="shared" si="77"/>
        <v>4.1284403669724773E-2</v>
      </c>
      <c r="R567" s="10">
        <f t="shared" si="78"/>
        <v>0.26315789473684209</v>
      </c>
      <c r="S567" s="18">
        <f t="shared" si="79"/>
        <v>73.684210526315795</v>
      </c>
      <c r="T567" s="8">
        <f>480-ProductionData[[#This Row],[Downtime Minutes]]</f>
        <v>436</v>
      </c>
      <c r="U567" s="11">
        <f t="shared" si="80"/>
        <v>1</v>
      </c>
      <c r="V567" s="18">
        <f>ProductionData[[#This Row],[Profit]]/ProductionData[[#This Row],[Good Units]]</f>
        <v>26.315789473684209</v>
      </c>
      <c r="W567" s="11">
        <f>ProductionData[[#This Row],[Good Units]]/ProductionData[[#This Row],[Operating Minutes]]</f>
        <v>0.95871559633027525</v>
      </c>
    </row>
    <row r="568" spans="1:23">
      <c r="A568" s="7">
        <v>46266</v>
      </c>
      <c r="B568" s="8" t="s">
        <v>30</v>
      </c>
      <c r="C568" s="8" t="s">
        <v>28</v>
      </c>
      <c r="D568" s="8" t="s">
        <v>25</v>
      </c>
      <c r="E568" s="8" t="s">
        <v>24</v>
      </c>
      <c r="F568" s="9">
        <v>400</v>
      </c>
      <c r="G568" s="9">
        <v>357</v>
      </c>
      <c r="H568" s="9">
        <v>10</v>
      </c>
      <c r="I568" s="9">
        <f t="shared" si="72"/>
        <v>347</v>
      </c>
      <c r="J568" s="9">
        <v>29</v>
      </c>
      <c r="K568" s="10">
        <f t="shared" si="73"/>
        <v>6.0416666666666667E-2</v>
      </c>
      <c r="L568" s="17">
        <v>120</v>
      </c>
      <c r="M568" s="17">
        <v>30800</v>
      </c>
      <c r="N568" s="17">
        <f t="shared" si="74"/>
        <v>41640</v>
      </c>
      <c r="O568" s="17">
        <f t="shared" si="75"/>
        <v>10840</v>
      </c>
      <c r="P568" s="10">
        <f t="shared" si="76"/>
        <v>0.89249999999999996</v>
      </c>
      <c r="Q568" s="10">
        <f t="shared" si="77"/>
        <v>2.8011204481792718E-2</v>
      </c>
      <c r="R568" s="10">
        <f t="shared" si="78"/>
        <v>0.26032660902977905</v>
      </c>
      <c r="S568" s="18">
        <f t="shared" si="79"/>
        <v>88.760806916426517</v>
      </c>
      <c r="T568" s="8">
        <f>480-ProductionData[[#This Row],[Downtime Minutes]]</f>
        <v>451</v>
      </c>
      <c r="U568" s="11">
        <f t="shared" si="80"/>
        <v>0.79157427937915747</v>
      </c>
      <c r="V568" s="18">
        <f>ProductionData[[#This Row],[Profit]]/ProductionData[[#This Row],[Good Units]]</f>
        <v>31.239193083573486</v>
      </c>
      <c r="W568" s="11">
        <f>ProductionData[[#This Row],[Good Units]]/ProductionData[[#This Row],[Operating Minutes]]</f>
        <v>0.76940133037694014</v>
      </c>
    </row>
    <row r="569" spans="1:23">
      <c r="A569" s="7">
        <v>46267</v>
      </c>
      <c r="B569" s="8" t="s">
        <v>30</v>
      </c>
      <c r="C569" s="8" t="s">
        <v>20</v>
      </c>
      <c r="D569" s="8" t="s">
        <v>21</v>
      </c>
      <c r="E569" s="8" t="s">
        <v>24</v>
      </c>
      <c r="F569" s="9">
        <v>410</v>
      </c>
      <c r="G569" s="9">
        <v>384</v>
      </c>
      <c r="H569" s="9">
        <v>11</v>
      </c>
      <c r="I569" s="9">
        <f t="shared" si="72"/>
        <v>373</v>
      </c>
      <c r="J569" s="9">
        <v>37</v>
      </c>
      <c r="K569" s="10">
        <f t="shared" si="73"/>
        <v>7.7083333333333337E-2</v>
      </c>
      <c r="L569" s="17">
        <v>120</v>
      </c>
      <c r="M569" s="17">
        <v>30800</v>
      </c>
      <c r="N569" s="17">
        <f t="shared" si="74"/>
        <v>44760</v>
      </c>
      <c r="O569" s="17">
        <f t="shared" si="75"/>
        <v>13960</v>
      </c>
      <c r="P569" s="10">
        <f t="shared" si="76"/>
        <v>0.93658536585365859</v>
      </c>
      <c r="Q569" s="10">
        <f t="shared" si="77"/>
        <v>2.8645833333333332E-2</v>
      </c>
      <c r="R569" s="10">
        <f t="shared" si="78"/>
        <v>0.31188561215370869</v>
      </c>
      <c r="S569" s="18">
        <f t="shared" si="79"/>
        <v>82.573726541554961</v>
      </c>
      <c r="T569" s="8">
        <f>480-ProductionData[[#This Row],[Downtime Minutes]]</f>
        <v>443</v>
      </c>
      <c r="U569" s="11">
        <f t="shared" si="80"/>
        <v>0.86681715575620766</v>
      </c>
      <c r="V569" s="18">
        <f>ProductionData[[#This Row],[Profit]]/ProductionData[[#This Row],[Good Units]]</f>
        <v>37.426273458445039</v>
      </c>
      <c r="W569" s="11">
        <f>ProductionData[[#This Row],[Good Units]]/ProductionData[[#This Row],[Operating Minutes]]</f>
        <v>0.84198645598194133</v>
      </c>
    </row>
    <row r="570" spans="1:23">
      <c r="A570" s="7">
        <v>46267</v>
      </c>
      <c r="B570" s="8" t="s">
        <v>30</v>
      </c>
      <c r="C570" s="8" t="s">
        <v>20</v>
      </c>
      <c r="D570" s="8" t="s">
        <v>23</v>
      </c>
      <c r="E570" s="8" t="s">
        <v>26</v>
      </c>
      <c r="F570" s="9">
        <v>490</v>
      </c>
      <c r="G570" s="9">
        <v>466</v>
      </c>
      <c r="H570" s="9">
        <v>16</v>
      </c>
      <c r="I570" s="9">
        <f t="shared" si="72"/>
        <v>450</v>
      </c>
      <c r="J570" s="9">
        <v>38</v>
      </c>
      <c r="K570" s="10">
        <f t="shared" si="73"/>
        <v>7.9166666666666663E-2</v>
      </c>
      <c r="L570" s="17">
        <v>90</v>
      </c>
      <c r="M570" s="17">
        <v>30800</v>
      </c>
      <c r="N570" s="17">
        <f t="shared" si="74"/>
        <v>40500</v>
      </c>
      <c r="O570" s="17">
        <f t="shared" si="75"/>
        <v>9700</v>
      </c>
      <c r="P570" s="10">
        <f t="shared" si="76"/>
        <v>0.95102040816326527</v>
      </c>
      <c r="Q570" s="10">
        <f t="shared" si="77"/>
        <v>3.4334763948497854E-2</v>
      </c>
      <c r="R570" s="10">
        <f t="shared" si="78"/>
        <v>0.23950617283950618</v>
      </c>
      <c r="S570" s="18">
        <f t="shared" si="79"/>
        <v>68.444444444444443</v>
      </c>
      <c r="T570" s="8">
        <f>480-ProductionData[[#This Row],[Downtime Minutes]]</f>
        <v>442</v>
      </c>
      <c r="U570" s="11">
        <f t="shared" si="80"/>
        <v>1.0542986425339367</v>
      </c>
      <c r="V570" s="18">
        <f>ProductionData[[#This Row],[Profit]]/ProductionData[[#This Row],[Good Units]]</f>
        <v>21.555555555555557</v>
      </c>
      <c r="W570" s="11">
        <f>ProductionData[[#This Row],[Good Units]]/ProductionData[[#This Row],[Operating Minutes]]</f>
        <v>1.0180995475113122</v>
      </c>
    </row>
    <row r="571" spans="1:23">
      <c r="A571" s="7">
        <v>46267</v>
      </c>
      <c r="B571" s="8" t="s">
        <v>30</v>
      </c>
      <c r="C571" s="8" t="s">
        <v>20</v>
      </c>
      <c r="D571" s="8" t="s">
        <v>25</v>
      </c>
      <c r="E571" s="8" t="s">
        <v>22</v>
      </c>
      <c r="F571" s="9">
        <v>470</v>
      </c>
      <c r="G571" s="9">
        <v>420</v>
      </c>
      <c r="H571" s="9">
        <v>27</v>
      </c>
      <c r="I571" s="9">
        <f t="shared" si="72"/>
        <v>393</v>
      </c>
      <c r="J571" s="9">
        <v>39</v>
      </c>
      <c r="K571" s="10">
        <f t="shared" si="73"/>
        <v>8.1250000000000003E-2</v>
      </c>
      <c r="L571" s="17">
        <v>100</v>
      </c>
      <c r="M571" s="17">
        <v>30800</v>
      </c>
      <c r="N571" s="17">
        <f t="shared" si="74"/>
        <v>39300</v>
      </c>
      <c r="O571" s="17">
        <f t="shared" si="75"/>
        <v>8500</v>
      </c>
      <c r="P571" s="10">
        <f t="shared" si="76"/>
        <v>0.8936170212765957</v>
      </c>
      <c r="Q571" s="10">
        <f t="shared" si="77"/>
        <v>6.4285714285714279E-2</v>
      </c>
      <c r="R571" s="10">
        <f t="shared" si="78"/>
        <v>0.21628498727735368</v>
      </c>
      <c r="S571" s="18">
        <f t="shared" si="79"/>
        <v>78.371501272264638</v>
      </c>
      <c r="T571" s="8">
        <f>480-ProductionData[[#This Row],[Downtime Minutes]]</f>
        <v>441</v>
      </c>
      <c r="U571" s="11">
        <f t="shared" si="80"/>
        <v>0.95238095238095233</v>
      </c>
      <c r="V571" s="18">
        <f>ProductionData[[#This Row],[Profit]]/ProductionData[[#This Row],[Good Units]]</f>
        <v>21.628498727735369</v>
      </c>
      <c r="W571" s="11">
        <f>ProductionData[[#This Row],[Good Units]]/ProductionData[[#This Row],[Operating Minutes]]</f>
        <v>0.891156462585034</v>
      </c>
    </row>
    <row r="572" spans="1:23">
      <c r="A572" s="7">
        <v>46267</v>
      </c>
      <c r="B572" s="8" t="s">
        <v>30</v>
      </c>
      <c r="C572" s="8" t="s">
        <v>27</v>
      </c>
      <c r="D572" s="8" t="s">
        <v>21</v>
      </c>
      <c r="E572" s="8" t="s">
        <v>26</v>
      </c>
      <c r="F572" s="9">
        <v>520</v>
      </c>
      <c r="G572" s="9">
        <v>468</v>
      </c>
      <c r="H572" s="9">
        <v>27</v>
      </c>
      <c r="I572" s="9">
        <f t="shared" si="72"/>
        <v>441</v>
      </c>
      <c r="J572" s="9">
        <v>39</v>
      </c>
      <c r="K572" s="10">
        <f t="shared" si="73"/>
        <v>8.1250000000000003E-2</v>
      </c>
      <c r="L572" s="17">
        <v>90</v>
      </c>
      <c r="M572" s="17">
        <v>30800</v>
      </c>
      <c r="N572" s="17">
        <f t="shared" si="74"/>
        <v>39690</v>
      </c>
      <c r="O572" s="17">
        <f t="shared" si="75"/>
        <v>8890</v>
      </c>
      <c r="P572" s="10">
        <f t="shared" si="76"/>
        <v>0.9</v>
      </c>
      <c r="Q572" s="10">
        <f t="shared" si="77"/>
        <v>5.7692307692307696E-2</v>
      </c>
      <c r="R572" s="10">
        <f t="shared" si="78"/>
        <v>0.22398589065255731</v>
      </c>
      <c r="S572" s="18">
        <f t="shared" si="79"/>
        <v>69.841269841269835</v>
      </c>
      <c r="T572" s="8">
        <f>480-ProductionData[[#This Row],[Downtime Minutes]]</f>
        <v>441</v>
      </c>
      <c r="U572" s="11">
        <f t="shared" si="80"/>
        <v>1.0612244897959184</v>
      </c>
      <c r="V572" s="18">
        <f>ProductionData[[#This Row],[Profit]]/ProductionData[[#This Row],[Good Units]]</f>
        <v>20.158730158730158</v>
      </c>
      <c r="W572" s="11">
        <f>ProductionData[[#This Row],[Good Units]]/ProductionData[[#This Row],[Operating Minutes]]</f>
        <v>1</v>
      </c>
    </row>
    <row r="573" spans="1:23">
      <c r="A573" s="7">
        <v>46267</v>
      </c>
      <c r="B573" s="8" t="s">
        <v>30</v>
      </c>
      <c r="C573" s="8" t="s">
        <v>27</v>
      </c>
      <c r="D573" s="8" t="s">
        <v>23</v>
      </c>
      <c r="E573" s="8" t="s">
        <v>22</v>
      </c>
      <c r="F573" s="9">
        <v>440</v>
      </c>
      <c r="G573" s="9">
        <v>393</v>
      </c>
      <c r="H573" s="9">
        <v>25</v>
      </c>
      <c r="I573" s="9">
        <f t="shared" si="72"/>
        <v>368</v>
      </c>
      <c r="J573" s="9">
        <v>70</v>
      </c>
      <c r="K573" s="10">
        <f t="shared" si="73"/>
        <v>0.14583333333333334</v>
      </c>
      <c r="L573" s="17">
        <v>100</v>
      </c>
      <c r="M573" s="17">
        <v>30800</v>
      </c>
      <c r="N573" s="17">
        <f t="shared" si="74"/>
        <v>36800</v>
      </c>
      <c r="O573" s="17">
        <f t="shared" si="75"/>
        <v>6000</v>
      </c>
      <c r="P573" s="10">
        <f t="shared" si="76"/>
        <v>0.89318181818181819</v>
      </c>
      <c r="Q573" s="10">
        <f t="shared" si="77"/>
        <v>6.3613231552162849E-2</v>
      </c>
      <c r="R573" s="10">
        <f t="shared" si="78"/>
        <v>0.16304347826086957</v>
      </c>
      <c r="S573" s="18">
        <f t="shared" si="79"/>
        <v>83.695652173913047</v>
      </c>
      <c r="T573" s="8">
        <f>480-ProductionData[[#This Row],[Downtime Minutes]]</f>
        <v>410</v>
      </c>
      <c r="U573" s="11">
        <f t="shared" si="80"/>
        <v>0.95853658536585362</v>
      </c>
      <c r="V573" s="18">
        <f>ProductionData[[#This Row],[Profit]]/ProductionData[[#This Row],[Good Units]]</f>
        <v>16.304347826086957</v>
      </c>
      <c r="W573" s="11">
        <f>ProductionData[[#This Row],[Good Units]]/ProductionData[[#This Row],[Operating Minutes]]</f>
        <v>0.89756097560975612</v>
      </c>
    </row>
    <row r="574" spans="1:23">
      <c r="A574" s="7">
        <v>46267</v>
      </c>
      <c r="B574" s="8" t="s">
        <v>30</v>
      </c>
      <c r="C574" s="8" t="s">
        <v>27</v>
      </c>
      <c r="D574" s="8" t="s">
        <v>25</v>
      </c>
      <c r="E574" s="8" t="s">
        <v>24</v>
      </c>
      <c r="F574" s="9">
        <v>410</v>
      </c>
      <c r="G574" s="9">
        <v>352</v>
      </c>
      <c r="H574" s="9">
        <v>22</v>
      </c>
      <c r="I574" s="9">
        <f t="shared" si="72"/>
        <v>330</v>
      </c>
      <c r="J574" s="9">
        <v>64</v>
      </c>
      <c r="K574" s="10">
        <f t="shared" si="73"/>
        <v>0.13333333333333333</v>
      </c>
      <c r="L574" s="17">
        <v>120</v>
      </c>
      <c r="M574" s="17">
        <v>30800</v>
      </c>
      <c r="N574" s="17">
        <f t="shared" si="74"/>
        <v>39600</v>
      </c>
      <c r="O574" s="17">
        <f t="shared" si="75"/>
        <v>8800</v>
      </c>
      <c r="P574" s="10">
        <f t="shared" si="76"/>
        <v>0.85853658536585364</v>
      </c>
      <c r="Q574" s="10">
        <f t="shared" si="77"/>
        <v>6.25E-2</v>
      </c>
      <c r="R574" s="10">
        <f t="shared" si="78"/>
        <v>0.22222222222222221</v>
      </c>
      <c r="S574" s="18">
        <f t="shared" si="79"/>
        <v>93.333333333333329</v>
      </c>
      <c r="T574" s="8">
        <f>480-ProductionData[[#This Row],[Downtime Minutes]]</f>
        <v>416</v>
      </c>
      <c r="U574" s="11">
        <f t="shared" si="80"/>
        <v>0.84615384615384615</v>
      </c>
      <c r="V574" s="18">
        <f>ProductionData[[#This Row],[Profit]]/ProductionData[[#This Row],[Good Units]]</f>
        <v>26.666666666666668</v>
      </c>
      <c r="W574" s="11">
        <f>ProductionData[[#This Row],[Good Units]]/ProductionData[[#This Row],[Operating Minutes]]</f>
        <v>0.79326923076923073</v>
      </c>
    </row>
    <row r="575" spans="1:23">
      <c r="A575" s="7">
        <v>46267</v>
      </c>
      <c r="B575" s="8" t="s">
        <v>30</v>
      </c>
      <c r="C575" s="8" t="s">
        <v>28</v>
      </c>
      <c r="D575" s="8" t="s">
        <v>21</v>
      </c>
      <c r="E575" s="8" t="s">
        <v>22</v>
      </c>
      <c r="F575" s="9">
        <v>450</v>
      </c>
      <c r="G575" s="9">
        <v>422</v>
      </c>
      <c r="H575" s="9">
        <v>15</v>
      </c>
      <c r="I575" s="9">
        <f t="shared" si="72"/>
        <v>407</v>
      </c>
      <c r="J575" s="9">
        <v>29</v>
      </c>
      <c r="K575" s="10">
        <f t="shared" si="73"/>
        <v>6.0416666666666667E-2</v>
      </c>
      <c r="L575" s="17">
        <v>100</v>
      </c>
      <c r="M575" s="17">
        <v>30800</v>
      </c>
      <c r="N575" s="17">
        <f t="shared" si="74"/>
        <v>40700</v>
      </c>
      <c r="O575" s="17">
        <f t="shared" si="75"/>
        <v>9900</v>
      </c>
      <c r="P575" s="10">
        <f t="shared" si="76"/>
        <v>0.93777777777777782</v>
      </c>
      <c r="Q575" s="10">
        <f t="shared" si="77"/>
        <v>3.5545023696682464E-2</v>
      </c>
      <c r="R575" s="10">
        <f t="shared" si="78"/>
        <v>0.24324324324324326</v>
      </c>
      <c r="S575" s="18">
        <f t="shared" si="79"/>
        <v>75.675675675675677</v>
      </c>
      <c r="T575" s="8">
        <f>480-ProductionData[[#This Row],[Downtime Minutes]]</f>
        <v>451</v>
      </c>
      <c r="U575" s="11">
        <f t="shared" si="80"/>
        <v>0.93569844789356982</v>
      </c>
      <c r="V575" s="18">
        <f>ProductionData[[#This Row],[Profit]]/ProductionData[[#This Row],[Good Units]]</f>
        <v>24.324324324324323</v>
      </c>
      <c r="W575" s="11">
        <f>ProductionData[[#This Row],[Good Units]]/ProductionData[[#This Row],[Operating Minutes]]</f>
        <v>0.90243902439024393</v>
      </c>
    </row>
    <row r="576" spans="1:23">
      <c r="A576" s="7">
        <v>46267</v>
      </c>
      <c r="B576" s="8" t="s">
        <v>30</v>
      </c>
      <c r="C576" s="8" t="s">
        <v>28</v>
      </c>
      <c r="D576" s="8" t="s">
        <v>23</v>
      </c>
      <c r="E576" s="8" t="s">
        <v>24</v>
      </c>
      <c r="F576" s="9">
        <v>400</v>
      </c>
      <c r="G576" s="9">
        <v>386</v>
      </c>
      <c r="H576" s="9">
        <v>8</v>
      </c>
      <c r="I576" s="9">
        <f t="shared" si="72"/>
        <v>378</v>
      </c>
      <c r="J576" s="9">
        <v>33</v>
      </c>
      <c r="K576" s="10">
        <f t="shared" si="73"/>
        <v>6.8750000000000006E-2</v>
      </c>
      <c r="L576" s="17">
        <v>120</v>
      </c>
      <c r="M576" s="17">
        <v>30800</v>
      </c>
      <c r="N576" s="17">
        <f t="shared" si="74"/>
        <v>45360</v>
      </c>
      <c r="O576" s="17">
        <f t="shared" si="75"/>
        <v>14560</v>
      </c>
      <c r="P576" s="10">
        <f t="shared" si="76"/>
        <v>0.96499999999999997</v>
      </c>
      <c r="Q576" s="10">
        <f t="shared" si="77"/>
        <v>2.072538860103627E-2</v>
      </c>
      <c r="R576" s="10">
        <f t="shared" si="78"/>
        <v>0.32098765432098764</v>
      </c>
      <c r="S576" s="18">
        <f t="shared" si="79"/>
        <v>81.481481481481481</v>
      </c>
      <c r="T576" s="8">
        <f>480-ProductionData[[#This Row],[Downtime Minutes]]</f>
        <v>447</v>
      </c>
      <c r="U576" s="11">
        <f t="shared" si="80"/>
        <v>0.86353467561521258</v>
      </c>
      <c r="V576" s="18">
        <f>ProductionData[[#This Row],[Profit]]/ProductionData[[#This Row],[Good Units]]</f>
        <v>38.518518518518519</v>
      </c>
      <c r="W576" s="11">
        <f>ProductionData[[#This Row],[Good Units]]/ProductionData[[#This Row],[Operating Minutes]]</f>
        <v>0.84563758389261745</v>
      </c>
    </row>
    <row r="577" spans="1:23">
      <c r="A577" s="7">
        <v>46267</v>
      </c>
      <c r="B577" s="8" t="s">
        <v>30</v>
      </c>
      <c r="C577" s="8" t="s">
        <v>28</v>
      </c>
      <c r="D577" s="8" t="s">
        <v>25</v>
      </c>
      <c r="E577" s="8" t="s">
        <v>26</v>
      </c>
      <c r="F577" s="9">
        <v>510</v>
      </c>
      <c r="G577" s="9">
        <v>477</v>
      </c>
      <c r="H577" s="9">
        <v>18</v>
      </c>
      <c r="I577" s="9">
        <f t="shared" si="72"/>
        <v>459</v>
      </c>
      <c r="J577" s="9">
        <v>33</v>
      </c>
      <c r="K577" s="10">
        <f t="shared" si="73"/>
        <v>6.8750000000000006E-2</v>
      </c>
      <c r="L577" s="17">
        <v>90</v>
      </c>
      <c r="M577" s="17">
        <v>30800</v>
      </c>
      <c r="N577" s="17">
        <f t="shared" si="74"/>
        <v>41310</v>
      </c>
      <c r="O577" s="17">
        <f t="shared" si="75"/>
        <v>10510</v>
      </c>
      <c r="P577" s="10">
        <f t="shared" si="76"/>
        <v>0.93529411764705883</v>
      </c>
      <c r="Q577" s="10">
        <f t="shared" si="77"/>
        <v>3.7735849056603772E-2</v>
      </c>
      <c r="R577" s="10">
        <f t="shared" si="78"/>
        <v>0.25441781650931977</v>
      </c>
      <c r="S577" s="18">
        <f t="shared" si="79"/>
        <v>67.102396514161214</v>
      </c>
      <c r="T577" s="8">
        <f>480-ProductionData[[#This Row],[Downtime Minutes]]</f>
        <v>447</v>
      </c>
      <c r="U577" s="11">
        <f t="shared" si="80"/>
        <v>1.0671140939597314</v>
      </c>
      <c r="V577" s="18">
        <f>ProductionData[[#This Row],[Profit]]/ProductionData[[#This Row],[Good Units]]</f>
        <v>22.897603485838779</v>
      </c>
      <c r="W577" s="11">
        <f>ProductionData[[#This Row],[Good Units]]/ProductionData[[#This Row],[Operating Minutes]]</f>
        <v>1.0268456375838926</v>
      </c>
    </row>
    <row r="578" spans="1:23">
      <c r="A578" s="7">
        <v>46268</v>
      </c>
      <c r="B578" s="8" t="s">
        <v>30</v>
      </c>
      <c r="C578" s="8" t="s">
        <v>20</v>
      </c>
      <c r="D578" s="8" t="s">
        <v>21</v>
      </c>
      <c r="E578" s="8" t="s">
        <v>26</v>
      </c>
      <c r="F578" s="9">
        <v>500</v>
      </c>
      <c r="G578" s="9">
        <v>477</v>
      </c>
      <c r="H578" s="9">
        <v>18</v>
      </c>
      <c r="I578" s="9">
        <f t="shared" ref="I578:I641" si="81">G578-H578</f>
        <v>459</v>
      </c>
      <c r="J578" s="9">
        <v>15</v>
      </c>
      <c r="K578" s="10">
        <f t="shared" ref="K578:K641" si="82">J578/480</f>
        <v>3.125E-2</v>
      </c>
      <c r="L578" s="17">
        <v>90</v>
      </c>
      <c r="M578" s="17">
        <v>30800</v>
      </c>
      <c r="N578" s="17">
        <f t="shared" ref="N578:N641" si="83">I578*L578</f>
        <v>41310</v>
      </c>
      <c r="O578" s="17">
        <f t="shared" ref="O578:O641" si="84">N578-M578</f>
        <v>10510</v>
      </c>
      <c r="P578" s="10">
        <f t="shared" ref="P578:P641" si="85">G578/F578</f>
        <v>0.95399999999999996</v>
      </c>
      <c r="Q578" s="10">
        <f t="shared" ref="Q578:Q641" si="86">H578/G578</f>
        <v>3.7735849056603772E-2</v>
      </c>
      <c r="R578" s="10">
        <f t="shared" ref="R578:R641" si="87">O578/N578</f>
        <v>0.25441781650931977</v>
      </c>
      <c r="S578" s="18">
        <f t="shared" ref="S578:S641" si="88">M578/I578</f>
        <v>67.102396514161214</v>
      </c>
      <c r="T578" s="8">
        <f>480-ProductionData[[#This Row],[Downtime Minutes]]</f>
        <v>465</v>
      </c>
      <c r="U578" s="11">
        <f t="shared" ref="U578:U641" si="89">G578/T578</f>
        <v>1.0258064516129033</v>
      </c>
      <c r="V578" s="18">
        <f>ProductionData[[#This Row],[Profit]]/ProductionData[[#This Row],[Good Units]]</f>
        <v>22.897603485838779</v>
      </c>
      <c r="W578" s="11">
        <f>ProductionData[[#This Row],[Good Units]]/ProductionData[[#This Row],[Operating Minutes]]</f>
        <v>0.98709677419354835</v>
      </c>
    </row>
    <row r="579" spans="1:23">
      <c r="A579" s="7">
        <v>46268</v>
      </c>
      <c r="B579" s="8" t="s">
        <v>30</v>
      </c>
      <c r="C579" s="8" t="s">
        <v>20</v>
      </c>
      <c r="D579" s="8" t="s">
        <v>23</v>
      </c>
      <c r="E579" s="8" t="s">
        <v>22</v>
      </c>
      <c r="F579" s="9">
        <v>450</v>
      </c>
      <c r="G579" s="9">
        <v>421</v>
      </c>
      <c r="H579" s="9">
        <v>23</v>
      </c>
      <c r="I579" s="9">
        <f t="shared" si="81"/>
        <v>398</v>
      </c>
      <c r="J579" s="9">
        <v>47</v>
      </c>
      <c r="K579" s="10">
        <f t="shared" si="82"/>
        <v>9.7916666666666666E-2</v>
      </c>
      <c r="L579" s="17">
        <v>100</v>
      </c>
      <c r="M579" s="17">
        <v>30800</v>
      </c>
      <c r="N579" s="17">
        <f t="shared" si="83"/>
        <v>39800</v>
      </c>
      <c r="O579" s="17">
        <f t="shared" si="84"/>
        <v>9000</v>
      </c>
      <c r="P579" s="10">
        <f t="shared" si="85"/>
        <v>0.93555555555555558</v>
      </c>
      <c r="Q579" s="10">
        <f t="shared" si="86"/>
        <v>5.4631828978622329E-2</v>
      </c>
      <c r="R579" s="10">
        <f t="shared" si="87"/>
        <v>0.22613065326633167</v>
      </c>
      <c r="S579" s="18">
        <f t="shared" si="88"/>
        <v>77.386934673366838</v>
      </c>
      <c r="T579" s="8">
        <f>480-ProductionData[[#This Row],[Downtime Minutes]]</f>
        <v>433</v>
      </c>
      <c r="U579" s="11">
        <f t="shared" si="89"/>
        <v>0.97228637413394914</v>
      </c>
      <c r="V579" s="18">
        <f>ProductionData[[#This Row],[Profit]]/ProductionData[[#This Row],[Good Units]]</f>
        <v>22.613065326633166</v>
      </c>
      <c r="W579" s="11">
        <f>ProductionData[[#This Row],[Good Units]]/ProductionData[[#This Row],[Operating Minutes]]</f>
        <v>0.91916859122401851</v>
      </c>
    </row>
    <row r="580" spans="1:23">
      <c r="A580" s="7">
        <v>46268</v>
      </c>
      <c r="B580" s="8" t="s">
        <v>30</v>
      </c>
      <c r="C580" s="8" t="s">
        <v>20</v>
      </c>
      <c r="D580" s="8" t="s">
        <v>25</v>
      </c>
      <c r="E580" s="8" t="s">
        <v>24</v>
      </c>
      <c r="F580" s="9">
        <v>390</v>
      </c>
      <c r="G580" s="9">
        <v>347</v>
      </c>
      <c r="H580" s="9">
        <v>13</v>
      </c>
      <c r="I580" s="9">
        <f t="shared" si="81"/>
        <v>334</v>
      </c>
      <c r="J580" s="9">
        <v>39</v>
      </c>
      <c r="K580" s="10">
        <f t="shared" si="82"/>
        <v>8.1250000000000003E-2</v>
      </c>
      <c r="L580" s="17">
        <v>120</v>
      </c>
      <c r="M580" s="17">
        <v>30800</v>
      </c>
      <c r="N580" s="17">
        <f t="shared" si="83"/>
        <v>40080</v>
      </c>
      <c r="O580" s="17">
        <f t="shared" si="84"/>
        <v>9280</v>
      </c>
      <c r="P580" s="10">
        <f t="shared" si="85"/>
        <v>0.88974358974358969</v>
      </c>
      <c r="Q580" s="10">
        <f t="shared" si="86"/>
        <v>3.7463976945244955E-2</v>
      </c>
      <c r="R580" s="10">
        <f t="shared" si="87"/>
        <v>0.2315369261477046</v>
      </c>
      <c r="S580" s="18">
        <f t="shared" si="88"/>
        <v>92.215568862275447</v>
      </c>
      <c r="T580" s="8">
        <f>480-ProductionData[[#This Row],[Downtime Minutes]]</f>
        <v>441</v>
      </c>
      <c r="U580" s="11">
        <f t="shared" si="89"/>
        <v>0.78684807256235823</v>
      </c>
      <c r="V580" s="18">
        <f>ProductionData[[#This Row],[Profit]]/ProductionData[[#This Row],[Good Units]]</f>
        <v>27.78443113772455</v>
      </c>
      <c r="W580" s="11">
        <f>ProductionData[[#This Row],[Good Units]]/ProductionData[[#This Row],[Operating Minutes]]</f>
        <v>0.75736961451247165</v>
      </c>
    </row>
    <row r="581" spans="1:23">
      <c r="A581" s="7">
        <v>46268</v>
      </c>
      <c r="B581" s="8" t="s">
        <v>30</v>
      </c>
      <c r="C581" s="8" t="s">
        <v>27</v>
      </c>
      <c r="D581" s="8" t="s">
        <v>21</v>
      </c>
      <c r="E581" s="8" t="s">
        <v>22</v>
      </c>
      <c r="F581" s="9">
        <v>460</v>
      </c>
      <c r="G581" s="9">
        <v>402</v>
      </c>
      <c r="H581" s="9">
        <v>25</v>
      </c>
      <c r="I581" s="9">
        <f t="shared" si="81"/>
        <v>377</v>
      </c>
      <c r="J581" s="9">
        <v>59</v>
      </c>
      <c r="K581" s="10">
        <f t="shared" si="82"/>
        <v>0.12291666666666666</v>
      </c>
      <c r="L581" s="17">
        <v>100</v>
      </c>
      <c r="M581" s="17">
        <v>30800</v>
      </c>
      <c r="N581" s="17">
        <f t="shared" si="83"/>
        <v>37700</v>
      </c>
      <c r="O581" s="17">
        <f t="shared" si="84"/>
        <v>6900</v>
      </c>
      <c r="P581" s="10">
        <f t="shared" si="85"/>
        <v>0.87391304347826082</v>
      </c>
      <c r="Q581" s="10">
        <f t="shared" si="86"/>
        <v>6.2189054726368161E-2</v>
      </c>
      <c r="R581" s="10">
        <f t="shared" si="87"/>
        <v>0.1830238726790451</v>
      </c>
      <c r="S581" s="18">
        <f t="shared" si="88"/>
        <v>81.697612732095493</v>
      </c>
      <c r="T581" s="8">
        <f>480-ProductionData[[#This Row],[Downtime Minutes]]</f>
        <v>421</v>
      </c>
      <c r="U581" s="11">
        <f t="shared" si="89"/>
        <v>0.95486935866983369</v>
      </c>
      <c r="V581" s="18">
        <f>ProductionData[[#This Row],[Profit]]/ProductionData[[#This Row],[Good Units]]</f>
        <v>18.302387267904511</v>
      </c>
      <c r="W581" s="11">
        <f>ProductionData[[#This Row],[Good Units]]/ProductionData[[#This Row],[Operating Minutes]]</f>
        <v>0.89548693586698336</v>
      </c>
    </row>
    <row r="582" spans="1:23">
      <c r="A582" s="7">
        <v>46268</v>
      </c>
      <c r="B582" s="8" t="s">
        <v>30</v>
      </c>
      <c r="C582" s="8" t="s">
        <v>27</v>
      </c>
      <c r="D582" s="8" t="s">
        <v>23</v>
      </c>
      <c r="E582" s="8" t="s">
        <v>24</v>
      </c>
      <c r="F582" s="9">
        <v>410</v>
      </c>
      <c r="G582" s="9">
        <v>368</v>
      </c>
      <c r="H582" s="9">
        <v>20</v>
      </c>
      <c r="I582" s="9">
        <f t="shared" si="81"/>
        <v>348</v>
      </c>
      <c r="J582" s="9">
        <v>44</v>
      </c>
      <c r="K582" s="10">
        <f t="shared" si="82"/>
        <v>9.166666666666666E-2</v>
      </c>
      <c r="L582" s="17">
        <v>120</v>
      </c>
      <c r="M582" s="17">
        <v>30800</v>
      </c>
      <c r="N582" s="17">
        <f t="shared" si="83"/>
        <v>41760</v>
      </c>
      <c r="O582" s="17">
        <f t="shared" si="84"/>
        <v>10960</v>
      </c>
      <c r="P582" s="10">
        <f t="shared" si="85"/>
        <v>0.89756097560975612</v>
      </c>
      <c r="Q582" s="10">
        <f t="shared" si="86"/>
        <v>5.434782608695652E-2</v>
      </c>
      <c r="R582" s="10">
        <f t="shared" si="87"/>
        <v>0.26245210727969348</v>
      </c>
      <c r="S582" s="18">
        <f t="shared" si="88"/>
        <v>88.505747126436788</v>
      </c>
      <c r="T582" s="8">
        <f>480-ProductionData[[#This Row],[Downtime Minutes]]</f>
        <v>436</v>
      </c>
      <c r="U582" s="11">
        <f t="shared" si="89"/>
        <v>0.84403669724770647</v>
      </c>
      <c r="V582" s="18">
        <f>ProductionData[[#This Row],[Profit]]/ProductionData[[#This Row],[Good Units]]</f>
        <v>31.494252873563219</v>
      </c>
      <c r="W582" s="11">
        <f>ProductionData[[#This Row],[Good Units]]/ProductionData[[#This Row],[Operating Minutes]]</f>
        <v>0.79816513761467889</v>
      </c>
    </row>
    <row r="583" spans="1:23">
      <c r="A583" s="7">
        <v>46268</v>
      </c>
      <c r="B583" s="8" t="s">
        <v>30</v>
      </c>
      <c r="C583" s="8" t="s">
        <v>27</v>
      </c>
      <c r="D583" s="8" t="s">
        <v>25</v>
      </c>
      <c r="E583" s="8" t="s">
        <v>26</v>
      </c>
      <c r="F583" s="9">
        <v>510</v>
      </c>
      <c r="G583" s="9">
        <v>440</v>
      </c>
      <c r="H583" s="9">
        <v>24</v>
      </c>
      <c r="I583" s="9">
        <f t="shared" si="81"/>
        <v>416</v>
      </c>
      <c r="J583" s="9">
        <v>49</v>
      </c>
      <c r="K583" s="10">
        <f t="shared" si="82"/>
        <v>0.10208333333333333</v>
      </c>
      <c r="L583" s="17">
        <v>90</v>
      </c>
      <c r="M583" s="17">
        <v>30800</v>
      </c>
      <c r="N583" s="17">
        <f t="shared" si="83"/>
        <v>37440</v>
      </c>
      <c r="O583" s="17">
        <f t="shared" si="84"/>
        <v>6640</v>
      </c>
      <c r="P583" s="10">
        <f t="shared" si="85"/>
        <v>0.86274509803921573</v>
      </c>
      <c r="Q583" s="10">
        <f t="shared" si="86"/>
        <v>5.4545454545454543E-2</v>
      </c>
      <c r="R583" s="10">
        <f t="shared" si="87"/>
        <v>0.17735042735042736</v>
      </c>
      <c r="S583" s="18">
        <f t="shared" si="88"/>
        <v>74.038461538461533</v>
      </c>
      <c r="T583" s="8">
        <f>480-ProductionData[[#This Row],[Downtime Minutes]]</f>
        <v>431</v>
      </c>
      <c r="U583" s="11">
        <f t="shared" si="89"/>
        <v>1.0208816705336428</v>
      </c>
      <c r="V583" s="18">
        <f>ProductionData[[#This Row],[Profit]]/ProductionData[[#This Row],[Good Units]]</f>
        <v>15.961538461538462</v>
      </c>
      <c r="W583" s="11">
        <f>ProductionData[[#This Row],[Good Units]]/ProductionData[[#This Row],[Operating Minutes]]</f>
        <v>0.96519721577726214</v>
      </c>
    </row>
    <row r="584" spans="1:23">
      <c r="A584" s="7">
        <v>46268</v>
      </c>
      <c r="B584" s="8" t="s">
        <v>30</v>
      </c>
      <c r="C584" s="8" t="s">
        <v>28</v>
      </c>
      <c r="D584" s="8" t="s">
        <v>21</v>
      </c>
      <c r="E584" s="8" t="s">
        <v>24</v>
      </c>
      <c r="F584" s="9">
        <v>400</v>
      </c>
      <c r="G584" s="9">
        <v>393</v>
      </c>
      <c r="H584" s="9">
        <v>8</v>
      </c>
      <c r="I584" s="9">
        <f t="shared" si="81"/>
        <v>385</v>
      </c>
      <c r="J584" s="9">
        <v>32</v>
      </c>
      <c r="K584" s="10">
        <f t="shared" si="82"/>
        <v>6.6666666666666666E-2</v>
      </c>
      <c r="L584" s="17">
        <v>120</v>
      </c>
      <c r="M584" s="17">
        <v>30800</v>
      </c>
      <c r="N584" s="17">
        <f t="shared" si="83"/>
        <v>46200</v>
      </c>
      <c r="O584" s="17">
        <f t="shared" si="84"/>
        <v>15400</v>
      </c>
      <c r="P584" s="10">
        <f t="shared" si="85"/>
        <v>0.98250000000000004</v>
      </c>
      <c r="Q584" s="10">
        <f t="shared" si="86"/>
        <v>2.0356234096692113E-2</v>
      </c>
      <c r="R584" s="10">
        <f t="shared" si="87"/>
        <v>0.33333333333333331</v>
      </c>
      <c r="S584" s="18">
        <f t="shared" si="88"/>
        <v>80</v>
      </c>
      <c r="T584" s="8">
        <f>480-ProductionData[[#This Row],[Downtime Minutes]]</f>
        <v>448</v>
      </c>
      <c r="U584" s="11">
        <f t="shared" si="89"/>
        <v>0.8772321428571429</v>
      </c>
      <c r="V584" s="18">
        <f>ProductionData[[#This Row],[Profit]]/ProductionData[[#This Row],[Good Units]]</f>
        <v>40</v>
      </c>
      <c r="W584" s="11">
        <f>ProductionData[[#This Row],[Good Units]]/ProductionData[[#This Row],[Operating Minutes]]</f>
        <v>0.859375</v>
      </c>
    </row>
    <row r="585" spans="1:23">
      <c r="A585" s="7">
        <v>46268</v>
      </c>
      <c r="B585" s="8" t="s">
        <v>30</v>
      </c>
      <c r="C585" s="8" t="s">
        <v>28</v>
      </c>
      <c r="D585" s="8" t="s">
        <v>23</v>
      </c>
      <c r="E585" s="8" t="s">
        <v>26</v>
      </c>
      <c r="F585" s="9">
        <v>520</v>
      </c>
      <c r="G585" s="9">
        <v>484</v>
      </c>
      <c r="H585" s="9">
        <v>18</v>
      </c>
      <c r="I585" s="9">
        <f t="shared" si="81"/>
        <v>466</v>
      </c>
      <c r="J585" s="9">
        <v>20</v>
      </c>
      <c r="K585" s="10">
        <f t="shared" si="82"/>
        <v>4.1666666666666664E-2</v>
      </c>
      <c r="L585" s="17">
        <v>90</v>
      </c>
      <c r="M585" s="17">
        <v>30800</v>
      </c>
      <c r="N585" s="17">
        <f t="shared" si="83"/>
        <v>41940</v>
      </c>
      <c r="O585" s="17">
        <f t="shared" si="84"/>
        <v>11140</v>
      </c>
      <c r="P585" s="10">
        <f t="shared" si="85"/>
        <v>0.93076923076923079</v>
      </c>
      <c r="Q585" s="10">
        <f t="shared" si="86"/>
        <v>3.71900826446281E-2</v>
      </c>
      <c r="R585" s="10">
        <f t="shared" si="87"/>
        <v>0.26561754887935146</v>
      </c>
      <c r="S585" s="18">
        <f t="shared" si="88"/>
        <v>66.094420600858371</v>
      </c>
      <c r="T585" s="8">
        <f>480-ProductionData[[#This Row],[Downtime Minutes]]</f>
        <v>460</v>
      </c>
      <c r="U585" s="11">
        <f t="shared" si="89"/>
        <v>1.0521739130434782</v>
      </c>
      <c r="V585" s="18">
        <f>ProductionData[[#This Row],[Profit]]/ProductionData[[#This Row],[Good Units]]</f>
        <v>23.905579399141629</v>
      </c>
      <c r="W585" s="11">
        <f>ProductionData[[#This Row],[Good Units]]/ProductionData[[#This Row],[Operating Minutes]]</f>
        <v>1.0130434782608695</v>
      </c>
    </row>
    <row r="586" spans="1:23">
      <c r="A586" s="7">
        <v>46268</v>
      </c>
      <c r="B586" s="8" t="s">
        <v>30</v>
      </c>
      <c r="C586" s="8" t="s">
        <v>28</v>
      </c>
      <c r="D586" s="8" t="s">
        <v>25</v>
      </c>
      <c r="E586" s="8" t="s">
        <v>22</v>
      </c>
      <c r="F586" s="9">
        <v>460</v>
      </c>
      <c r="G586" s="9">
        <v>413</v>
      </c>
      <c r="H586" s="9">
        <v>20</v>
      </c>
      <c r="I586" s="9">
        <f t="shared" si="81"/>
        <v>393</v>
      </c>
      <c r="J586" s="9">
        <v>48</v>
      </c>
      <c r="K586" s="10">
        <f t="shared" si="82"/>
        <v>0.1</v>
      </c>
      <c r="L586" s="17">
        <v>100</v>
      </c>
      <c r="M586" s="17">
        <v>30800</v>
      </c>
      <c r="N586" s="17">
        <f t="shared" si="83"/>
        <v>39300</v>
      </c>
      <c r="O586" s="17">
        <f t="shared" si="84"/>
        <v>8500</v>
      </c>
      <c r="P586" s="10">
        <f t="shared" si="85"/>
        <v>0.89782608695652177</v>
      </c>
      <c r="Q586" s="10">
        <f t="shared" si="86"/>
        <v>4.8426150121065374E-2</v>
      </c>
      <c r="R586" s="10">
        <f t="shared" si="87"/>
        <v>0.21628498727735368</v>
      </c>
      <c r="S586" s="18">
        <f t="shared" si="88"/>
        <v>78.371501272264638</v>
      </c>
      <c r="T586" s="8">
        <f>480-ProductionData[[#This Row],[Downtime Minutes]]</f>
        <v>432</v>
      </c>
      <c r="U586" s="11">
        <f t="shared" si="89"/>
        <v>0.95601851851851849</v>
      </c>
      <c r="V586" s="18">
        <f>ProductionData[[#This Row],[Profit]]/ProductionData[[#This Row],[Good Units]]</f>
        <v>21.628498727735369</v>
      </c>
      <c r="W586" s="11">
        <f>ProductionData[[#This Row],[Good Units]]/ProductionData[[#This Row],[Operating Minutes]]</f>
        <v>0.90972222222222221</v>
      </c>
    </row>
    <row r="587" spans="1:23">
      <c r="A587" s="7">
        <v>46269</v>
      </c>
      <c r="B587" s="8" t="s">
        <v>30</v>
      </c>
      <c r="C587" s="8" t="s">
        <v>20</v>
      </c>
      <c r="D587" s="8" t="s">
        <v>21</v>
      </c>
      <c r="E587" s="8" t="s">
        <v>22</v>
      </c>
      <c r="F587" s="9">
        <v>430</v>
      </c>
      <c r="G587" s="9">
        <v>405</v>
      </c>
      <c r="H587" s="9">
        <v>19</v>
      </c>
      <c r="I587" s="9">
        <f t="shared" si="81"/>
        <v>386</v>
      </c>
      <c r="J587" s="9">
        <v>47</v>
      </c>
      <c r="K587" s="10">
        <f t="shared" si="82"/>
        <v>9.7916666666666666E-2</v>
      </c>
      <c r="L587" s="17">
        <v>100</v>
      </c>
      <c r="M587" s="17">
        <v>30800</v>
      </c>
      <c r="N587" s="17">
        <f t="shared" si="83"/>
        <v>38600</v>
      </c>
      <c r="O587" s="17">
        <f t="shared" si="84"/>
        <v>7800</v>
      </c>
      <c r="P587" s="10">
        <f t="shared" si="85"/>
        <v>0.94186046511627908</v>
      </c>
      <c r="Q587" s="10">
        <f t="shared" si="86"/>
        <v>4.6913580246913583E-2</v>
      </c>
      <c r="R587" s="10">
        <f t="shared" si="87"/>
        <v>0.20207253886010362</v>
      </c>
      <c r="S587" s="18">
        <f t="shared" si="88"/>
        <v>79.792746113989637</v>
      </c>
      <c r="T587" s="8">
        <f>480-ProductionData[[#This Row],[Downtime Minutes]]</f>
        <v>433</v>
      </c>
      <c r="U587" s="11">
        <f t="shared" si="89"/>
        <v>0.9353348729792148</v>
      </c>
      <c r="V587" s="18">
        <f>ProductionData[[#This Row],[Profit]]/ProductionData[[#This Row],[Good Units]]</f>
        <v>20.207253886010363</v>
      </c>
      <c r="W587" s="11">
        <f>ProductionData[[#This Row],[Good Units]]/ProductionData[[#This Row],[Operating Minutes]]</f>
        <v>0.89145496535796764</v>
      </c>
    </row>
    <row r="588" spans="1:23">
      <c r="A588" s="7">
        <v>46269</v>
      </c>
      <c r="B588" s="8" t="s">
        <v>30</v>
      </c>
      <c r="C588" s="8" t="s">
        <v>20</v>
      </c>
      <c r="D588" s="8" t="s">
        <v>23</v>
      </c>
      <c r="E588" s="8" t="s">
        <v>24</v>
      </c>
      <c r="F588" s="9">
        <v>400</v>
      </c>
      <c r="G588" s="9">
        <v>360</v>
      </c>
      <c r="H588" s="9">
        <v>10</v>
      </c>
      <c r="I588" s="9">
        <f t="shared" si="81"/>
        <v>350</v>
      </c>
      <c r="J588" s="9">
        <v>31</v>
      </c>
      <c r="K588" s="10">
        <f t="shared" si="82"/>
        <v>6.458333333333334E-2</v>
      </c>
      <c r="L588" s="17">
        <v>120</v>
      </c>
      <c r="M588" s="17">
        <v>30800</v>
      </c>
      <c r="N588" s="17">
        <f t="shared" si="83"/>
        <v>42000</v>
      </c>
      <c r="O588" s="17">
        <f t="shared" si="84"/>
        <v>11200</v>
      </c>
      <c r="P588" s="10">
        <f t="shared" si="85"/>
        <v>0.9</v>
      </c>
      <c r="Q588" s="10">
        <f t="shared" si="86"/>
        <v>2.7777777777777776E-2</v>
      </c>
      <c r="R588" s="10">
        <f t="shared" si="87"/>
        <v>0.26666666666666666</v>
      </c>
      <c r="S588" s="18">
        <f t="shared" si="88"/>
        <v>88</v>
      </c>
      <c r="T588" s="8">
        <f>480-ProductionData[[#This Row],[Downtime Minutes]]</f>
        <v>449</v>
      </c>
      <c r="U588" s="11">
        <f t="shared" si="89"/>
        <v>0.80178173719376389</v>
      </c>
      <c r="V588" s="18">
        <f>ProductionData[[#This Row],[Profit]]/ProductionData[[#This Row],[Good Units]]</f>
        <v>32</v>
      </c>
      <c r="W588" s="11">
        <f>ProductionData[[#This Row],[Good Units]]/ProductionData[[#This Row],[Operating Minutes]]</f>
        <v>0.77951002227171495</v>
      </c>
    </row>
    <row r="589" spans="1:23">
      <c r="A589" s="7">
        <v>46269</v>
      </c>
      <c r="B589" s="8" t="s">
        <v>30</v>
      </c>
      <c r="C589" s="8" t="s">
        <v>20</v>
      </c>
      <c r="D589" s="8" t="s">
        <v>25</v>
      </c>
      <c r="E589" s="8" t="s">
        <v>26</v>
      </c>
      <c r="F589" s="9">
        <v>480</v>
      </c>
      <c r="G589" s="9">
        <v>432</v>
      </c>
      <c r="H589" s="9">
        <v>20</v>
      </c>
      <c r="I589" s="9">
        <f t="shared" si="81"/>
        <v>412</v>
      </c>
      <c r="J589" s="9">
        <v>40</v>
      </c>
      <c r="K589" s="10">
        <f t="shared" si="82"/>
        <v>8.3333333333333329E-2</v>
      </c>
      <c r="L589" s="17">
        <v>90</v>
      </c>
      <c r="M589" s="17">
        <v>30800</v>
      </c>
      <c r="N589" s="17">
        <f t="shared" si="83"/>
        <v>37080</v>
      </c>
      <c r="O589" s="17">
        <f t="shared" si="84"/>
        <v>6280</v>
      </c>
      <c r="P589" s="10">
        <f t="shared" si="85"/>
        <v>0.9</v>
      </c>
      <c r="Q589" s="10">
        <f t="shared" si="86"/>
        <v>4.6296296296296294E-2</v>
      </c>
      <c r="R589" s="10">
        <f t="shared" si="87"/>
        <v>0.16936353829557713</v>
      </c>
      <c r="S589" s="18">
        <f t="shared" si="88"/>
        <v>74.757281553398059</v>
      </c>
      <c r="T589" s="8">
        <f>480-ProductionData[[#This Row],[Downtime Minutes]]</f>
        <v>440</v>
      </c>
      <c r="U589" s="11">
        <f t="shared" si="89"/>
        <v>0.98181818181818181</v>
      </c>
      <c r="V589" s="18">
        <f>ProductionData[[#This Row],[Profit]]/ProductionData[[#This Row],[Good Units]]</f>
        <v>15.242718446601941</v>
      </c>
      <c r="W589" s="11">
        <f>ProductionData[[#This Row],[Good Units]]/ProductionData[[#This Row],[Operating Minutes]]</f>
        <v>0.9363636363636364</v>
      </c>
    </row>
    <row r="590" spans="1:23">
      <c r="A590" s="7">
        <v>46269</v>
      </c>
      <c r="B590" s="8" t="s">
        <v>30</v>
      </c>
      <c r="C590" s="8" t="s">
        <v>27</v>
      </c>
      <c r="D590" s="8" t="s">
        <v>21</v>
      </c>
      <c r="E590" s="8" t="s">
        <v>24</v>
      </c>
      <c r="F590" s="9">
        <v>380</v>
      </c>
      <c r="G590" s="9">
        <v>332</v>
      </c>
      <c r="H590" s="9">
        <v>13</v>
      </c>
      <c r="I590" s="9">
        <f t="shared" si="81"/>
        <v>319</v>
      </c>
      <c r="J590" s="9">
        <v>49</v>
      </c>
      <c r="K590" s="10">
        <f t="shared" si="82"/>
        <v>0.10208333333333333</v>
      </c>
      <c r="L590" s="17">
        <v>120</v>
      </c>
      <c r="M590" s="17">
        <v>30800</v>
      </c>
      <c r="N590" s="17">
        <f t="shared" si="83"/>
        <v>38280</v>
      </c>
      <c r="O590" s="17">
        <f t="shared" si="84"/>
        <v>7480</v>
      </c>
      <c r="P590" s="10">
        <f t="shared" si="85"/>
        <v>0.87368421052631584</v>
      </c>
      <c r="Q590" s="10">
        <f t="shared" si="86"/>
        <v>3.9156626506024098E-2</v>
      </c>
      <c r="R590" s="10">
        <f t="shared" si="87"/>
        <v>0.19540229885057472</v>
      </c>
      <c r="S590" s="18">
        <f t="shared" si="88"/>
        <v>96.551724137931032</v>
      </c>
      <c r="T590" s="8">
        <f>480-ProductionData[[#This Row],[Downtime Minutes]]</f>
        <v>431</v>
      </c>
      <c r="U590" s="11">
        <f t="shared" si="89"/>
        <v>0.77030162412993042</v>
      </c>
      <c r="V590" s="18">
        <f>ProductionData[[#This Row],[Profit]]/ProductionData[[#This Row],[Good Units]]</f>
        <v>23.448275862068964</v>
      </c>
      <c r="W590" s="11">
        <f>ProductionData[[#This Row],[Good Units]]/ProductionData[[#This Row],[Operating Minutes]]</f>
        <v>0.74013921113689096</v>
      </c>
    </row>
    <row r="591" spans="1:23">
      <c r="A591" s="7">
        <v>46269</v>
      </c>
      <c r="B591" s="8" t="s">
        <v>30</v>
      </c>
      <c r="C591" s="8" t="s">
        <v>27</v>
      </c>
      <c r="D591" s="8" t="s">
        <v>23</v>
      </c>
      <c r="E591" s="8" t="s">
        <v>26</v>
      </c>
      <c r="F591" s="9">
        <v>500</v>
      </c>
      <c r="G591" s="9">
        <v>429</v>
      </c>
      <c r="H591" s="9">
        <v>21</v>
      </c>
      <c r="I591" s="9">
        <f t="shared" si="81"/>
        <v>408</v>
      </c>
      <c r="J591" s="9">
        <v>41</v>
      </c>
      <c r="K591" s="10">
        <f t="shared" si="82"/>
        <v>8.5416666666666669E-2</v>
      </c>
      <c r="L591" s="17">
        <v>90</v>
      </c>
      <c r="M591" s="17">
        <v>30800</v>
      </c>
      <c r="N591" s="17">
        <f t="shared" si="83"/>
        <v>36720</v>
      </c>
      <c r="O591" s="17">
        <f t="shared" si="84"/>
        <v>5920</v>
      </c>
      <c r="P591" s="10">
        <f t="shared" si="85"/>
        <v>0.85799999999999998</v>
      </c>
      <c r="Q591" s="10">
        <f t="shared" si="86"/>
        <v>4.8951048951048952E-2</v>
      </c>
      <c r="R591" s="10">
        <f t="shared" si="87"/>
        <v>0.16122004357298475</v>
      </c>
      <c r="S591" s="18">
        <f t="shared" si="88"/>
        <v>75.490196078431367</v>
      </c>
      <c r="T591" s="8">
        <f>480-ProductionData[[#This Row],[Downtime Minutes]]</f>
        <v>439</v>
      </c>
      <c r="U591" s="11">
        <f t="shared" si="89"/>
        <v>0.97722095671981779</v>
      </c>
      <c r="V591" s="18">
        <f>ProductionData[[#This Row],[Profit]]/ProductionData[[#This Row],[Good Units]]</f>
        <v>14.509803921568627</v>
      </c>
      <c r="W591" s="11">
        <f>ProductionData[[#This Row],[Good Units]]/ProductionData[[#This Row],[Operating Minutes]]</f>
        <v>0.92938496583143504</v>
      </c>
    </row>
    <row r="592" spans="1:23">
      <c r="A592" s="7">
        <v>46269</v>
      </c>
      <c r="B592" s="8" t="s">
        <v>30</v>
      </c>
      <c r="C592" s="8" t="s">
        <v>27</v>
      </c>
      <c r="D592" s="8" t="s">
        <v>25</v>
      </c>
      <c r="E592" s="8" t="s">
        <v>22</v>
      </c>
      <c r="F592" s="9">
        <v>440</v>
      </c>
      <c r="G592" s="9">
        <v>381</v>
      </c>
      <c r="H592" s="9">
        <v>26</v>
      </c>
      <c r="I592" s="9">
        <f t="shared" si="81"/>
        <v>355</v>
      </c>
      <c r="J592" s="9">
        <v>78</v>
      </c>
      <c r="K592" s="10">
        <f t="shared" si="82"/>
        <v>0.16250000000000001</v>
      </c>
      <c r="L592" s="17">
        <v>100</v>
      </c>
      <c r="M592" s="17">
        <v>30800</v>
      </c>
      <c r="N592" s="17">
        <f t="shared" si="83"/>
        <v>35500</v>
      </c>
      <c r="O592" s="17">
        <f t="shared" si="84"/>
        <v>4700</v>
      </c>
      <c r="P592" s="10">
        <f t="shared" si="85"/>
        <v>0.86590909090909096</v>
      </c>
      <c r="Q592" s="10">
        <f t="shared" si="86"/>
        <v>6.8241469816272965E-2</v>
      </c>
      <c r="R592" s="10">
        <f t="shared" si="87"/>
        <v>0.13239436619718309</v>
      </c>
      <c r="S592" s="18">
        <f t="shared" si="88"/>
        <v>86.760563380281695</v>
      </c>
      <c r="T592" s="8">
        <f>480-ProductionData[[#This Row],[Downtime Minutes]]</f>
        <v>402</v>
      </c>
      <c r="U592" s="11">
        <f t="shared" si="89"/>
        <v>0.94776119402985071</v>
      </c>
      <c r="V592" s="18">
        <f>ProductionData[[#This Row],[Profit]]/ProductionData[[#This Row],[Good Units]]</f>
        <v>13.23943661971831</v>
      </c>
      <c r="W592" s="11">
        <f>ProductionData[[#This Row],[Good Units]]/ProductionData[[#This Row],[Operating Minutes]]</f>
        <v>0.88308457711442789</v>
      </c>
    </row>
    <row r="593" spans="1:23">
      <c r="A593" s="7">
        <v>46269</v>
      </c>
      <c r="B593" s="8" t="s">
        <v>30</v>
      </c>
      <c r="C593" s="8" t="s">
        <v>28</v>
      </c>
      <c r="D593" s="8" t="s">
        <v>21</v>
      </c>
      <c r="E593" s="8" t="s">
        <v>26</v>
      </c>
      <c r="F593" s="9">
        <v>510</v>
      </c>
      <c r="G593" s="9">
        <v>492</v>
      </c>
      <c r="H593" s="9">
        <v>9</v>
      </c>
      <c r="I593" s="9">
        <f t="shared" si="81"/>
        <v>483</v>
      </c>
      <c r="J593" s="9">
        <v>23</v>
      </c>
      <c r="K593" s="10">
        <f t="shared" si="82"/>
        <v>4.791666666666667E-2</v>
      </c>
      <c r="L593" s="17">
        <v>90</v>
      </c>
      <c r="M593" s="17">
        <v>30800</v>
      </c>
      <c r="N593" s="17">
        <f t="shared" si="83"/>
        <v>43470</v>
      </c>
      <c r="O593" s="17">
        <f t="shared" si="84"/>
        <v>12670</v>
      </c>
      <c r="P593" s="10">
        <f t="shared" si="85"/>
        <v>0.96470588235294119</v>
      </c>
      <c r="Q593" s="10">
        <f t="shared" si="86"/>
        <v>1.8292682926829267E-2</v>
      </c>
      <c r="R593" s="10">
        <f t="shared" si="87"/>
        <v>0.29146537842190018</v>
      </c>
      <c r="S593" s="18">
        <f t="shared" si="88"/>
        <v>63.768115942028984</v>
      </c>
      <c r="T593" s="8">
        <f>480-ProductionData[[#This Row],[Downtime Minutes]]</f>
        <v>457</v>
      </c>
      <c r="U593" s="11">
        <f t="shared" si="89"/>
        <v>1.0765864332603938</v>
      </c>
      <c r="V593" s="18">
        <f>ProductionData[[#This Row],[Profit]]/ProductionData[[#This Row],[Good Units]]</f>
        <v>26.231884057971016</v>
      </c>
      <c r="W593" s="11">
        <f>ProductionData[[#This Row],[Good Units]]/ProductionData[[#This Row],[Operating Minutes]]</f>
        <v>1.0568927789934355</v>
      </c>
    </row>
    <row r="594" spans="1:23">
      <c r="A594" s="7">
        <v>46269</v>
      </c>
      <c r="B594" s="8" t="s">
        <v>30</v>
      </c>
      <c r="C594" s="8" t="s">
        <v>28</v>
      </c>
      <c r="D594" s="8" t="s">
        <v>23</v>
      </c>
      <c r="E594" s="8" t="s">
        <v>22</v>
      </c>
      <c r="F594" s="9">
        <v>450</v>
      </c>
      <c r="G594" s="9">
        <v>416</v>
      </c>
      <c r="H594" s="9">
        <v>17</v>
      </c>
      <c r="I594" s="9">
        <f t="shared" si="81"/>
        <v>399</v>
      </c>
      <c r="J594" s="9">
        <v>28</v>
      </c>
      <c r="K594" s="10">
        <f t="shared" si="82"/>
        <v>5.8333333333333334E-2</v>
      </c>
      <c r="L594" s="17">
        <v>100</v>
      </c>
      <c r="M594" s="17">
        <v>30800</v>
      </c>
      <c r="N594" s="17">
        <f t="shared" si="83"/>
        <v>39900</v>
      </c>
      <c r="O594" s="17">
        <f t="shared" si="84"/>
        <v>9100</v>
      </c>
      <c r="P594" s="10">
        <f t="shared" si="85"/>
        <v>0.9244444444444444</v>
      </c>
      <c r="Q594" s="10">
        <f t="shared" si="86"/>
        <v>4.0865384615384616E-2</v>
      </c>
      <c r="R594" s="10">
        <f t="shared" si="87"/>
        <v>0.22807017543859648</v>
      </c>
      <c r="S594" s="18">
        <f t="shared" si="88"/>
        <v>77.192982456140356</v>
      </c>
      <c r="T594" s="8">
        <f>480-ProductionData[[#This Row],[Downtime Minutes]]</f>
        <v>452</v>
      </c>
      <c r="U594" s="11">
        <f t="shared" si="89"/>
        <v>0.92035398230088494</v>
      </c>
      <c r="V594" s="18">
        <f>ProductionData[[#This Row],[Profit]]/ProductionData[[#This Row],[Good Units]]</f>
        <v>22.807017543859651</v>
      </c>
      <c r="W594" s="11">
        <f>ProductionData[[#This Row],[Good Units]]/ProductionData[[#This Row],[Operating Minutes]]</f>
        <v>0.88274336283185839</v>
      </c>
    </row>
    <row r="595" spans="1:23">
      <c r="A595" s="7">
        <v>46269</v>
      </c>
      <c r="B595" s="8" t="s">
        <v>30</v>
      </c>
      <c r="C595" s="8" t="s">
        <v>28</v>
      </c>
      <c r="D595" s="8" t="s">
        <v>25</v>
      </c>
      <c r="E595" s="8" t="s">
        <v>24</v>
      </c>
      <c r="F595" s="9">
        <v>410</v>
      </c>
      <c r="G595" s="9">
        <v>385</v>
      </c>
      <c r="H595" s="9">
        <v>14</v>
      </c>
      <c r="I595" s="9">
        <f t="shared" si="81"/>
        <v>371</v>
      </c>
      <c r="J595" s="9">
        <v>37</v>
      </c>
      <c r="K595" s="10">
        <f t="shared" si="82"/>
        <v>7.7083333333333337E-2</v>
      </c>
      <c r="L595" s="17">
        <v>120</v>
      </c>
      <c r="M595" s="17">
        <v>30800</v>
      </c>
      <c r="N595" s="17">
        <f t="shared" si="83"/>
        <v>44520</v>
      </c>
      <c r="O595" s="17">
        <f t="shared" si="84"/>
        <v>13720</v>
      </c>
      <c r="P595" s="10">
        <f t="shared" si="85"/>
        <v>0.93902439024390238</v>
      </c>
      <c r="Q595" s="10">
        <f t="shared" si="86"/>
        <v>3.6363636363636362E-2</v>
      </c>
      <c r="R595" s="10">
        <f t="shared" si="87"/>
        <v>0.3081761006289308</v>
      </c>
      <c r="S595" s="18">
        <f t="shared" si="88"/>
        <v>83.018867924528308</v>
      </c>
      <c r="T595" s="8">
        <f>480-ProductionData[[#This Row],[Downtime Minutes]]</f>
        <v>443</v>
      </c>
      <c r="U595" s="11">
        <f t="shared" si="89"/>
        <v>0.86907449209932275</v>
      </c>
      <c r="V595" s="18">
        <f>ProductionData[[#This Row],[Profit]]/ProductionData[[#This Row],[Good Units]]</f>
        <v>36.981132075471699</v>
      </c>
      <c r="W595" s="11">
        <f>ProductionData[[#This Row],[Good Units]]/ProductionData[[#This Row],[Operating Minutes]]</f>
        <v>0.83747178329571104</v>
      </c>
    </row>
    <row r="596" spans="1:23">
      <c r="A596" s="7">
        <v>46270</v>
      </c>
      <c r="B596" s="8" t="s">
        <v>30</v>
      </c>
      <c r="C596" s="8" t="s">
        <v>20</v>
      </c>
      <c r="D596" s="8" t="s">
        <v>21</v>
      </c>
      <c r="E596" s="8" t="s">
        <v>24</v>
      </c>
      <c r="F596" s="9">
        <v>390</v>
      </c>
      <c r="G596" s="9">
        <v>355</v>
      </c>
      <c r="H596" s="9">
        <v>11</v>
      </c>
      <c r="I596" s="9">
        <f t="shared" si="81"/>
        <v>344</v>
      </c>
      <c r="J596" s="9">
        <v>36</v>
      </c>
      <c r="K596" s="10">
        <f t="shared" si="82"/>
        <v>7.4999999999999997E-2</v>
      </c>
      <c r="L596" s="17">
        <v>120</v>
      </c>
      <c r="M596" s="17">
        <v>30800</v>
      </c>
      <c r="N596" s="17">
        <f t="shared" si="83"/>
        <v>41280</v>
      </c>
      <c r="O596" s="17">
        <f t="shared" si="84"/>
        <v>10480</v>
      </c>
      <c r="P596" s="10">
        <f t="shared" si="85"/>
        <v>0.91025641025641024</v>
      </c>
      <c r="Q596" s="10">
        <f t="shared" si="86"/>
        <v>3.0985915492957747E-2</v>
      </c>
      <c r="R596" s="10">
        <f t="shared" si="87"/>
        <v>0.25387596899224807</v>
      </c>
      <c r="S596" s="18">
        <f t="shared" si="88"/>
        <v>89.534883720930239</v>
      </c>
      <c r="T596" s="8">
        <f>480-ProductionData[[#This Row],[Downtime Minutes]]</f>
        <v>444</v>
      </c>
      <c r="U596" s="11">
        <f t="shared" si="89"/>
        <v>0.7995495495495496</v>
      </c>
      <c r="V596" s="18">
        <f>ProductionData[[#This Row],[Profit]]/ProductionData[[#This Row],[Good Units]]</f>
        <v>30.465116279069768</v>
      </c>
      <c r="W596" s="11">
        <f>ProductionData[[#This Row],[Good Units]]/ProductionData[[#This Row],[Operating Minutes]]</f>
        <v>0.77477477477477474</v>
      </c>
    </row>
    <row r="597" spans="1:23">
      <c r="A597" s="7">
        <v>46270</v>
      </c>
      <c r="B597" s="8" t="s">
        <v>30</v>
      </c>
      <c r="C597" s="8" t="s">
        <v>20</v>
      </c>
      <c r="D597" s="8" t="s">
        <v>23</v>
      </c>
      <c r="E597" s="8" t="s">
        <v>26</v>
      </c>
      <c r="F597" s="9">
        <v>490</v>
      </c>
      <c r="G597" s="9">
        <v>451</v>
      </c>
      <c r="H597" s="9">
        <v>19</v>
      </c>
      <c r="I597" s="9">
        <f t="shared" si="81"/>
        <v>432</v>
      </c>
      <c r="J597" s="9">
        <v>27</v>
      </c>
      <c r="K597" s="10">
        <f t="shared" si="82"/>
        <v>5.6250000000000001E-2</v>
      </c>
      <c r="L597" s="17">
        <v>90</v>
      </c>
      <c r="M597" s="17">
        <v>30800</v>
      </c>
      <c r="N597" s="17">
        <f t="shared" si="83"/>
        <v>38880</v>
      </c>
      <c r="O597" s="17">
        <f t="shared" si="84"/>
        <v>8080</v>
      </c>
      <c r="P597" s="10">
        <f t="shared" si="85"/>
        <v>0.92040816326530617</v>
      </c>
      <c r="Q597" s="10">
        <f t="shared" si="86"/>
        <v>4.2128603104212861E-2</v>
      </c>
      <c r="R597" s="10">
        <f t="shared" si="87"/>
        <v>0.20781893004115226</v>
      </c>
      <c r="S597" s="18">
        <f t="shared" si="88"/>
        <v>71.296296296296291</v>
      </c>
      <c r="T597" s="8">
        <f>480-ProductionData[[#This Row],[Downtime Minutes]]</f>
        <v>453</v>
      </c>
      <c r="U597" s="11">
        <f t="shared" si="89"/>
        <v>0.99558498896247238</v>
      </c>
      <c r="V597" s="18">
        <f>ProductionData[[#This Row],[Profit]]/ProductionData[[#This Row],[Good Units]]</f>
        <v>18.703703703703702</v>
      </c>
      <c r="W597" s="11">
        <f>ProductionData[[#This Row],[Good Units]]/ProductionData[[#This Row],[Operating Minutes]]</f>
        <v>0.95364238410596025</v>
      </c>
    </row>
    <row r="598" spans="1:23">
      <c r="A598" s="7">
        <v>46270</v>
      </c>
      <c r="B598" s="8" t="s">
        <v>30</v>
      </c>
      <c r="C598" s="8" t="s">
        <v>20</v>
      </c>
      <c r="D598" s="8" t="s">
        <v>25</v>
      </c>
      <c r="E598" s="8" t="s">
        <v>22</v>
      </c>
      <c r="F598" s="9">
        <v>460</v>
      </c>
      <c r="G598" s="9">
        <v>404</v>
      </c>
      <c r="H598" s="9">
        <v>24</v>
      </c>
      <c r="I598" s="9">
        <f t="shared" si="81"/>
        <v>380</v>
      </c>
      <c r="J598" s="9">
        <v>59</v>
      </c>
      <c r="K598" s="10">
        <f t="shared" si="82"/>
        <v>0.12291666666666666</v>
      </c>
      <c r="L598" s="17">
        <v>100</v>
      </c>
      <c r="M598" s="17">
        <v>30800</v>
      </c>
      <c r="N598" s="17">
        <f t="shared" si="83"/>
        <v>38000</v>
      </c>
      <c r="O598" s="17">
        <f t="shared" si="84"/>
        <v>7200</v>
      </c>
      <c r="P598" s="10">
        <f t="shared" si="85"/>
        <v>0.87826086956521743</v>
      </c>
      <c r="Q598" s="10">
        <f t="shared" si="86"/>
        <v>5.9405940594059403E-2</v>
      </c>
      <c r="R598" s="10">
        <f t="shared" si="87"/>
        <v>0.18947368421052632</v>
      </c>
      <c r="S598" s="18">
        <f t="shared" si="88"/>
        <v>81.05263157894737</v>
      </c>
      <c r="T598" s="8">
        <f>480-ProductionData[[#This Row],[Downtime Minutes]]</f>
        <v>421</v>
      </c>
      <c r="U598" s="11">
        <f t="shared" si="89"/>
        <v>0.95961995249406173</v>
      </c>
      <c r="V598" s="18">
        <f>ProductionData[[#This Row],[Profit]]/ProductionData[[#This Row],[Good Units]]</f>
        <v>18.94736842105263</v>
      </c>
      <c r="W598" s="11">
        <f>ProductionData[[#This Row],[Good Units]]/ProductionData[[#This Row],[Operating Minutes]]</f>
        <v>0.90261282660332542</v>
      </c>
    </row>
    <row r="599" spans="1:23">
      <c r="A599" s="7">
        <v>46270</v>
      </c>
      <c r="B599" s="8" t="s">
        <v>30</v>
      </c>
      <c r="C599" s="8" t="s">
        <v>27</v>
      </c>
      <c r="D599" s="8" t="s">
        <v>21</v>
      </c>
      <c r="E599" s="8" t="s">
        <v>26</v>
      </c>
      <c r="F599" s="9">
        <v>490</v>
      </c>
      <c r="G599" s="9">
        <v>446</v>
      </c>
      <c r="H599" s="9">
        <v>19</v>
      </c>
      <c r="I599" s="9">
        <f t="shared" si="81"/>
        <v>427</v>
      </c>
      <c r="J599" s="9">
        <v>52</v>
      </c>
      <c r="K599" s="10">
        <f t="shared" si="82"/>
        <v>0.10833333333333334</v>
      </c>
      <c r="L599" s="17">
        <v>90</v>
      </c>
      <c r="M599" s="17">
        <v>30800</v>
      </c>
      <c r="N599" s="17">
        <f t="shared" si="83"/>
        <v>38430</v>
      </c>
      <c r="O599" s="17">
        <f t="shared" si="84"/>
        <v>7630</v>
      </c>
      <c r="P599" s="10">
        <f t="shared" si="85"/>
        <v>0.91020408163265309</v>
      </c>
      <c r="Q599" s="10">
        <f t="shared" si="86"/>
        <v>4.2600896860986545E-2</v>
      </c>
      <c r="R599" s="10">
        <f t="shared" si="87"/>
        <v>0.19854280510018216</v>
      </c>
      <c r="S599" s="18">
        <f t="shared" si="88"/>
        <v>72.131147540983605</v>
      </c>
      <c r="T599" s="8">
        <f>480-ProductionData[[#This Row],[Downtime Minutes]]</f>
        <v>428</v>
      </c>
      <c r="U599" s="11">
        <f t="shared" si="89"/>
        <v>1.0420560747663552</v>
      </c>
      <c r="V599" s="18">
        <f>ProductionData[[#This Row],[Profit]]/ProductionData[[#This Row],[Good Units]]</f>
        <v>17.868852459016395</v>
      </c>
      <c r="W599" s="11">
        <f>ProductionData[[#This Row],[Good Units]]/ProductionData[[#This Row],[Operating Minutes]]</f>
        <v>0.99766355140186913</v>
      </c>
    </row>
    <row r="600" spans="1:23">
      <c r="A600" s="7">
        <v>46270</v>
      </c>
      <c r="B600" s="8" t="s">
        <v>30</v>
      </c>
      <c r="C600" s="8" t="s">
        <v>27</v>
      </c>
      <c r="D600" s="8" t="s">
        <v>23</v>
      </c>
      <c r="E600" s="8" t="s">
        <v>22</v>
      </c>
      <c r="F600" s="9">
        <v>440</v>
      </c>
      <c r="G600" s="9">
        <v>388</v>
      </c>
      <c r="H600" s="9">
        <v>24</v>
      </c>
      <c r="I600" s="9">
        <f t="shared" si="81"/>
        <v>364</v>
      </c>
      <c r="J600" s="9">
        <v>60</v>
      </c>
      <c r="K600" s="10">
        <f t="shared" si="82"/>
        <v>0.125</v>
      </c>
      <c r="L600" s="17">
        <v>100</v>
      </c>
      <c r="M600" s="17">
        <v>30800</v>
      </c>
      <c r="N600" s="17">
        <f t="shared" si="83"/>
        <v>36400</v>
      </c>
      <c r="O600" s="17">
        <f t="shared" si="84"/>
        <v>5600</v>
      </c>
      <c r="P600" s="10">
        <f t="shared" si="85"/>
        <v>0.88181818181818183</v>
      </c>
      <c r="Q600" s="10">
        <f t="shared" si="86"/>
        <v>6.1855670103092786E-2</v>
      </c>
      <c r="R600" s="10">
        <f t="shared" si="87"/>
        <v>0.15384615384615385</v>
      </c>
      <c r="S600" s="18">
        <f t="shared" si="88"/>
        <v>84.615384615384613</v>
      </c>
      <c r="T600" s="8">
        <f>480-ProductionData[[#This Row],[Downtime Minutes]]</f>
        <v>420</v>
      </c>
      <c r="U600" s="11">
        <f t="shared" si="89"/>
        <v>0.92380952380952386</v>
      </c>
      <c r="V600" s="18">
        <f>ProductionData[[#This Row],[Profit]]/ProductionData[[#This Row],[Good Units]]</f>
        <v>15.384615384615385</v>
      </c>
      <c r="W600" s="11">
        <f>ProductionData[[#This Row],[Good Units]]/ProductionData[[#This Row],[Operating Minutes]]</f>
        <v>0.8666666666666667</v>
      </c>
    </row>
    <row r="601" spans="1:23">
      <c r="A601" s="7">
        <v>46270</v>
      </c>
      <c r="B601" s="8" t="s">
        <v>30</v>
      </c>
      <c r="C601" s="8" t="s">
        <v>27</v>
      </c>
      <c r="D601" s="8" t="s">
        <v>25</v>
      </c>
      <c r="E601" s="8" t="s">
        <v>24</v>
      </c>
      <c r="F601" s="9">
        <v>400</v>
      </c>
      <c r="G601" s="9">
        <v>345</v>
      </c>
      <c r="H601" s="9">
        <v>22</v>
      </c>
      <c r="I601" s="9">
        <f t="shared" si="81"/>
        <v>323</v>
      </c>
      <c r="J601" s="9">
        <v>56</v>
      </c>
      <c r="K601" s="10">
        <f t="shared" si="82"/>
        <v>0.11666666666666667</v>
      </c>
      <c r="L601" s="17">
        <v>120</v>
      </c>
      <c r="M601" s="17">
        <v>30800</v>
      </c>
      <c r="N601" s="17">
        <f t="shared" si="83"/>
        <v>38760</v>
      </c>
      <c r="O601" s="17">
        <f t="shared" si="84"/>
        <v>7960</v>
      </c>
      <c r="P601" s="10">
        <f t="shared" si="85"/>
        <v>0.86250000000000004</v>
      </c>
      <c r="Q601" s="10">
        <f t="shared" si="86"/>
        <v>6.3768115942028983E-2</v>
      </c>
      <c r="R601" s="10">
        <f t="shared" si="87"/>
        <v>0.20536635706914344</v>
      </c>
      <c r="S601" s="18">
        <f t="shared" si="88"/>
        <v>95.356037151702793</v>
      </c>
      <c r="T601" s="8">
        <f>480-ProductionData[[#This Row],[Downtime Minutes]]</f>
        <v>424</v>
      </c>
      <c r="U601" s="11">
        <f t="shared" si="89"/>
        <v>0.81367924528301883</v>
      </c>
      <c r="V601" s="18">
        <f>ProductionData[[#This Row],[Profit]]/ProductionData[[#This Row],[Good Units]]</f>
        <v>24.643962848297214</v>
      </c>
      <c r="W601" s="11">
        <f>ProductionData[[#This Row],[Good Units]]/ProductionData[[#This Row],[Operating Minutes]]</f>
        <v>0.7617924528301887</v>
      </c>
    </row>
    <row r="602" spans="1:23">
      <c r="A602" s="7">
        <v>46270</v>
      </c>
      <c r="B602" s="8" t="s">
        <v>30</v>
      </c>
      <c r="C602" s="8" t="s">
        <v>28</v>
      </c>
      <c r="D602" s="8" t="s">
        <v>21</v>
      </c>
      <c r="E602" s="8" t="s">
        <v>22</v>
      </c>
      <c r="F602" s="9">
        <v>450</v>
      </c>
      <c r="G602" s="9">
        <v>422</v>
      </c>
      <c r="H602" s="9">
        <v>17</v>
      </c>
      <c r="I602" s="9">
        <f t="shared" si="81"/>
        <v>405</v>
      </c>
      <c r="J602" s="9">
        <v>17</v>
      </c>
      <c r="K602" s="10">
        <f t="shared" si="82"/>
        <v>3.5416666666666666E-2</v>
      </c>
      <c r="L602" s="17">
        <v>100</v>
      </c>
      <c r="M602" s="17">
        <v>30800</v>
      </c>
      <c r="N602" s="17">
        <f t="shared" si="83"/>
        <v>40500</v>
      </c>
      <c r="O602" s="17">
        <f t="shared" si="84"/>
        <v>9700</v>
      </c>
      <c r="P602" s="10">
        <f t="shared" si="85"/>
        <v>0.93777777777777782</v>
      </c>
      <c r="Q602" s="10">
        <f t="shared" si="86"/>
        <v>4.0284360189573459E-2</v>
      </c>
      <c r="R602" s="10">
        <f t="shared" si="87"/>
        <v>0.23950617283950618</v>
      </c>
      <c r="S602" s="18">
        <f t="shared" si="88"/>
        <v>76.049382716049379</v>
      </c>
      <c r="T602" s="8">
        <f>480-ProductionData[[#This Row],[Downtime Minutes]]</f>
        <v>463</v>
      </c>
      <c r="U602" s="11">
        <f t="shared" si="89"/>
        <v>0.91144708423326137</v>
      </c>
      <c r="V602" s="18">
        <f>ProductionData[[#This Row],[Profit]]/ProductionData[[#This Row],[Good Units]]</f>
        <v>23.950617283950617</v>
      </c>
      <c r="W602" s="11">
        <f>ProductionData[[#This Row],[Good Units]]/ProductionData[[#This Row],[Operating Minutes]]</f>
        <v>0.87473002159827218</v>
      </c>
    </row>
    <row r="603" spans="1:23">
      <c r="A603" s="7">
        <v>46270</v>
      </c>
      <c r="B603" s="8" t="s">
        <v>30</v>
      </c>
      <c r="C603" s="8" t="s">
        <v>28</v>
      </c>
      <c r="D603" s="8" t="s">
        <v>23</v>
      </c>
      <c r="E603" s="8" t="s">
        <v>24</v>
      </c>
      <c r="F603" s="9">
        <v>410</v>
      </c>
      <c r="G603" s="9">
        <v>375</v>
      </c>
      <c r="H603" s="9">
        <v>9</v>
      </c>
      <c r="I603" s="9">
        <f t="shared" si="81"/>
        <v>366</v>
      </c>
      <c r="J603" s="9">
        <v>27</v>
      </c>
      <c r="K603" s="10">
        <f t="shared" si="82"/>
        <v>5.6250000000000001E-2</v>
      </c>
      <c r="L603" s="17">
        <v>120</v>
      </c>
      <c r="M603" s="17">
        <v>30800</v>
      </c>
      <c r="N603" s="17">
        <f t="shared" si="83"/>
        <v>43920</v>
      </c>
      <c r="O603" s="17">
        <f t="shared" si="84"/>
        <v>13120</v>
      </c>
      <c r="P603" s="10">
        <f t="shared" si="85"/>
        <v>0.91463414634146345</v>
      </c>
      <c r="Q603" s="10">
        <f t="shared" si="86"/>
        <v>2.4E-2</v>
      </c>
      <c r="R603" s="10">
        <f t="shared" si="87"/>
        <v>0.2987249544626594</v>
      </c>
      <c r="S603" s="18">
        <f t="shared" si="88"/>
        <v>84.15300546448087</v>
      </c>
      <c r="T603" s="8">
        <f>480-ProductionData[[#This Row],[Downtime Minutes]]</f>
        <v>453</v>
      </c>
      <c r="U603" s="11">
        <f t="shared" si="89"/>
        <v>0.82781456953642385</v>
      </c>
      <c r="V603" s="18">
        <f>ProductionData[[#This Row],[Profit]]/ProductionData[[#This Row],[Good Units]]</f>
        <v>35.846994535519123</v>
      </c>
      <c r="W603" s="11">
        <f>ProductionData[[#This Row],[Good Units]]/ProductionData[[#This Row],[Operating Minutes]]</f>
        <v>0.80794701986754969</v>
      </c>
    </row>
    <row r="604" spans="1:23">
      <c r="A604" s="7">
        <v>46270</v>
      </c>
      <c r="B604" s="8" t="s">
        <v>30</v>
      </c>
      <c r="C604" s="8" t="s">
        <v>28</v>
      </c>
      <c r="D604" s="8" t="s">
        <v>25</v>
      </c>
      <c r="E604" s="8" t="s">
        <v>26</v>
      </c>
      <c r="F604" s="9">
        <v>500</v>
      </c>
      <c r="G604" s="9">
        <v>467</v>
      </c>
      <c r="H604" s="9">
        <v>18</v>
      </c>
      <c r="I604" s="9">
        <f t="shared" si="81"/>
        <v>449</v>
      </c>
      <c r="J604" s="9">
        <v>35</v>
      </c>
      <c r="K604" s="10">
        <f t="shared" si="82"/>
        <v>7.2916666666666671E-2</v>
      </c>
      <c r="L604" s="17">
        <v>90</v>
      </c>
      <c r="M604" s="17">
        <v>30800</v>
      </c>
      <c r="N604" s="17">
        <f t="shared" si="83"/>
        <v>40410</v>
      </c>
      <c r="O604" s="17">
        <f t="shared" si="84"/>
        <v>9610</v>
      </c>
      <c r="P604" s="10">
        <f t="shared" si="85"/>
        <v>0.93400000000000005</v>
      </c>
      <c r="Q604" s="10">
        <f t="shared" si="86"/>
        <v>3.8543897216274089E-2</v>
      </c>
      <c r="R604" s="10">
        <f t="shared" si="87"/>
        <v>0.23781242266765651</v>
      </c>
      <c r="S604" s="18">
        <f t="shared" si="88"/>
        <v>68.596881959910917</v>
      </c>
      <c r="T604" s="8">
        <f>480-ProductionData[[#This Row],[Downtime Minutes]]</f>
        <v>445</v>
      </c>
      <c r="U604" s="11">
        <f t="shared" si="89"/>
        <v>1.0494382022471911</v>
      </c>
      <c r="V604" s="18">
        <f>ProductionData[[#This Row],[Profit]]/ProductionData[[#This Row],[Good Units]]</f>
        <v>21.403118040089087</v>
      </c>
      <c r="W604" s="11">
        <f>ProductionData[[#This Row],[Good Units]]/ProductionData[[#This Row],[Operating Minutes]]</f>
        <v>1.0089887640449438</v>
      </c>
    </row>
    <row r="605" spans="1:23">
      <c r="A605" s="7">
        <v>46271</v>
      </c>
      <c r="B605" s="8" t="s">
        <v>30</v>
      </c>
      <c r="C605" s="8" t="s">
        <v>20</v>
      </c>
      <c r="D605" s="8" t="s">
        <v>21</v>
      </c>
      <c r="E605" s="8" t="s">
        <v>26</v>
      </c>
      <c r="F605" s="9">
        <v>490</v>
      </c>
      <c r="G605" s="9">
        <v>457</v>
      </c>
      <c r="H605" s="9">
        <v>18</v>
      </c>
      <c r="I605" s="9">
        <f t="shared" si="81"/>
        <v>439</v>
      </c>
      <c r="J605" s="9">
        <v>15</v>
      </c>
      <c r="K605" s="10">
        <f t="shared" si="82"/>
        <v>3.125E-2</v>
      </c>
      <c r="L605" s="17">
        <v>90</v>
      </c>
      <c r="M605" s="17">
        <v>30800</v>
      </c>
      <c r="N605" s="17">
        <f t="shared" si="83"/>
        <v>39510</v>
      </c>
      <c r="O605" s="17">
        <f t="shared" si="84"/>
        <v>8710</v>
      </c>
      <c r="P605" s="10">
        <f t="shared" si="85"/>
        <v>0.93265306122448977</v>
      </c>
      <c r="Q605" s="10">
        <f t="shared" si="86"/>
        <v>3.9387308533916851E-2</v>
      </c>
      <c r="R605" s="10">
        <f t="shared" si="87"/>
        <v>0.22045051885598582</v>
      </c>
      <c r="S605" s="18">
        <f t="shared" si="88"/>
        <v>70.159453302961282</v>
      </c>
      <c r="T605" s="8">
        <f>480-ProductionData[[#This Row],[Downtime Minutes]]</f>
        <v>465</v>
      </c>
      <c r="U605" s="11">
        <f t="shared" si="89"/>
        <v>0.98279569892473118</v>
      </c>
      <c r="V605" s="18">
        <f>ProductionData[[#This Row],[Profit]]/ProductionData[[#This Row],[Good Units]]</f>
        <v>19.840546697038725</v>
      </c>
      <c r="W605" s="11">
        <f>ProductionData[[#This Row],[Good Units]]/ProductionData[[#This Row],[Operating Minutes]]</f>
        <v>0.94408602150537635</v>
      </c>
    </row>
    <row r="606" spans="1:23">
      <c r="A606" s="7">
        <v>46271</v>
      </c>
      <c r="B606" s="8" t="s">
        <v>30</v>
      </c>
      <c r="C606" s="8" t="s">
        <v>20</v>
      </c>
      <c r="D606" s="8" t="s">
        <v>23</v>
      </c>
      <c r="E606" s="8" t="s">
        <v>22</v>
      </c>
      <c r="F606" s="9">
        <v>450</v>
      </c>
      <c r="G606" s="9">
        <v>403</v>
      </c>
      <c r="H606" s="9">
        <v>18</v>
      </c>
      <c r="I606" s="9">
        <f t="shared" si="81"/>
        <v>385</v>
      </c>
      <c r="J606" s="9">
        <v>31</v>
      </c>
      <c r="K606" s="10">
        <f t="shared" si="82"/>
        <v>6.458333333333334E-2</v>
      </c>
      <c r="L606" s="17">
        <v>100</v>
      </c>
      <c r="M606" s="17">
        <v>30800</v>
      </c>
      <c r="N606" s="17">
        <f t="shared" si="83"/>
        <v>38500</v>
      </c>
      <c r="O606" s="17">
        <f t="shared" si="84"/>
        <v>7700</v>
      </c>
      <c r="P606" s="10">
        <f t="shared" si="85"/>
        <v>0.89555555555555555</v>
      </c>
      <c r="Q606" s="10">
        <f t="shared" si="86"/>
        <v>4.4665012406947889E-2</v>
      </c>
      <c r="R606" s="10">
        <f t="shared" si="87"/>
        <v>0.2</v>
      </c>
      <c r="S606" s="18">
        <f t="shared" si="88"/>
        <v>80</v>
      </c>
      <c r="T606" s="8">
        <f>480-ProductionData[[#This Row],[Downtime Minutes]]</f>
        <v>449</v>
      </c>
      <c r="U606" s="11">
        <f t="shared" si="89"/>
        <v>0.89755011135857465</v>
      </c>
      <c r="V606" s="18">
        <f>ProductionData[[#This Row],[Profit]]/ProductionData[[#This Row],[Good Units]]</f>
        <v>20</v>
      </c>
      <c r="W606" s="11">
        <f>ProductionData[[#This Row],[Good Units]]/ProductionData[[#This Row],[Operating Minutes]]</f>
        <v>0.85746102449888639</v>
      </c>
    </row>
    <row r="607" spans="1:23">
      <c r="A607" s="7">
        <v>46271</v>
      </c>
      <c r="B607" s="8" t="s">
        <v>30</v>
      </c>
      <c r="C607" s="8" t="s">
        <v>20</v>
      </c>
      <c r="D607" s="8" t="s">
        <v>25</v>
      </c>
      <c r="E607" s="8" t="s">
        <v>24</v>
      </c>
      <c r="F607" s="9">
        <v>400</v>
      </c>
      <c r="G607" s="9">
        <v>361</v>
      </c>
      <c r="H607" s="9">
        <v>15</v>
      </c>
      <c r="I607" s="9">
        <f t="shared" si="81"/>
        <v>346</v>
      </c>
      <c r="J607" s="9">
        <v>44</v>
      </c>
      <c r="K607" s="10">
        <f t="shared" si="82"/>
        <v>9.166666666666666E-2</v>
      </c>
      <c r="L607" s="17">
        <v>120</v>
      </c>
      <c r="M607" s="17">
        <v>30800</v>
      </c>
      <c r="N607" s="17">
        <f t="shared" si="83"/>
        <v>41520</v>
      </c>
      <c r="O607" s="17">
        <f t="shared" si="84"/>
        <v>10720</v>
      </c>
      <c r="P607" s="10">
        <f t="shared" si="85"/>
        <v>0.90249999999999997</v>
      </c>
      <c r="Q607" s="10">
        <f t="shared" si="86"/>
        <v>4.1551246537396121E-2</v>
      </c>
      <c r="R607" s="10">
        <f t="shared" si="87"/>
        <v>0.25818882466281312</v>
      </c>
      <c r="S607" s="18">
        <f t="shared" si="88"/>
        <v>89.017341040462426</v>
      </c>
      <c r="T607" s="8">
        <f>480-ProductionData[[#This Row],[Downtime Minutes]]</f>
        <v>436</v>
      </c>
      <c r="U607" s="11">
        <f t="shared" si="89"/>
        <v>0.82798165137614677</v>
      </c>
      <c r="V607" s="18">
        <f>ProductionData[[#This Row],[Profit]]/ProductionData[[#This Row],[Good Units]]</f>
        <v>30.982658959537574</v>
      </c>
      <c r="W607" s="11">
        <f>ProductionData[[#This Row],[Good Units]]/ProductionData[[#This Row],[Operating Minutes]]</f>
        <v>0.79357798165137616</v>
      </c>
    </row>
    <row r="608" spans="1:23">
      <c r="A608" s="7">
        <v>46271</v>
      </c>
      <c r="B608" s="8" t="s">
        <v>30</v>
      </c>
      <c r="C608" s="8" t="s">
        <v>27</v>
      </c>
      <c r="D608" s="8" t="s">
        <v>21</v>
      </c>
      <c r="E608" s="8" t="s">
        <v>22</v>
      </c>
      <c r="F608" s="9">
        <v>460</v>
      </c>
      <c r="G608" s="9">
        <v>396</v>
      </c>
      <c r="H608" s="9">
        <v>25</v>
      </c>
      <c r="I608" s="9">
        <f t="shared" si="81"/>
        <v>371</v>
      </c>
      <c r="J608" s="9">
        <v>60</v>
      </c>
      <c r="K608" s="10">
        <f t="shared" si="82"/>
        <v>0.125</v>
      </c>
      <c r="L608" s="17">
        <v>100</v>
      </c>
      <c r="M608" s="17">
        <v>30800</v>
      </c>
      <c r="N608" s="17">
        <f t="shared" si="83"/>
        <v>37100</v>
      </c>
      <c r="O608" s="17">
        <f t="shared" si="84"/>
        <v>6300</v>
      </c>
      <c r="P608" s="10">
        <f t="shared" si="85"/>
        <v>0.86086956521739133</v>
      </c>
      <c r="Q608" s="10">
        <f t="shared" si="86"/>
        <v>6.3131313131313135E-2</v>
      </c>
      <c r="R608" s="10">
        <f t="shared" si="87"/>
        <v>0.16981132075471697</v>
      </c>
      <c r="S608" s="18">
        <f t="shared" si="88"/>
        <v>83.018867924528308</v>
      </c>
      <c r="T608" s="8">
        <f>480-ProductionData[[#This Row],[Downtime Minutes]]</f>
        <v>420</v>
      </c>
      <c r="U608" s="11">
        <f t="shared" si="89"/>
        <v>0.94285714285714284</v>
      </c>
      <c r="V608" s="18">
        <f>ProductionData[[#This Row],[Profit]]/ProductionData[[#This Row],[Good Units]]</f>
        <v>16.981132075471699</v>
      </c>
      <c r="W608" s="11">
        <f>ProductionData[[#This Row],[Good Units]]/ProductionData[[#This Row],[Operating Minutes]]</f>
        <v>0.8833333333333333</v>
      </c>
    </row>
    <row r="609" spans="1:23">
      <c r="A609" s="7">
        <v>46271</v>
      </c>
      <c r="B609" s="8" t="s">
        <v>30</v>
      </c>
      <c r="C609" s="8" t="s">
        <v>27</v>
      </c>
      <c r="D609" s="8" t="s">
        <v>23</v>
      </c>
      <c r="E609" s="8" t="s">
        <v>24</v>
      </c>
      <c r="F609" s="9">
        <v>390</v>
      </c>
      <c r="G609" s="9">
        <v>337</v>
      </c>
      <c r="H609" s="9">
        <v>17</v>
      </c>
      <c r="I609" s="9">
        <f t="shared" si="81"/>
        <v>320</v>
      </c>
      <c r="J609" s="9">
        <v>49</v>
      </c>
      <c r="K609" s="10">
        <f t="shared" si="82"/>
        <v>0.10208333333333333</v>
      </c>
      <c r="L609" s="17">
        <v>120</v>
      </c>
      <c r="M609" s="17">
        <v>30800</v>
      </c>
      <c r="N609" s="17">
        <f t="shared" si="83"/>
        <v>38400</v>
      </c>
      <c r="O609" s="17">
        <f t="shared" si="84"/>
        <v>7600</v>
      </c>
      <c r="P609" s="10">
        <f t="shared" si="85"/>
        <v>0.86410256410256414</v>
      </c>
      <c r="Q609" s="10">
        <f t="shared" si="86"/>
        <v>5.0445103857566766E-2</v>
      </c>
      <c r="R609" s="10">
        <f t="shared" si="87"/>
        <v>0.19791666666666666</v>
      </c>
      <c r="S609" s="18">
        <f t="shared" si="88"/>
        <v>96.25</v>
      </c>
      <c r="T609" s="8">
        <f>480-ProductionData[[#This Row],[Downtime Minutes]]</f>
        <v>431</v>
      </c>
      <c r="U609" s="11">
        <f t="shared" si="89"/>
        <v>0.78190255220417637</v>
      </c>
      <c r="V609" s="18">
        <f>ProductionData[[#This Row],[Profit]]/ProductionData[[#This Row],[Good Units]]</f>
        <v>23.75</v>
      </c>
      <c r="W609" s="11">
        <f>ProductionData[[#This Row],[Good Units]]/ProductionData[[#This Row],[Operating Minutes]]</f>
        <v>0.74245939675174011</v>
      </c>
    </row>
    <row r="610" spans="1:23">
      <c r="A610" s="7">
        <v>46271</v>
      </c>
      <c r="B610" s="8" t="s">
        <v>30</v>
      </c>
      <c r="C610" s="8" t="s">
        <v>27</v>
      </c>
      <c r="D610" s="8" t="s">
        <v>25</v>
      </c>
      <c r="E610" s="8" t="s">
        <v>26</v>
      </c>
      <c r="F610" s="9">
        <v>500</v>
      </c>
      <c r="G610" s="9">
        <v>419</v>
      </c>
      <c r="H610" s="9">
        <v>27</v>
      </c>
      <c r="I610" s="9">
        <f t="shared" si="81"/>
        <v>392</v>
      </c>
      <c r="J610" s="9">
        <v>64</v>
      </c>
      <c r="K610" s="10">
        <f t="shared" si="82"/>
        <v>0.13333333333333333</v>
      </c>
      <c r="L610" s="17">
        <v>90</v>
      </c>
      <c r="M610" s="17">
        <v>30800</v>
      </c>
      <c r="N610" s="17">
        <f t="shared" si="83"/>
        <v>35280</v>
      </c>
      <c r="O610" s="17">
        <f t="shared" si="84"/>
        <v>4480</v>
      </c>
      <c r="P610" s="10">
        <f t="shared" si="85"/>
        <v>0.83799999999999997</v>
      </c>
      <c r="Q610" s="10">
        <f t="shared" si="86"/>
        <v>6.4439140811455853E-2</v>
      </c>
      <c r="R610" s="10">
        <f t="shared" si="87"/>
        <v>0.12698412698412698</v>
      </c>
      <c r="S610" s="18">
        <f t="shared" si="88"/>
        <v>78.571428571428569</v>
      </c>
      <c r="T610" s="8">
        <f>480-ProductionData[[#This Row],[Downtime Minutes]]</f>
        <v>416</v>
      </c>
      <c r="U610" s="11">
        <f t="shared" si="89"/>
        <v>1.0072115384615385</v>
      </c>
      <c r="V610" s="18">
        <f>ProductionData[[#This Row],[Profit]]/ProductionData[[#This Row],[Good Units]]</f>
        <v>11.428571428571429</v>
      </c>
      <c r="W610" s="11">
        <f>ProductionData[[#This Row],[Good Units]]/ProductionData[[#This Row],[Operating Minutes]]</f>
        <v>0.94230769230769229</v>
      </c>
    </row>
    <row r="611" spans="1:23">
      <c r="A611" s="7">
        <v>46271</v>
      </c>
      <c r="B611" s="8" t="s">
        <v>30</v>
      </c>
      <c r="C611" s="8" t="s">
        <v>28</v>
      </c>
      <c r="D611" s="8" t="s">
        <v>21</v>
      </c>
      <c r="E611" s="8" t="s">
        <v>24</v>
      </c>
      <c r="F611" s="9">
        <v>400</v>
      </c>
      <c r="G611" s="9">
        <v>378</v>
      </c>
      <c r="H611" s="9">
        <v>8</v>
      </c>
      <c r="I611" s="9">
        <f t="shared" si="81"/>
        <v>370</v>
      </c>
      <c r="J611" s="9">
        <v>17</v>
      </c>
      <c r="K611" s="10">
        <f t="shared" si="82"/>
        <v>3.5416666666666666E-2</v>
      </c>
      <c r="L611" s="17">
        <v>120</v>
      </c>
      <c r="M611" s="17">
        <v>30800</v>
      </c>
      <c r="N611" s="17">
        <f t="shared" si="83"/>
        <v>44400</v>
      </c>
      <c r="O611" s="17">
        <f t="shared" si="84"/>
        <v>13600</v>
      </c>
      <c r="P611" s="10">
        <f t="shared" si="85"/>
        <v>0.94499999999999995</v>
      </c>
      <c r="Q611" s="10">
        <f t="shared" si="86"/>
        <v>2.1164021164021163E-2</v>
      </c>
      <c r="R611" s="10">
        <f t="shared" si="87"/>
        <v>0.30630630630630629</v>
      </c>
      <c r="S611" s="18">
        <f t="shared" si="88"/>
        <v>83.243243243243242</v>
      </c>
      <c r="T611" s="8">
        <f>480-ProductionData[[#This Row],[Downtime Minutes]]</f>
        <v>463</v>
      </c>
      <c r="U611" s="11">
        <f t="shared" si="89"/>
        <v>0.81641468682505403</v>
      </c>
      <c r="V611" s="18">
        <f>ProductionData[[#This Row],[Profit]]/ProductionData[[#This Row],[Good Units]]</f>
        <v>36.756756756756758</v>
      </c>
      <c r="W611" s="11">
        <f>ProductionData[[#This Row],[Good Units]]/ProductionData[[#This Row],[Operating Minutes]]</f>
        <v>0.79913606911447088</v>
      </c>
    </row>
    <row r="612" spans="1:23">
      <c r="A612" s="7">
        <v>46271</v>
      </c>
      <c r="B612" s="8" t="s">
        <v>30</v>
      </c>
      <c r="C612" s="8" t="s">
        <v>28</v>
      </c>
      <c r="D612" s="8" t="s">
        <v>23</v>
      </c>
      <c r="E612" s="8" t="s">
        <v>26</v>
      </c>
      <c r="F612" s="9">
        <v>490</v>
      </c>
      <c r="G612" s="9">
        <v>476</v>
      </c>
      <c r="H612" s="9">
        <v>12</v>
      </c>
      <c r="I612" s="9">
        <f t="shared" si="81"/>
        <v>464</v>
      </c>
      <c r="J612" s="9">
        <v>31</v>
      </c>
      <c r="K612" s="10">
        <f t="shared" si="82"/>
        <v>6.458333333333334E-2</v>
      </c>
      <c r="L612" s="17">
        <v>90</v>
      </c>
      <c r="M612" s="17">
        <v>30800</v>
      </c>
      <c r="N612" s="17">
        <f t="shared" si="83"/>
        <v>41760</v>
      </c>
      <c r="O612" s="17">
        <f t="shared" si="84"/>
        <v>10960</v>
      </c>
      <c r="P612" s="10">
        <f t="shared" si="85"/>
        <v>0.97142857142857142</v>
      </c>
      <c r="Q612" s="10">
        <f t="shared" si="86"/>
        <v>2.5210084033613446E-2</v>
      </c>
      <c r="R612" s="10">
        <f t="shared" si="87"/>
        <v>0.26245210727969348</v>
      </c>
      <c r="S612" s="18">
        <f t="shared" si="88"/>
        <v>66.379310344827587</v>
      </c>
      <c r="T612" s="8">
        <f>480-ProductionData[[#This Row],[Downtime Minutes]]</f>
        <v>449</v>
      </c>
      <c r="U612" s="11">
        <f t="shared" si="89"/>
        <v>1.0601336302895323</v>
      </c>
      <c r="V612" s="18">
        <f>ProductionData[[#This Row],[Profit]]/ProductionData[[#This Row],[Good Units]]</f>
        <v>23.620689655172413</v>
      </c>
      <c r="W612" s="11">
        <f>ProductionData[[#This Row],[Good Units]]/ProductionData[[#This Row],[Operating Minutes]]</f>
        <v>1.0334075723830736</v>
      </c>
    </row>
    <row r="613" spans="1:23">
      <c r="A613" s="7">
        <v>46271</v>
      </c>
      <c r="B613" s="8" t="s">
        <v>30</v>
      </c>
      <c r="C613" s="8" t="s">
        <v>28</v>
      </c>
      <c r="D613" s="8" t="s">
        <v>25</v>
      </c>
      <c r="E613" s="8" t="s">
        <v>22</v>
      </c>
      <c r="F613" s="9">
        <v>430</v>
      </c>
      <c r="G613" s="9">
        <v>398</v>
      </c>
      <c r="H613" s="9">
        <v>21</v>
      </c>
      <c r="I613" s="9">
        <f t="shared" si="81"/>
        <v>377</v>
      </c>
      <c r="J613" s="9">
        <v>33</v>
      </c>
      <c r="K613" s="10">
        <f t="shared" si="82"/>
        <v>6.8750000000000006E-2</v>
      </c>
      <c r="L613" s="17">
        <v>100</v>
      </c>
      <c r="M613" s="17">
        <v>30800</v>
      </c>
      <c r="N613" s="17">
        <f t="shared" si="83"/>
        <v>37700</v>
      </c>
      <c r="O613" s="17">
        <f t="shared" si="84"/>
        <v>6900</v>
      </c>
      <c r="P613" s="10">
        <f t="shared" si="85"/>
        <v>0.92558139534883721</v>
      </c>
      <c r="Q613" s="10">
        <f t="shared" si="86"/>
        <v>5.2763819095477386E-2</v>
      </c>
      <c r="R613" s="10">
        <f t="shared" si="87"/>
        <v>0.1830238726790451</v>
      </c>
      <c r="S613" s="18">
        <f t="shared" si="88"/>
        <v>81.697612732095493</v>
      </c>
      <c r="T613" s="8">
        <f>480-ProductionData[[#This Row],[Downtime Minutes]]</f>
        <v>447</v>
      </c>
      <c r="U613" s="11">
        <f t="shared" si="89"/>
        <v>0.89038031319910516</v>
      </c>
      <c r="V613" s="18">
        <f>ProductionData[[#This Row],[Profit]]/ProductionData[[#This Row],[Good Units]]</f>
        <v>18.302387267904511</v>
      </c>
      <c r="W613" s="11">
        <f>ProductionData[[#This Row],[Good Units]]/ProductionData[[#This Row],[Operating Minutes]]</f>
        <v>0.84340044742729303</v>
      </c>
    </row>
    <row r="614" spans="1:23">
      <c r="A614" s="7">
        <v>46272</v>
      </c>
      <c r="B614" s="8" t="s">
        <v>30</v>
      </c>
      <c r="C614" s="8" t="s">
        <v>20</v>
      </c>
      <c r="D614" s="8" t="s">
        <v>21</v>
      </c>
      <c r="E614" s="8" t="s">
        <v>22</v>
      </c>
      <c r="F614" s="9">
        <v>430</v>
      </c>
      <c r="G614" s="9">
        <v>393</v>
      </c>
      <c r="H614" s="9">
        <v>14</v>
      </c>
      <c r="I614" s="9">
        <f t="shared" si="81"/>
        <v>379</v>
      </c>
      <c r="J614" s="9">
        <v>38</v>
      </c>
      <c r="K614" s="10">
        <f t="shared" si="82"/>
        <v>7.9166666666666663E-2</v>
      </c>
      <c r="L614" s="17">
        <v>100</v>
      </c>
      <c r="M614" s="17">
        <v>30800</v>
      </c>
      <c r="N614" s="17">
        <f t="shared" si="83"/>
        <v>37900</v>
      </c>
      <c r="O614" s="17">
        <f t="shared" si="84"/>
        <v>7100</v>
      </c>
      <c r="P614" s="10">
        <f t="shared" si="85"/>
        <v>0.913953488372093</v>
      </c>
      <c r="Q614" s="10">
        <f t="shared" si="86"/>
        <v>3.5623409669211195E-2</v>
      </c>
      <c r="R614" s="10">
        <f t="shared" si="87"/>
        <v>0.18733509234828497</v>
      </c>
      <c r="S614" s="18">
        <f t="shared" si="88"/>
        <v>81.266490765171497</v>
      </c>
      <c r="T614" s="8">
        <f>480-ProductionData[[#This Row],[Downtime Minutes]]</f>
        <v>442</v>
      </c>
      <c r="U614" s="11">
        <f t="shared" si="89"/>
        <v>0.88914027149321262</v>
      </c>
      <c r="V614" s="18">
        <f>ProductionData[[#This Row],[Profit]]/ProductionData[[#This Row],[Good Units]]</f>
        <v>18.733509234828496</v>
      </c>
      <c r="W614" s="11">
        <f>ProductionData[[#This Row],[Good Units]]/ProductionData[[#This Row],[Operating Minutes]]</f>
        <v>0.85746606334841624</v>
      </c>
    </row>
    <row r="615" spans="1:23">
      <c r="A615" s="7">
        <v>46272</v>
      </c>
      <c r="B615" s="8" t="s">
        <v>30</v>
      </c>
      <c r="C615" s="8" t="s">
        <v>20</v>
      </c>
      <c r="D615" s="8" t="s">
        <v>23</v>
      </c>
      <c r="E615" s="8" t="s">
        <v>24</v>
      </c>
      <c r="F615" s="9">
        <v>400</v>
      </c>
      <c r="G615" s="9">
        <v>377</v>
      </c>
      <c r="H615" s="9">
        <v>14</v>
      </c>
      <c r="I615" s="9">
        <f t="shared" si="81"/>
        <v>363</v>
      </c>
      <c r="J615" s="9">
        <v>30</v>
      </c>
      <c r="K615" s="10">
        <f t="shared" si="82"/>
        <v>6.25E-2</v>
      </c>
      <c r="L615" s="17">
        <v>120</v>
      </c>
      <c r="M615" s="17">
        <v>30800</v>
      </c>
      <c r="N615" s="17">
        <f t="shared" si="83"/>
        <v>43560</v>
      </c>
      <c r="O615" s="17">
        <f t="shared" si="84"/>
        <v>12760</v>
      </c>
      <c r="P615" s="10">
        <f t="shared" si="85"/>
        <v>0.9425</v>
      </c>
      <c r="Q615" s="10">
        <f t="shared" si="86"/>
        <v>3.7135278514588858E-2</v>
      </c>
      <c r="R615" s="10">
        <f t="shared" si="87"/>
        <v>0.29292929292929293</v>
      </c>
      <c r="S615" s="18">
        <f t="shared" si="88"/>
        <v>84.848484848484844</v>
      </c>
      <c r="T615" s="8">
        <f>480-ProductionData[[#This Row],[Downtime Minutes]]</f>
        <v>450</v>
      </c>
      <c r="U615" s="11">
        <f t="shared" si="89"/>
        <v>0.83777777777777773</v>
      </c>
      <c r="V615" s="18">
        <f>ProductionData[[#This Row],[Profit]]/ProductionData[[#This Row],[Good Units]]</f>
        <v>35.151515151515149</v>
      </c>
      <c r="W615" s="11">
        <f>ProductionData[[#This Row],[Good Units]]/ProductionData[[#This Row],[Operating Minutes]]</f>
        <v>0.80666666666666664</v>
      </c>
    </row>
    <row r="616" spans="1:23">
      <c r="A616" s="7">
        <v>46272</v>
      </c>
      <c r="B616" s="8" t="s">
        <v>30</v>
      </c>
      <c r="C616" s="8" t="s">
        <v>20</v>
      </c>
      <c r="D616" s="8" t="s">
        <v>25</v>
      </c>
      <c r="E616" s="8" t="s">
        <v>26</v>
      </c>
      <c r="F616" s="9">
        <v>490</v>
      </c>
      <c r="G616" s="9">
        <v>447</v>
      </c>
      <c r="H616" s="9">
        <v>18</v>
      </c>
      <c r="I616" s="9">
        <f t="shared" si="81"/>
        <v>429</v>
      </c>
      <c r="J616" s="9">
        <v>29</v>
      </c>
      <c r="K616" s="10">
        <f t="shared" si="82"/>
        <v>6.0416666666666667E-2</v>
      </c>
      <c r="L616" s="17">
        <v>90</v>
      </c>
      <c r="M616" s="17">
        <v>30800</v>
      </c>
      <c r="N616" s="17">
        <f t="shared" si="83"/>
        <v>38610</v>
      </c>
      <c r="O616" s="17">
        <f t="shared" si="84"/>
        <v>7810</v>
      </c>
      <c r="P616" s="10">
        <f t="shared" si="85"/>
        <v>0.91224489795918362</v>
      </c>
      <c r="Q616" s="10">
        <f t="shared" si="86"/>
        <v>4.0268456375838924E-2</v>
      </c>
      <c r="R616" s="10">
        <f t="shared" si="87"/>
        <v>0.20227920227920229</v>
      </c>
      <c r="S616" s="18">
        <f t="shared" si="88"/>
        <v>71.794871794871796</v>
      </c>
      <c r="T616" s="8">
        <f>480-ProductionData[[#This Row],[Downtime Minutes]]</f>
        <v>451</v>
      </c>
      <c r="U616" s="11">
        <f t="shared" si="89"/>
        <v>0.99113082039911304</v>
      </c>
      <c r="V616" s="18">
        <f>ProductionData[[#This Row],[Profit]]/ProductionData[[#This Row],[Good Units]]</f>
        <v>18.205128205128204</v>
      </c>
      <c r="W616" s="11">
        <f>ProductionData[[#This Row],[Good Units]]/ProductionData[[#This Row],[Operating Minutes]]</f>
        <v>0.95121951219512191</v>
      </c>
    </row>
    <row r="617" spans="1:23">
      <c r="A617" s="7">
        <v>46272</v>
      </c>
      <c r="B617" s="8" t="s">
        <v>30</v>
      </c>
      <c r="C617" s="8" t="s">
        <v>27</v>
      </c>
      <c r="D617" s="8" t="s">
        <v>21</v>
      </c>
      <c r="E617" s="8" t="s">
        <v>24</v>
      </c>
      <c r="F617" s="9">
        <v>390</v>
      </c>
      <c r="G617" s="9">
        <v>344</v>
      </c>
      <c r="H617" s="9">
        <v>16</v>
      </c>
      <c r="I617" s="9">
        <f t="shared" si="81"/>
        <v>328</v>
      </c>
      <c r="J617" s="9">
        <v>44</v>
      </c>
      <c r="K617" s="10">
        <f t="shared" si="82"/>
        <v>9.166666666666666E-2</v>
      </c>
      <c r="L617" s="17">
        <v>120</v>
      </c>
      <c r="M617" s="17">
        <v>30800</v>
      </c>
      <c r="N617" s="17">
        <f t="shared" si="83"/>
        <v>39360</v>
      </c>
      <c r="O617" s="17">
        <f t="shared" si="84"/>
        <v>8560</v>
      </c>
      <c r="P617" s="10">
        <f t="shared" si="85"/>
        <v>0.88205128205128203</v>
      </c>
      <c r="Q617" s="10">
        <f t="shared" si="86"/>
        <v>4.6511627906976744E-2</v>
      </c>
      <c r="R617" s="10">
        <f t="shared" si="87"/>
        <v>0.21747967479674796</v>
      </c>
      <c r="S617" s="18">
        <f t="shared" si="88"/>
        <v>93.902439024390247</v>
      </c>
      <c r="T617" s="8">
        <f>480-ProductionData[[#This Row],[Downtime Minutes]]</f>
        <v>436</v>
      </c>
      <c r="U617" s="11">
        <f t="shared" si="89"/>
        <v>0.78899082568807344</v>
      </c>
      <c r="V617" s="18">
        <f>ProductionData[[#This Row],[Profit]]/ProductionData[[#This Row],[Good Units]]</f>
        <v>26.097560975609756</v>
      </c>
      <c r="W617" s="11">
        <f>ProductionData[[#This Row],[Good Units]]/ProductionData[[#This Row],[Operating Minutes]]</f>
        <v>0.75229357798165142</v>
      </c>
    </row>
    <row r="618" spans="1:23">
      <c r="A618" s="7">
        <v>46272</v>
      </c>
      <c r="B618" s="8" t="s">
        <v>30</v>
      </c>
      <c r="C618" s="8" t="s">
        <v>27</v>
      </c>
      <c r="D618" s="8" t="s">
        <v>23</v>
      </c>
      <c r="E618" s="8" t="s">
        <v>26</v>
      </c>
      <c r="F618" s="9">
        <v>510</v>
      </c>
      <c r="G618" s="9">
        <v>447</v>
      </c>
      <c r="H618" s="9">
        <v>25</v>
      </c>
      <c r="I618" s="9">
        <f t="shared" si="81"/>
        <v>422</v>
      </c>
      <c r="J618" s="9">
        <v>39</v>
      </c>
      <c r="K618" s="10">
        <f t="shared" si="82"/>
        <v>8.1250000000000003E-2</v>
      </c>
      <c r="L618" s="17">
        <v>90</v>
      </c>
      <c r="M618" s="17">
        <v>30800</v>
      </c>
      <c r="N618" s="17">
        <f t="shared" si="83"/>
        <v>37980</v>
      </c>
      <c r="O618" s="17">
        <f t="shared" si="84"/>
        <v>7180</v>
      </c>
      <c r="P618" s="10">
        <f t="shared" si="85"/>
        <v>0.87647058823529411</v>
      </c>
      <c r="Q618" s="10">
        <f t="shared" si="86"/>
        <v>5.5928411633109618E-2</v>
      </c>
      <c r="R618" s="10">
        <f t="shared" si="87"/>
        <v>0.18904686677198526</v>
      </c>
      <c r="S618" s="18">
        <f t="shared" si="88"/>
        <v>72.985781990521332</v>
      </c>
      <c r="T618" s="8">
        <f>480-ProductionData[[#This Row],[Downtime Minutes]]</f>
        <v>441</v>
      </c>
      <c r="U618" s="11">
        <f t="shared" si="89"/>
        <v>1.0136054421768708</v>
      </c>
      <c r="V618" s="18">
        <f>ProductionData[[#This Row],[Profit]]/ProductionData[[#This Row],[Good Units]]</f>
        <v>17.014218009478672</v>
      </c>
      <c r="W618" s="11">
        <f>ProductionData[[#This Row],[Good Units]]/ProductionData[[#This Row],[Operating Minutes]]</f>
        <v>0.95691609977324266</v>
      </c>
    </row>
    <row r="619" spans="1:23">
      <c r="A619" s="7">
        <v>46272</v>
      </c>
      <c r="B619" s="8" t="s">
        <v>30</v>
      </c>
      <c r="C619" s="8" t="s">
        <v>27</v>
      </c>
      <c r="D619" s="8" t="s">
        <v>25</v>
      </c>
      <c r="E619" s="8" t="s">
        <v>22</v>
      </c>
      <c r="F619" s="9">
        <v>460</v>
      </c>
      <c r="G619" s="9">
        <v>380</v>
      </c>
      <c r="H619" s="9">
        <v>26</v>
      </c>
      <c r="I619" s="9">
        <f t="shared" si="81"/>
        <v>354</v>
      </c>
      <c r="J619" s="9">
        <v>78</v>
      </c>
      <c r="K619" s="10">
        <f t="shared" si="82"/>
        <v>0.16250000000000001</v>
      </c>
      <c r="L619" s="17">
        <v>100</v>
      </c>
      <c r="M619" s="17">
        <v>30800</v>
      </c>
      <c r="N619" s="17">
        <f t="shared" si="83"/>
        <v>35400</v>
      </c>
      <c r="O619" s="17">
        <f t="shared" si="84"/>
        <v>4600</v>
      </c>
      <c r="P619" s="10">
        <f t="shared" si="85"/>
        <v>0.82608695652173914</v>
      </c>
      <c r="Q619" s="10">
        <f t="shared" si="86"/>
        <v>6.8421052631578952E-2</v>
      </c>
      <c r="R619" s="10">
        <f t="shared" si="87"/>
        <v>0.12994350282485875</v>
      </c>
      <c r="S619" s="18">
        <f t="shared" si="88"/>
        <v>87.005649717514117</v>
      </c>
      <c r="T619" s="8">
        <f>480-ProductionData[[#This Row],[Downtime Minutes]]</f>
        <v>402</v>
      </c>
      <c r="U619" s="11">
        <f t="shared" si="89"/>
        <v>0.94527363184079605</v>
      </c>
      <c r="V619" s="18">
        <f>ProductionData[[#This Row],[Profit]]/ProductionData[[#This Row],[Good Units]]</f>
        <v>12.994350282485875</v>
      </c>
      <c r="W619" s="11">
        <f>ProductionData[[#This Row],[Good Units]]/ProductionData[[#This Row],[Operating Minutes]]</f>
        <v>0.88059701492537312</v>
      </c>
    </row>
    <row r="620" spans="1:23">
      <c r="A620" s="7">
        <v>46272</v>
      </c>
      <c r="B620" s="8" t="s">
        <v>30</v>
      </c>
      <c r="C620" s="8" t="s">
        <v>28</v>
      </c>
      <c r="D620" s="8" t="s">
        <v>21</v>
      </c>
      <c r="E620" s="8" t="s">
        <v>26</v>
      </c>
      <c r="F620" s="9">
        <v>520</v>
      </c>
      <c r="G620" s="9">
        <v>503</v>
      </c>
      <c r="H620" s="9">
        <v>10</v>
      </c>
      <c r="I620" s="9">
        <f t="shared" si="81"/>
        <v>493</v>
      </c>
      <c r="J620" s="9">
        <v>28</v>
      </c>
      <c r="K620" s="10">
        <f t="shared" si="82"/>
        <v>5.8333333333333334E-2</v>
      </c>
      <c r="L620" s="17">
        <v>90</v>
      </c>
      <c r="M620" s="17">
        <v>30800</v>
      </c>
      <c r="N620" s="17">
        <f t="shared" si="83"/>
        <v>44370</v>
      </c>
      <c r="O620" s="17">
        <f t="shared" si="84"/>
        <v>13570</v>
      </c>
      <c r="P620" s="10">
        <f t="shared" si="85"/>
        <v>0.96730769230769231</v>
      </c>
      <c r="Q620" s="10">
        <f t="shared" si="86"/>
        <v>1.9880715705765408E-2</v>
      </c>
      <c r="R620" s="10">
        <f t="shared" si="87"/>
        <v>0.30583727743971151</v>
      </c>
      <c r="S620" s="18">
        <f t="shared" si="88"/>
        <v>62.474645030425961</v>
      </c>
      <c r="T620" s="8">
        <f>480-ProductionData[[#This Row],[Downtime Minutes]]</f>
        <v>452</v>
      </c>
      <c r="U620" s="11">
        <f t="shared" si="89"/>
        <v>1.1128318584070795</v>
      </c>
      <c r="V620" s="18">
        <f>ProductionData[[#This Row],[Profit]]/ProductionData[[#This Row],[Good Units]]</f>
        <v>27.525354969574035</v>
      </c>
      <c r="W620" s="11">
        <f>ProductionData[[#This Row],[Good Units]]/ProductionData[[#This Row],[Operating Minutes]]</f>
        <v>1.0907079646017699</v>
      </c>
    </row>
    <row r="621" spans="1:23">
      <c r="A621" s="7">
        <v>46272</v>
      </c>
      <c r="B621" s="8" t="s">
        <v>30</v>
      </c>
      <c r="C621" s="8" t="s">
        <v>28</v>
      </c>
      <c r="D621" s="8" t="s">
        <v>23</v>
      </c>
      <c r="E621" s="8" t="s">
        <v>22</v>
      </c>
      <c r="F621" s="9">
        <v>430</v>
      </c>
      <c r="G621" s="9">
        <v>416</v>
      </c>
      <c r="H621" s="9">
        <v>15</v>
      </c>
      <c r="I621" s="9">
        <f t="shared" si="81"/>
        <v>401</v>
      </c>
      <c r="J621" s="9">
        <v>23</v>
      </c>
      <c r="K621" s="10">
        <f t="shared" si="82"/>
        <v>4.791666666666667E-2</v>
      </c>
      <c r="L621" s="17">
        <v>100</v>
      </c>
      <c r="M621" s="17">
        <v>30800</v>
      </c>
      <c r="N621" s="17">
        <f t="shared" si="83"/>
        <v>40100</v>
      </c>
      <c r="O621" s="17">
        <f t="shared" si="84"/>
        <v>9300</v>
      </c>
      <c r="P621" s="10">
        <f t="shared" si="85"/>
        <v>0.96744186046511627</v>
      </c>
      <c r="Q621" s="10">
        <f t="shared" si="86"/>
        <v>3.6057692307692304E-2</v>
      </c>
      <c r="R621" s="10">
        <f t="shared" si="87"/>
        <v>0.23192019950124687</v>
      </c>
      <c r="S621" s="18">
        <f t="shared" si="88"/>
        <v>76.807980049875312</v>
      </c>
      <c r="T621" s="8">
        <f>480-ProductionData[[#This Row],[Downtime Minutes]]</f>
        <v>457</v>
      </c>
      <c r="U621" s="11">
        <f t="shared" si="89"/>
        <v>0.9102844638949672</v>
      </c>
      <c r="V621" s="18">
        <f>ProductionData[[#This Row],[Profit]]/ProductionData[[#This Row],[Good Units]]</f>
        <v>23.192019950124688</v>
      </c>
      <c r="W621" s="11">
        <f>ProductionData[[#This Row],[Good Units]]/ProductionData[[#This Row],[Operating Minutes]]</f>
        <v>0.87746170678336977</v>
      </c>
    </row>
    <row r="622" spans="1:23">
      <c r="A622" s="7">
        <v>46272</v>
      </c>
      <c r="B622" s="8" t="s">
        <v>30</v>
      </c>
      <c r="C622" s="8" t="s">
        <v>28</v>
      </c>
      <c r="D622" s="8" t="s">
        <v>25</v>
      </c>
      <c r="E622" s="8" t="s">
        <v>24</v>
      </c>
      <c r="F622" s="9">
        <v>400</v>
      </c>
      <c r="G622" s="9">
        <v>377</v>
      </c>
      <c r="H622" s="9">
        <v>11</v>
      </c>
      <c r="I622" s="9">
        <f t="shared" si="81"/>
        <v>366</v>
      </c>
      <c r="J622" s="9">
        <v>24</v>
      </c>
      <c r="K622" s="10">
        <f t="shared" si="82"/>
        <v>0.05</v>
      </c>
      <c r="L622" s="17">
        <v>120</v>
      </c>
      <c r="M622" s="17">
        <v>30800</v>
      </c>
      <c r="N622" s="17">
        <f t="shared" si="83"/>
        <v>43920</v>
      </c>
      <c r="O622" s="17">
        <f t="shared" si="84"/>
        <v>13120</v>
      </c>
      <c r="P622" s="10">
        <f t="shared" si="85"/>
        <v>0.9425</v>
      </c>
      <c r="Q622" s="10">
        <f t="shared" si="86"/>
        <v>2.9177718832891247E-2</v>
      </c>
      <c r="R622" s="10">
        <f t="shared" si="87"/>
        <v>0.2987249544626594</v>
      </c>
      <c r="S622" s="18">
        <f t="shared" si="88"/>
        <v>84.15300546448087</v>
      </c>
      <c r="T622" s="8">
        <f>480-ProductionData[[#This Row],[Downtime Minutes]]</f>
        <v>456</v>
      </c>
      <c r="U622" s="11">
        <f t="shared" si="89"/>
        <v>0.82675438596491224</v>
      </c>
      <c r="V622" s="18">
        <f>ProductionData[[#This Row],[Profit]]/ProductionData[[#This Row],[Good Units]]</f>
        <v>35.846994535519123</v>
      </c>
      <c r="W622" s="11">
        <f>ProductionData[[#This Row],[Good Units]]/ProductionData[[#This Row],[Operating Minutes]]</f>
        <v>0.80263157894736847</v>
      </c>
    </row>
    <row r="623" spans="1:23">
      <c r="A623" s="7">
        <v>46273</v>
      </c>
      <c r="B623" s="8" t="s">
        <v>30</v>
      </c>
      <c r="C623" s="8" t="s">
        <v>20</v>
      </c>
      <c r="D623" s="8" t="s">
        <v>21</v>
      </c>
      <c r="E623" s="8" t="s">
        <v>24</v>
      </c>
      <c r="F623" s="9">
        <v>410</v>
      </c>
      <c r="G623" s="9">
        <v>390</v>
      </c>
      <c r="H623" s="9">
        <v>12</v>
      </c>
      <c r="I623" s="9">
        <f t="shared" si="81"/>
        <v>378</v>
      </c>
      <c r="J623" s="9">
        <v>25</v>
      </c>
      <c r="K623" s="10">
        <f t="shared" si="82"/>
        <v>5.2083333333333336E-2</v>
      </c>
      <c r="L623" s="17">
        <v>120</v>
      </c>
      <c r="M623" s="17">
        <v>30800</v>
      </c>
      <c r="N623" s="17">
        <f t="shared" si="83"/>
        <v>45360</v>
      </c>
      <c r="O623" s="17">
        <f t="shared" si="84"/>
        <v>14560</v>
      </c>
      <c r="P623" s="10">
        <f t="shared" si="85"/>
        <v>0.95121951219512191</v>
      </c>
      <c r="Q623" s="10">
        <f t="shared" si="86"/>
        <v>3.0769230769230771E-2</v>
      </c>
      <c r="R623" s="10">
        <f t="shared" si="87"/>
        <v>0.32098765432098764</v>
      </c>
      <c r="S623" s="18">
        <f t="shared" si="88"/>
        <v>81.481481481481481</v>
      </c>
      <c r="T623" s="8">
        <f>480-ProductionData[[#This Row],[Downtime Minutes]]</f>
        <v>455</v>
      </c>
      <c r="U623" s="11">
        <f t="shared" si="89"/>
        <v>0.8571428571428571</v>
      </c>
      <c r="V623" s="18">
        <f>ProductionData[[#This Row],[Profit]]/ProductionData[[#This Row],[Good Units]]</f>
        <v>38.518518518518519</v>
      </c>
      <c r="W623" s="11">
        <f>ProductionData[[#This Row],[Good Units]]/ProductionData[[#This Row],[Operating Minutes]]</f>
        <v>0.83076923076923082</v>
      </c>
    </row>
    <row r="624" spans="1:23">
      <c r="A624" s="7">
        <v>46273</v>
      </c>
      <c r="B624" s="8" t="s">
        <v>30</v>
      </c>
      <c r="C624" s="8" t="s">
        <v>20</v>
      </c>
      <c r="D624" s="8" t="s">
        <v>23</v>
      </c>
      <c r="E624" s="8" t="s">
        <v>26</v>
      </c>
      <c r="F624" s="9">
        <v>490</v>
      </c>
      <c r="G624" s="9">
        <v>467</v>
      </c>
      <c r="H624" s="9">
        <v>16</v>
      </c>
      <c r="I624" s="9">
        <f t="shared" si="81"/>
        <v>451</v>
      </c>
      <c r="J624" s="9">
        <v>22</v>
      </c>
      <c r="K624" s="10">
        <f t="shared" si="82"/>
        <v>4.583333333333333E-2</v>
      </c>
      <c r="L624" s="17">
        <v>90</v>
      </c>
      <c r="M624" s="17">
        <v>30800</v>
      </c>
      <c r="N624" s="17">
        <f t="shared" si="83"/>
        <v>40590</v>
      </c>
      <c r="O624" s="17">
        <f t="shared" si="84"/>
        <v>9790</v>
      </c>
      <c r="P624" s="10">
        <f t="shared" si="85"/>
        <v>0.95306122448979591</v>
      </c>
      <c r="Q624" s="10">
        <f t="shared" si="86"/>
        <v>3.4261241970021415E-2</v>
      </c>
      <c r="R624" s="10">
        <f t="shared" si="87"/>
        <v>0.24119241192411925</v>
      </c>
      <c r="S624" s="18">
        <f t="shared" si="88"/>
        <v>68.292682926829272</v>
      </c>
      <c r="T624" s="8">
        <f>480-ProductionData[[#This Row],[Downtime Minutes]]</f>
        <v>458</v>
      </c>
      <c r="U624" s="11">
        <f t="shared" si="89"/>
        <v>1.0196506550218341</v>
      </c>
      <c r="V624" s="18">
        <f>ProductionData[[#This Row],[Profit]]/ProductionData[[#This Row],[Good Units]]</f>
        <v>21.707317073170731</v>
      </c>
      <c r="W624" s="11">
        <f>ProductionData[[#This Row],[Good Units]]/ProductionData[[#This Row],[Operating Minutes]]</f>
        <v>0.98471615720524019</v>
      </c>
    </row>
    <row r="625" spans="1:23">
      <c r="A625" s="7">
        <v>46273</v>
      </c>
      <c r="B625" s="8" t="s">
        <v>30</v>
      </c>
      <c r="C625" s="8" t="s">
        <v>20</v>
      </c>
      <c r="D625" s="8" t="s">
        <v>25</v>
      </c>
      <c r="E625" s="8" t="s">
        <v>22</v>
      </c>
      <c r="F625" s="9">
        <v>450</v>
      </c>
      <c r="G625" s="9">
        <v>404</v>
      </c>
      <c r="H625" s="9">
        <v>26</v>
      </c>
      <c r="I625" s="9">
        <f t="shared" si="81"/>
        <v>378</v>
      </c>
      <c r="J625" s="9">
        <v>41</v>
      </c>
      <c r="K625" s="10">
        <f t="shared" si="82"/>
        <v>8.5416666666666669E-2</v>
      </c>
      <c r="L625" s="17">
        <v>100</v>
      </c>
      <c r="M625" s="17">
        <v>30800</v>
      </c>
      <c r="N625" s="17">
        <f t="shared" si="83"/>
        <v>37800</v>
      </c>
      <c r="O625" s="17">
        <f t="shared" si="84"/>
        <v>7000</v>
      </c>
      <c r="P625" s="10">
        <f t="shared" si="85"/>
        <v>0.89777777777777779</v>
      </c>
      <c r="Q625" s="10">
        <f t="shared" si="86"/>
        <v>6.4356435643564358E-2</v>
      </c>
      <c r="R625" s="10">
        <f t="shared" si="87"/>
        <v>0.18518518518518517</v>
      </c>
      <c r="S625" s="18">
        <f t="shared" si="88"/>
        <v>81.481481481481481</v>
      </c>
      <c r="T625" s="8">
        <f>480-ProductionData[[#This Row],[Downtime Minutes]]</f>
        <v>439</v>
      </c>
      <c r="U625" s="11">
        <f t="shared" si="89"/>
        <v>0.92027334851936216</v>
      </c>
      <c r="V625" s="18">
        <f>ProductionData[[#This Row],[Profit]]/ProductionData[[#This Row],[Good Units]]</f>
        <v>18.518518518518519</v>
      </c>
      <c r="W625" s="11">
        <f>ProductionData[[#This Row],[Good Units]]/ProductionData[[#This Row],[Operating Minutes]]</f>
        <v>0.86104783599088841</v>
      </c>
    </row>
    <row r="626" spans="1:23">
      <c r="A626" s="7">
        <v>46273</v>
      </c>
      <c r="B626" s="8" t="s">
        <v>30</v>
      </c>
      <c r="C626" s="8" t="s">
        <v>27</v>
      </c>
      <c r="D626" s="8" t="s">
        <v>21</v>
      </c>
      <c r="E626" s="8" t="s">
        <v>26</v>
      </c>
      <c r="F626" s="9">
        <v>510</v>
      </c>
      <c r="G626" s="9">
        <v>467</v>
      </c>
      <c r="H626" s="9">
        <v>27</v>
      </c>
      <c r="I626" s="9">
        <f t="shared" si="81"/>
        <v>440</v>
      </c>
      <c r="J626" s="9">
        <v>33</v>
      </c>
      <c r="K626" s="10">
        <f t="shared" si="82"/>
        <v>6.8750000000000006E-2</v>
      </c>
      <c r="L626" s="17">
        <v>90</v>
      </c>
      <c r="M626" s="17">
        <v>30800</v>
      </c>
      <c r="N626" s="17">
        <f t="shared" si="83"/>
        <v>39600</v>
      </c>
      <c r="O626" s="17">
        <f t="shared" si="84"/>
        <v>8800</v>
      </c>
      <c r="P626" s="10">
        <f t="shared" si="85"/>
        <v>0.91568627450980389</v>
      </c>
      <c r="Q626" s="10">
        <f t="shared" si="86"/>
        <v>5.7815845824411134E-2</v>
      </c>
      <c r="R626" s="10">
        <f t="shared" si="87"/>
        <v>0.22222222222222221</v>
      </c>
      <c r="S626" s="18">
        <f t="shared" si="88"/>
        <v>70</v>
      </c>
      <c r="T626" s="8">
        <f>480-ProductionData[[#This Row],[Downtime Minutes]]</f>
        <v>447</v>
      </c>
      <c r="U626" s="11">
        <f t="shared" si="89"/>
        <v>1.0447427293064877</v>
      </c>
      <c r="V626" s="18">
        <f>ProductionData[[#This Row],[Profit]]/ProductionData[[#This Row],[Good Units]]</f>
        <v>20</v>
      </c>
      <c r="W626" s="11">
        <f>ProductionData[[#This Row],[Good Units]]/ProductionData[[#This Row],[Operating Minutes]]</f>
        <v>0.98434004474272929</v>
      </c>
    </row>
    <row r="627" spans="1:23">
      <c r="A627" s="7">
        <v>46273</v>
      </c>
      <c r="B627" s="8" t="s">
        <v>30</v>
      </c>
      <c r="C627" s="8" t="s">
        <v>27</v>
      </c>
      <c r="D627" s="8" t="s">
        <v>23</v>
      </c>
      <c r="E627" s="8" t="s">
        <v>22</v>
      </c>
      <c r="F627" s="9">
        <v>460</v>
      </c>
      <c r="G627" s="9">
        <v>411</v>
      </c>
      <c r="H627" s="9">
        <v>26</v>
      </c>
      <c r="I627" s="9">
        <f t="shared" si="81"/>
        <v>385</v>
      </c>
      <c r="J627" s="9">
        <v>50</v>
      </c>
      <c r="K627" s="10">
        <f t="shared" si="82"/>
        <v>0.10416666666666667</v>
      </c>
      <c r="L627" s="17">
        <v>100</v>
      </c>
      <c r="M627" s="17">
        <v>30800</v>
      </c>
      <c r="N627" s="17">
        <f t="shared" si="83"/>
        <v>38500</v>
      </c>
      <c r="O627" s="17">
        <f t="shared" si="84"/>
        <v>7700</v>
      </c>
      <c r="P627" s="10">
        <f t="shared" si="85"/>
        <v>0.89347826086956517</v>
      </c>
      <c r="Q627" s="10">
        <f t="shared" si="86"/>
        <v>6.3260340632603412E-2</v>
      </c>
      <c r="R627" s="10">
        <f t="shared" si="87"/>
        <v>0.2</v>
      </c>
      <c r="S627" s="18">
        <f t="shared" si="88"/>
        <v>80</v>
      </c>
      <c r="T627" s="8">
        <f>480-ProductionData[[#This Row],[Downtime Minutes]]</f>
        <v>430</v>
      </c>
      <c r="U627" s="11">
        <f t="shared" si="89"/>
        <v>0.95581395348837206</v>
      </c>
      <c r="V627" s="18">
        <f>ProductionData[[#This Row],[Profit]]/ProductionData[[#This Row],[Good Units]]</f>
        <v>20</v>
      </c>
      <c r="W627" s="11">
        <f>ProductionData[[#This Row],[Good Units]]/ProductionData[[#This Row],[Operating Minutes]]</f>
        <v>0.89534883720930236</v>
      </c>
    </row>
    <row r="628" spans="1:23">
      <c r="A628" s="7">
        <v>46273</v>
      </c>
      <c r="B628" s="8" t="s">
        <v>30</v>
      </c>
      <c r="C628" s="8" t="s">
        <v>27</v>
      </c>
      <c r="D628" s="8" t="s">
        <v>25</v>
      </c>
      <c r="E628" s="8" t="s">
        <v>24</v>
      </c>
      <c r="F628" s="9">
        <v>400</v>
      </c>
      <c r="G628" s="9">
        <v>336</v>
      </c>
      <c r="H628" s="9">
        <v>19</v>
      </c>
      <c r="I628" s="9">
        <f t="shared" si="81"/>
        <v>317</v>
      </c>
      <c r="J628" s="9">
        <v>58</v>
      </c>
      <c r="K628" s="10">
        <f t="shared" si="82"/>
        <v>0.12083333333333333</v>
      </c>
      <c r="L628" s="17">
        <v>120</v>
      </c>
      <c r="M628" s="17">
        <v>30800</v>
      </c>
      <c r="N628" s="17">
        <f t="shared" si="83"/>
        <v>38040</v>
      </c>
      <c r="O628" s="17">
        <f t="shared" si="84"/>
        <v>7240</v>
      </c>
      <c r="P628" s="10">
        <f t="shared" si="85"/>
        <v>0.84</v>
      </c>
      <c r="Q628" s="10">
        <f t="shared" si="86"/>
        <v>5.6547619047619048E-2</v>
      </c>
      <c r="R628" s="10">
        <f t="shared" si="87"/>
        <v>0.19032597266035753</v>
      </c>
      <c r="S628" s="18">
        <f t="shared" si="88"/>
        <v>97.160883280757105</v>
      </c>
      <c r="T628" s="8">
        <f>480-ProductionData[[#This Row],[Downtime Minutes]]</f>
        <v>422</v>
      </c>
      <c r="U628" s="11">
        <f t="shared" si="89"/>
        <v>0.79620853080568721</v>
      </c>
      <c r="V628" s="18">
        <f>ProductionData[[#This Row],[Profit]]/ProductionData[[#This Row],[Good Units]]</f>
        <v>22.839116719242902</v>
      </c>
      <c r="W628" s="11">
        <f>ProductionData[[#This Row],[Good Units]]/ProductionData[[#This Row],[Operating Minutes]]</f>
        <v>0.75118483412322279</v>
      </c>
    </row>
    <row r="629" spans="1:23">
      <c r="A629" s="7">
        <v>46273</v>
      </c>
      <c r="B629" s="8" t="s">
        <v>30</v>
      </c>
      <c r="C629" s="8" t="s">
        <v>28</v>
      </c>
      <c r="D629" s="8" t="s">
        <v>21</v>
      </c>
      <c r="E629" s="8" t="s">
        <v>22</v>
      </c>
      <c r="F629" s="9">
        <v>440</v>
      </c>
      <c r="G629" s="9">
        <v>418</v>
      </c>
      <c r="H629" s="9">
        <v>19</v>
      </c>
      <c r="I629" s="9">
        <f t="shared" si="81"/>
        <v>399</v>
      </c>
      <c r="J629" s="9">
        <v>39</v>
      </c>
      <c r="K629" s="10">
        <f t="shared" si="82"/>
        <v>8.1250000000000003E-2</v>
      </c>
      <c r="L629" s="17">
        <v>100</v>
      </c>
      <c r="M629" s="17">
        <v>30800</v>
      </c>
      <c r="N629" s="17">
        <f t="shared" si="83"/>
        <v>39900</v>
      </c>
      <c r="O629" s="17">
        <f t="shared" si="84"/>
        <v>9100</v>
      </c>
      <c r="P629" s="10">
        <f t="shared" si="85"/>
        <v>0.95</v>
      </c>
      <c r="Q629" s="10">
        <f t="shared" si="86"/>
        <v>4.5454545454545456E-2</v>
      </c>
      <c r="R629" s="10">
        <f t="shared" si="87"/>
        <v>0.22807017543859648</v>
      </c>
      <c r="S629" s="18">
        <f t="shared" si="88"/>
        <v>77.192982456140356</v>
      </c>
      <c r="T629" s="8">
        <f>480-ProductionData[[#This Row],[Downtime Minutes]]</f>
        <v>441</v>
      </c>
      <c r="U629" s="11">
        <f t="shared" si="89"/>
        <v>0.94784580498866211</v>
      </c>
      <c r="V629" s="18">
        <f>ProductionData[[#This Row],[Profit]]/ProductionData[[#This Row],[Good Units]]</f>
        <v>22.807017543859651</v>
      </c>
      <c r="W629" s="11">
        <f>ProductionData[[#This Row],[Good Units]]/ProductionData[[#This Row],[Operating Minutes]]</f>
        <v>0.90476190476190477</v>
      </c>
    </row>
    <row r="630" spans="1:23">
      <c r="A630" s="7">
        <v>46273</v>
      </c>
      <c r="B630" s="8" t="s">
        <v>30</v>
      </c>
      <c r="C630" s="8" t="s">
        <v>28</v>
      </c>
      <c r="D630" s="8" t="s">
        <v>23</v>
      </c>
      <c r="E630" s="8" t="s">
        <v>24</v>
      </c>
      <c r="F630" s="9">
        <v>410</v>
      </c>
      <c r="G630" s="9">
        <v>390</v>
      </c>
      <c r="H630" s="9">
        <v>12</v>
      </c>
      <c r="I630" s="9">
        <f t="shared" si="81"/>
        <v>378</v>
      </c>
      <c r="J630" s="9">
        <v>21</v>
      </c>
      <c r="K630" s="10">
        <f t="shared" si="82"/>
        <v>4.3749999999999997E-2</v>
      </c>
      <c r="L630" s="17">
        <v>120</v>
      </c>
      <c r="M630" s="17">
        <v>30800</v>
      </c>
      <c r="N630" s="17">
        <f t="shared" si="83"/>
        <v>45360</v>
      </c>
      <c r="O630" s="17">
        <f t="shared" si="84"/>
        <v>14560</v>
      </c>
      <c r="P630" s="10">
        <f t="shared" si="85"/>
        <v>0.95121951219512191</v>
      </c>
      <c r="Q630" s="10">
        <f t="shared" si="86"/>
        <v>3.0769230769230771E-2</v>
      </c>
      <c r="R630" s="10">
        <f t="shared" si="87"/>
        <v>0.32098765432098764</v>
      </c>
      <c r="S630" s="18">
        <f t="shared" si="88"/>
        <v>81.481481481481481</v>
      </c>
      <c r="T630" s="8">
        <f>480-ProductionData[[#This Row],[Downtime Minutes]]</f>
        <v>459</v>
      </c>
      <c r="U630" s="11">
        <f t="shared" si="89"/>
        <v>0.84967320261437906</v>
      </c>
      <c r="V630" s="18">
        <f>ProductionData[[#This Row],[Profit]]/ProductionData[[#This Row],[Good Units]]</f>
        <v>38.518518518518519</v>
      </c>
      <c r="W630" s="11">
        <f>ProductionData[[#This Row],[Good Units]]/ProductionData[[#This Row],[Operating Minutes]]</f>
        <v>0.82352941176470584</v>
      </c>
    </row>
    <row r="631" spans="1:23">
      <c r="A631" s="7">
        <v>46273</v>
      </c>
      <c r="B631" s="8" t="s">
        <v>30</v>
      </c>
      <c r="C631" s="8" t="s">
        <v>28</v>
      </c>
      <c r="D631" s="8" t="s">
        <v>25</v>
      </c>
      <c r="E631" s="8" t="s">
        <v>26</v>
      </c>
      <c r="F631" s="9">
        <v>520</v>
      </c>
      <c r="G631" s="9">
        <v>462</v>
      </c>
      <c r="H631" s="9">
        <v>18</v>
      </c>
      <c r="I631" s="9">
        <f t="shared" si="81"/>
        <v>444</v>
      </c>
      <c r="J631" s="9">
        <v>38</v>
      </c>
      <c r="K631" s="10">
        <f t="shared" si="82"/>
        <v>7.9166666666666663E-2</v>
      </c>
      <c r="L631" s="17">
        <v>90</v>
      </c>
      <c r="M631" s="17">
        <v>30800</v>
      </c>
      <c r="N631" s="17">
        <f t="shared" si="83"/>
        <v>39960</v>
      </c>
      <c r="O631" s="17">
        <f t="shared" si="84"/>
        <v>9160</v>
      </c>
      <c r="P631" s="10">
        <f t="shared" si="85"/>
        <v>0.88846153846153841</v>
      </c>
      <c r="Q631" s="10">
        <f t="shared" si="86"/>
        <v>3.896103896103896E-2</v>
      </c>
      <c r="R631" s="10">
        <f t="shared" si="87"/>
        <v>0.22922922922922923</v>
      </c>
      <c r="S631" s="18">
        <f t="shared" si="88"/>
        <v>69.369369369369366</v>
      </c>
      <c r="T631" s="8">
        <f>480-ProductionData[[#This Row],[Downtime Minutes]]</f>
        <v>442</v>
      </c>
      <c r="U631" s="11">
        <f t="shared" si="89"/>
        <v>1.0452488687782806</v>
      </c>
      <c r="V631" s="18">
        <f>ProductionData[[#This Row],[Profit]]/ProductionData[[#This Row],[Good Units]]</f>
        <v>20.63063063063063</v>
      </c>
      <c r="W631" s="11">
        <f>ProductionData[[#This Row],[Good Units]]/ProductionData[[#This Row],[Operating Minutes]]</f>
        <v>1.004524886877828</v>
      </c>
    </row>
    <row r="632" spans="1:23">
      <c r="A632" s="7">
        <v>46274</v>
      </c>
      <c r="B632" s="8" t="s">
        <v>30</v>
      </c>
      <c r="C632" s="8" t="s">
        <v>20</v>
      </c>
      <c r="D632" s="8" t="s">
        <v>21</v>
      </c>
      <c r="E632" s="8" t="s">
        <v>26</v>
      </c>
      <c r="F632" s="9">
        <v>520</v>
      </c>
      <c r="G632" s="9">
        <v>472</v>
      </c>
      <c r="H632" s="9">
        <v>16</v>
      </c>
      <c r="I632" s="9">
        <f t="shared" si="81"/>
        <v>456</v>
      </c>
      <c r="J632" s="9">
        <v>36</v>
      </c>
      <c r="K632" s="10">
        <f t="shared" si="82"/>
        <v>7.4999999999999997E-2</v>
      </c>
      <c r="L632" s="17">
        <v>90</v>
      </c>
      <c r="M632" s="17">
        <v>30800</v>
      </c>
      <c r="N632" s="17">
        <f t="shared" si="83"/>
        <v>41040</v>
      </c>
      <c r="O632" s="17">
        <f t="shared" si="84"/>
        <v>10240</v>
      </c>
      <c r="P632" s="10">
        <f t="shared" si="85"/>
        <v>0.90769230769230769</v>
      </c>
      <c r="Q632" s="10">
        <f t="shared" si="86"/>
        <v>3.3898305084745763E-2</v>
      </c>
      <c r="R632" s="10">
        <f t="shared" si="87"/>
        <v>0.24951267056530213</v>
      </c>
      <c r="S632" s="18">
        <f t="shared" si="88"/>
        <v>67.543859649122808</v>
      </c>
      <c r="T632" s="8">
        <f>480-ProductionData[[#This Row],[Downtime Minutes]]</f>
        <v>444</v>
      </c>
      <c r="U632" s="11">
        <f t="shared" si="89"/>
        <v>1.0630630630630631</v>
      </c>
      <c r="V632" s="18">
        <f>ProductionData[[#This Row],[Profit]]/ProductionData[[#This Row],[Good Units]]</f>
        <v>22.456140350877192</v>
      </c>
      <c r="W632" s="11">
        <f>ProductionData[[#This Row],[Good Units]]/ProductionData[[#This Row],[Operating Minutes]]</f>
        <v>1.027027027027027</v>
      </c>
    </row>
    <row r="633" spans="1:23">
      <c r="A633" s="7">
        <v>46274</v>
      </c>
      <c r="B633" s="8" t="s">
        <v>30</v>
      </c>
      <c r="C633" s="8" t="s">
        <v>20</v>
      </c>
      <c r="D633" s="8" t="s">
        <v>23</v>
      </c>
      <c r="E633" s="8" t="s">
        <v>22</v>
      </c>
      <c r="F633" s="9">
        <v>440</v>
      </c>
      <c r="G633" s="9">
        <v>409</v>
      </c>
      <c r="H633" s="9">
        <v>18</v>
      </c>
      <c r="I633" s="9">
        <f t="shared" si="81"/>
        <v>391</v>
      </c>
      <c r="J633" s="9">
        <v>45</v>
      </c>
      <c r="K633" s="10">
        <f t="shared" si="82"/>
        <v>9.375E-2</v>
      </c>
      <c r="L633" s="17">
        <v>100</v>
      </c>
      <c r="M633" s="17">
        <v>30800</v>
      </c>
      <c r="N633" s="17">
        <f t="shared" si="83"/>
        <v>39100</v>
      </c>
      <c r="O633" s="17">
        <f t="shared" si="84"/>
        <v>8300</v>
      </c>
      <c r="P633" s="10">
        <f t="shared" si="85"/>
        <v>0.92954545454545456</v>
      </c>
      <c r="Q633" s="10">
        <f t="shared" si="86"/>
        <v>4.4009779951100246E-2</v>
      </c>
      <c r="R633" s="10">
        <f t="shared" si="87"/>
        <v>0.21227621483375958</v>
      </c>
      <c r="S633" s="18">
        <f t="shared" si="88"/>
        <v>78.772378516624045</v>
      </c>
      <c r="T633" s="8">
        <f>480-ProductionData[[#This Row],[Downtime Minutes]]</f>
        <v>435</v>
      </c>
      <c r="U633" s="11">
        <f t="shared" si="89"/>
        <v>0.94022988505747129</v>
      </c>
      <c r="V633" s="18">
        <f>ProductionData[[#This Row],[Profit]]/ProductionData[[#This Row],[Good Units]]</f>
        <v>21.227621483375959</v>
      </c>
      <c r="W633" s="11">
        <f>ProductionData[[#This Row],[Good Units]]/ProductionData[[#This Row],[Operating Minutes]]</f>
        <v>0.89885057471264362</v>
      </c>
    </row>
    <row r="634" spans="1:23">
      <c r="A634" s="7">
        <v>46274</v>
      </c>
      <c r="B634" s="8" t="s">
        <v>30</v>
      </c>
      <c r="C634" s="8" t="s">
        <v>20</v>
      </c>
      <c r="D634" s="8" t="s">
        <v>25</v>
      </c>
      <c r="E634" s="8" t="s">
        <v>24</v>
      </c>
      <c r="F634" s="9">
        <v>420</v>
      </c>
      <c r="G634" s="9">
        <v>368</v>
      </c>
      <c r="H634" s="9">
        <v>14</v>
      </c>
      <c r="I634" s="9">
        <f t="shared" si="81"/>
        <v>354</v>
      </c>
      <c r="J634" s="9">
        <v>32</v>
      </c>
      <c r="K634" s="10">
        <f t="shared" si="82"/>
        <v>6.6666666666666666E-2</v>
      </c>
      <c r="L634" s="17">
        <v>120</v>
      </c>
      <c r="M634" s="17">
        <v>30800</v>
      </c>
      <c r="N634" s="17">
        <f t="shared" si="83"/>
        <v>42480</v>
      </c>
      <c r="O634" s="17">
        <f t="shared" si="84"/>
        <v>11680</v>
      </c>
      <c r="P634" s="10">
        <f t="shared" si="85"/>
        <v>0.87619047619047619</v>
      </c>
      <c r="Q634" s="10">
        <f t="shared" si="86"/>
        <v>3.8043478260869568E-2</v>
      </c>
      <c r="R634" s="10">
        <f t="shared" si="87"/>
        <v>0.27495291902071561</v>
      </c>
      <c r="S634" s="18">
        <f t="shared" si="88"/>
        <v>87.005649717514117</v>
      </c>
      <c r="T634" s="8">
        <f>480-ProductionData[[#This Row],[Downtime Minutes]]</f>
        <v>448</v>
      </c>
      <c r="U634" s="11">
        <f t="shared" si="89"/>
        <v>0.8214285714285714</v>
      </c>
      <c r="V634" s="18">
        <f>ProductionData[[#This Row],[Profit]]/ProductionData[[#This Row],[Good Units]]</f>
        <v>32.994350282485875</v>
      </c>
      <c r="W634" s="11">
        <f>ProductionData[[#This Row],[Good Units]]/ProductionData[[#This Row],[Operating Minutes]]</f>
        <v>0.7901785714285714</v>
      </c>
    </row>
    <row r="635" spans="1:23">
      <c r="A635" s="7">
        <v>46274</v>
      </c>
      <c r="B635" s="8" t="s">
        <v>30</v>
      </c>
      <c r="C635" s="8" t="s">
        <v>27</v>
      </c>
      <c r="D635" s="8" t="s">
        <v>21</v>
      </c>
      <c r="E635" s="8" t="s">
        <v>22</v>
      </c>
      <c r="F635" s="9">
        <v>460</v>
      </c>
      <c r="G635" s="9">
        <v>409</v>
      </c>
      <c r="H635" s="9">
        <v>27</v>
      </c>
      <c r="I635" s="9">
        <f t="shared" si="81"/>
        <v>382</v>
      </c>
      <c r="J635" s="9">
        <v>52</v>
      </c>
      <c r="K635" s="10">
        <f t="shared" si="82"/>
        <v>0.10833333333333334</v>
      </c>
      <c r="L635" s="17">
        <v>100</v>
      </c>
      <c r="M635" s="17">
        <v>30800</v>
      </c>
      <c r="N635" s="17">
        <f t="shared" si="83"/>
        <v>38200</v>
      </c>
      <c r="O635" s="17">
        <f t="shared" si="84"/>
        <v>7400</v>
      </c>
      <c r="P635" s="10">
        <f t="shared" si="85"/>
        <v>0.88913043478260867</v>
      </c>
      <c r="Q635" s="10">
        <f t="shared" si="86"/>
        <v>6.6014669926650366E-2</v>
      </c>
      <c r="R635" s="10">
        <f t="shared" si="87"/>
        <v>0.193717277486911</v>
      </c>
      <c r="S635" s="18">
        <f t="shared" si="88"/>
        <v>80.6282722513089</v>
      </c>
      <c r="T635" s="8">
        <f>480-ProductionData[[#This Row],[Downtime Minutes]]</f>
        <v>428</v>
      </c>
      <c r="U635" s="11">
        <f t="shared" si="89"/>
        <v>0.95560747663551404</v>
      </c>
      <c r="V635" s="18">
        <f>ProductionData[[#This Row],[Profit]]/ProductionData[[#This Row],[Good Units]]</f>
        <v>19.3717277486911</v>
      </c>
      <c r="W635" s="11">
        <f>ProductionData[[#This Row],[Good Units]]/ProductionData[[#This Row],[Operating Minutes]]</f>
        <v>0.89252336448598135</v>
      </c>
    </row>
    <row r="636" spans="1:23">
      <c r="A636" s="7">
        <v>46274</v>
      </c>
      <c r="B636" s="8" t="s">
        <v>30</v>
      </c>
      <c r="C636" s="8" t="s">
        <v>27</v>
      </c>
      <c r="D636" s="8" t="s">
        <v>23</v>
      </c>
      <c r="E636" s="8" t="s">
        <v>24</v>
      </c>
      <c r="F636" s="9">
        <v>420</v>
      </c>
      <c r="G636" s="9">
        <v>359</v>
      </c>
      <c r="H636" s="9">
        <v>16</v>
      </c>
      <c r="I636" s="9">
        <f t="shared" si="81"/>
        <v>343</v>
      </c>
      <c r="J636" s="9">
        <v>47</v>
      </c>
      <c r="K636" s="10">
        <f t="shared" si="82"/>
        <v>9.7916666666666666E-2</v>
      </c>
      <c r="L636" s="17">
        <v>120</v>
      </c>
      <c r="M636" s="17">
        <v>30800</v>
      </c>
      <c r="N636" s="17">
        <f t="shared" si="83"/>
        <v>41160</v>
      </c>
      <c r="O636" s="17">
        <f t="shared" si="84"/>
        <v>10360</v>
      </c>
      <c r="P636" s="10">
        <f t="shared" si="85"/>
        <v>0.85476190476190472</v>
      </c>
      <c r="Q636" s="10">
        <f t="shared" si="86"/>
        <v>4.456824512534819E-2</v>
      </c>
      <c r="R636" s="10">
        <f t="shared" si="87"/>
        <v>0.25170068027210885</v>
      </c>
      <c r="S636" s="18">
        <f t="shared" si="88"/>
        <v>89.795918367346943</v>
      </c>
      <c r="T636" s="8">
        <f>480-ProductionData[[#This Row],[Downtime Minutes]]</f>
        <v>433</v>
      </c>
      <c r="U636" s="11">
        <f t="shared" si="89"/>
        <v>0.82909930715935332</v>
      </c>
      <c r="V636" s="18">
        <f>ProductionData[[#This Row],[Profit]]/ProductionData[[#This Row],[Good Units]]</f>
        <v>30.204081632653061</v>
      </c>
      <c r="W636" s="11">
        <f>ProductionData[[#This Row],[Good Units]]/ProductionData[[#This Row],[Operating Minutes]]</f>
        <v>0.79214780600461898</v>
      </c>
    </row>
    <row r="637" spans="1:23">
      <c r="A637" s="7">
        <v>46274</v>
      </c>
      <c r="B637" s="8" t="s">
        <v>30</v>
      </c>
      <c r="C637" s="8" t="s">
        <v>27</v>
      </c>
      <c r="D637" s="8" t="s">
        <v>25</v>
      </c>
      <c r="E637" s="8" t="s">
        <v>26</v>
      </c>
      <c r="F637" s="9">
        <v>510</v>
      </c>
      <c r="G637" s="9">
        <v>420</v>
      </c>
      <c r="H637" s="9">
        <v>27</v>
      </c>
      <c r="I637" s="9">
        <f t="shared" si="81"/>
        <v>393</v>
      </c>
      <c r="J637" s="9">
        <v>57</v>
      </c>
      <c r="K637" s="10">
        <f t="shared" si="82"/>
        <v>0.11874999999999999</v>
      </c>
      <c r="L637" s="17">
        <v>90</v>
      </c>
      <c r="M637" s="17">
        <v>30800</v>
      </c>
      <c r="N637" s="17">
        <f t="shared" si="83"/>
        <v>35370</v>
      </c>
      <c r="O637" s="17">
        <f t="shared" si="84"/>
        <v>4570</v>
      </c>
      <c r="P637" s="10">
        <f t="shared" si="85"/>
        <v>0.82352941176470584</v>
      </c>
      <c r="Q637" s="10">
        <f t="shared" si="86"/>
        <v>6.4285714285714279E-2</v>
      </c>
      <c r="R637" s="10">
        <f t="shared" si="87"/>
        <v>0.12920554141928187</v>
      </c>
      <c r="S637" s="18">
        <f t="shared" si="88"/>
        <v>78.371501272264638</v>
      </c>
      <c r="T637" s="8">
        <f>480-ProductionData[[#This Row],[Downtime Minutes]]</f>
        <v>423</v>
      </c>
      <c r="U637" s="11">
        <f t="shared" si="89"/>
        <v>0.99290780141843971</v>
      </c>
      <c r="V637" s="18">
        <f>ProductionData[[#This Row],[Profit]]/ProductionData[[#This Row],[Good Units]]</f>
        <v>11.628498727735369</v>
      </c>
      <c r="W637" s="11">
        <f>ProductionData[[#This Row],[Good Units]]/ProductionData[[#This Row],[Operating Minutes]]</f>
        <v>0.92907801418439717</v>
      </c>
    </row>
    <row r="638" spans="1:23">
      <c r="A638" s="7">
        <v>46274</v>
      </c>
      <c r="B638" s="8" t="s">
        <v>30</v>
      </c>
      <c r="C638" s="8" t="s">
        <v>28</v>
      </c>
      <c r="D638" s="8" t="s">
        <v>21</v>
      </c>
      <c r="E638" s="8" t="s">
        <v>24</v>
      </c>
      <c r="F638" s="9">
        <v>410</v>
      </c>
      <c r="G638" s="9">
        <v>387</v>
      </c>
      <c r="H638" s="9">
        <v>7</v>
      </c>
      <c r="I638" s="9">
        <f t="shared" si="81"/>
        <v>380</v>
      </c>
      <c r="J638" s="9">
        <v>20</v>
      </c>
      <c r="K638" s="10">
        <f t="shared" si="82"/>
        <v>4.1666666666666664E-2</v>
      </c>
      <c r="L638" s="17">
        <v>120</v>
      </c>
      <c r="M638" s="17">
        <v>30800</v>
      </c>
      <c r="N638" s="17">
        <f t="shared" si="83"/>
        <v>45600</v>
      </c>
      <c r="O638" s="17">
        <f t="shared" si="84"/>
        <v>14800</v>
      </c>
      <c r="P638" s="10">
        <f t="shared" si="85"/>
        <v>0.94390243902439019</v>
      </c>
      <c r="Q638" s="10">
        <f t="shared" si="86"/>
        <v>1.8087855297157621E-2</v>
      </c>
      <c r="R638" s="10">
        <f t="shared" si="87"/>
        <v>0.32456140350877194</v>
      </c>
      <c r="S638" s="18">
        <f t="shared" si="88"/>
        <v>81.05263157894737</v>
      </c>
      <c r="T638" s="8">
        <f>480-ProductionData[[#This Row],[Downtime Minutes]]</f>
        <v>460</v>
      </c>
      <c r="U638" s="11">
        <f t="shared" si="89"/>
        <v>0.84130434782608698</v>
      </c>
      <c r="V638" s="18">
        <f>ProductionData[[#This Row],[Profit]]/ProductionData[[#This Row],[Good Units]]</f>
        <v>38.94736842105263</v>
      </c>
      <c r="W638" s="11">
        <f>ProductionData[[#This Row],[Good Units]]/ProductionData[[#This Row],[Operating Minutes]]</f>
        <v>0.82608695652173914</v>
      </c>
    </row>
    <row r="639" spans="1:23">
      <c r="A639" s="7">
        <v>46274</v>
      </c>
      <c r="B639" s="8" t="s">
        <v>30</v>
      </c>
      <c r="C639" s="8" t="s">
        <v>28</v>
      </c>
      <c r="D639" s="8" t="s">
        <v>23</v>
      </c>
      <c r="E639" s="8" t="s">
        <v>26</v>
      </c>
      <c r="F639" s="9">
        <v>510</v>
      </c>
      <c r="G639" s="9">
        <v>491</v>
      </c>
      <c r="H639" s="9">
        <v>14</v>
      </c>
      <c r="I639" s="9">
        <f t="shared" si="81"/>
        <v>477</v>
      </c>
      <c r="J639" s="9">
        <v>20</v>
      </c>
      <c r="K639" s="10">
        <f t="shared" si="82"/>
        <v>4.1666666666666664E-2</v>
      </c>
      <c r="L639" s="17">
        <v>90</v>
      </c>
      <c r="M639" s="17">
        <v>30800</v>
      </c>
      <c r="N639" s="17">
        <f t="shared" si="83"/>
        <v>42930</v>
      </c>
      <c r="O639" s="17">
        <f t="shared" si="84"/>
        <v>12130</v>
      </c>
      <c r="P639" s="10">
        <f t="shared" si="85"/>
        <v>0.96274509803921571</v>
      </c>
      <c r="Q639" s="10">
        <f t="shared" si="86"/>
        <v>2.8513238289205704E-2</v>
      </c>
      <c r="R639" s="10">
        <f t="shared" si="87"/>
        <v>0.28255299324481714</v>
      </c>
      <c r="S639" s="18">
        <f t="shared" si="88"/>
        <v>64.570230607966451</v>
      </c>
      <c r="T639" s="8">
        <f>480-ProductionData[[#This Row],[Downtime Minutes]]</f>
        <v>460</v>
      </c>
      <c r="U639" s="11">
        <f t="shared" si="89"/>
        <v>1.067391304347826</v>
      </c>
      <c r="V639" s="18">
        <f>ProductionData[[#This Row],[Profit]]/ProductionData[[#This Row],[Good Units]]</f>
        <v>25.429769392033542</v>
      </c>
      <c r="W639" s="11">
        <f>ProductionData[[#This Row],[Good Units]]/ProductionData[[#This Row],[Operating Minutes]]</f>
        <v>1.0369565217391303</v>
      </c>
    </row>
    <row r="640" spans="1:23">
      <c r="A640" s="7">
        <v>46274</v>
      </c>
      <c r="B640" s="8" t="s">
        <v>30</v>
      </c>
      <c r="C640" s="8" t="s">
        <v>28</v>
      </c>
      <c r="D640" s="8" t="s">
        <v>25</v>
      </c>
      <c r="E640" s="8" t="s">
        <v>22</v>
      </c>
      <c r="F640" s="9">
        <v>430</v>
      </c>
      <c r="G640" s="9">
        <v>387</v>
      </c>
      <c r="H640" s="9">
        <v>21</v>
      </c>
      <c r="I640" s="9">
        <f t="shared" si="81"/>
        <v>366</v>
      </c>
      <c r="J640" s="9">
        <v>46</v>
      </c>
      <c r="K640" s="10">
        <f t="shared" si="82"/>
        <v>9.583333333333334E-2</v>
      </c>
      <c r="L640" s="17">
        <v>100</v>
      </c>
      <c r="M640" s="17">
        <v>30800</v>
      </c>
      <c r="N640" s="17">
        <f t="shared" si="83"/>
        <v>36600</v>
      </c>
      <c r="O640" s="17">
        <f t="shared" si="84"/>
        <v>5800</v>
      </c>
      <c r="P640" s="10">
        <f t="shared" si="85"/>
        <v>0.9</v>
      </c>
      <c r="Q640" s="10">
        <f t="shared" si="86"/>
        <v>5.4263565891472867E-2</v>
      </c>
      <c r="R640" s="10">
        <f t="shared" si="87"/>
        <v>0.15846994535519127</v>
      </c>
      <c r="S640" s="18">
        <f t="shared" si="88"/>
        <v>84.15300546448087</v>
      </c>
      <c r="T640" s="8">
        <f>480-ProductionData[[#This Row],[Downtime Minutes]]</f>
        <v>434</v>
      </c>
      <c r="U640" s="11">
        <f t="shared" si="89"/>
        <v>0.89170506912442393</v>
      </c>
      <c r="V640" s="18">
        <f>ProductionData[[#This Row],[Profit]]/ProductionData[[#This Row],[Good Units]]</f>
        <v>15.846994535519126</v>
      </c>
      <c r="W640" s="11">
        <f>ProductionData[[#This Row],[Good Units]]/ProductionData[[#This Row],[Operating Minutes]]</f>
        <v>0.84331797235023043</v>
      </c>
    </row>
    <row r="641" spans="1:23">
      <c r="A641" s="7">
        <v>46275</v>
      </c>
      <c r="B641" s="8" t="s">
        <v>30</v>
      </c>
      <c r="C641" s="8" t="s">
        <v>20</v>
      </c>
      <c r="D641" s="8" t="s">
        <v>21</v>
      </c>
      <c r="E641" s="8" t="s">
        <v>22</v>
      </c>
      <c r="F641" s="9">
        <v>440</v>
      </c>
      <c r="G641" s="9">
        <v>405</v>
      </c>
      <c r="H641" s="9">
        <v>18</v>
      </c>
      <c r="I641" s="9">
        <f t="shared" si="81"/>
        <v>387</v>
      </c>
      <c r="J641" s="9">
        <v>36</v>
      </c>
      <c r="K641" s="10">
        <f t="shared" si="82"/>
        <v>7.4999999999999997E-2</v>
      </c>
      <c r="L641" s="17">
        <v>100</v>
      </c>
      <c r="M641" s="17">
        <v>30800</v>
      </c>
      <c r="N641" s="17">
        <f t="shared" si="83"/>
        <v>38700</v>
      </c>
      <c r="O641" s="17">
        <f t="shared" si="84"/>
        <v>7900</v>
      </c>
      <c r="P641" s="10">
        <f t="shared" si="85"/>
        <v>0.92045454545454541</v>
      </c>
      <c r="Q641" s="10">
        <f t="shared" si="86"/>
        <v>4.4444444444444446E-2</v>
      </c>
      <c r="R641" s="10">
        <f t="shared" si="87"/>
        <v>0.20413436692506459</v>
      </c>
      <c r="S641" s="18">
        <f t="shared" si="88"/>
        <v>79.586563307493535</v>
      </c>
      <c r="T641" s="8">
        <f>480-ProductionData[[#This Row],[Downtime Minutes]]</f>
        <v>444</v>
      </c>
      <c r="U641" s="11">
        <f t="shared" si="89"/>
        <v>0.91216216216216217</v>
      </c>
      <c r="V641" s="18">
        <f>ProductionData[[#This Row],[Profit]]/ProductionData[[#This Row],[Good Units]]</f>
        <v>20.413436692506458</v>
      </c>
      <c r="W641" s="11">
        <f>ProductionData[[#This Row],[Good Units]]/ProductionData[[#This Row],[Operating Minutes]]</f>
        <v>0.8716216216216216</v>
      </c>
    </row>
    <row r="642" spans="1:23">
      <c r="A642" s="7">
        <v>46275</v>
      </c>
      <c r="B642" s="8" t="s">
        <v>30</v>
      </c>
      <c r="C642" s="8" t="s">
        <v>20</v>
      </c>
      <c r="D642" s="8" t="s">
        <v>23</v>
      </c>
      <c r="E642" s="8" t="s">
        <v>24</v>
      </c>
      <c r="F642" s="9">
        <v>400</v>
      </c>
      <c r="G642" s="9">
        <v>383</v>
      </c>
      <c r="H642" s="9">
        <v>11</v>
      </c>
      <c r="I642" s="9">
        <f t="shared" ref="I642:I705" si="90">G642-H642</f>
        <v>372</v>
      </c>
      <c r="J642" s="9">
        <v>34</v>
      </c>
      <c r="K642" s="10">
        <f t="shared" ref="K642:K705" si="91">J642/480</f>
        <v>7.0833333333333331E-2</v>
      </c>
      <c r="L642" s="17">
        <v>120</v>
      </c>
      <c r="M642" s="17">
        <v>30800</v>
      </c>
      <c r="N642" s="17">
        <f t="shared" ref="N642:N705" si="92">I642*L642</f>
        <v>44640</v>
      </c>
      <c r="O642" s="17">
        <f t="shared" ref="O642:O705" si="93">N642-M642</f>
        <v>13840</v>
      </c>
      <c r="P642" s="10">
        <f t="shared" ref="P642:P705" si="94">G642/F642</f>
        <v>0.95750000000000002</v>
      </c>
      <c r="Q642" s="10">
        <f t="shared" ref="Q642:Q705" si="95">H642/G642</f>
        <v>2.8720626631853787E-2</v>
      </c>
      <c r="R642" s="10">
        <f t="shared" ref="R642:R705" si="96">O642/N642</f>
        <v>0.31003584229390679</v>
      </c>
      <c r="S642" s="18">
        <f t="shared" ref="S642:S705" si="97">M642/I642</f>
        <v>82.795698924731184</v>
      </c>
      <c r="T642" s="8">
        <f>480-ProductionData[[#This Row],[Downtime Minutes]]</f>
        <v>446</v>
      </c>
      <c r="U642" s="11">
        <f t="shared" ref="U642:U705" si="98">G642/T642</f>
        <v>0.85874439461883412</v>
      </c>
      <c r="V642" s="18">
        <f>ProductionData[[#This Row],[Profit]]/ProductionData[[#This Row],[Good Units]]</f>
        <v>37.204301075268816</v>
      </c>
      <c r="W642" s="11">
        <f>ProductionData[[#This Row],[Good Units]]/ProductionData[[#This Row],[Operating Minutes]]</f>
        <v>0.8340807174887892</v>
      </c>
    </row>
    <row r="643" spans="1:23">
      <c r="A643" s="7">
        <v>46275</v>
      </c>
      <c r="B643" s="8" t="s">
        <v>30</v>
      </c>
      <c r="C643" s="8" t="s">
        <v>20</v>
      </c>
      <c r="D643" s="8" t="s">
        <v>25</v>
      </c>
      <c r="E643" s="8" t="s">
        <v>26</v>
      </c>
      <c r="F643" s="9">
        <v>490</v>
      </c>
      <c r="G643" s="9">
        <v>430</v>
      </c>
      <c r="H643" s="9">
        <v>17</v>
      </c>
      <c r="I643" s="9">
        <f t="shared" si="90"/>
        <v>413</v>
      </c>
      <c r="J643" s="9">
        <v>47</v>
      </c>
      <c r="K643" s="10">
        <f t="shared" si="91"/>
        <v>9.7916666666666666E-2</v>
      </c>
      <c r="L643" s="17">
        <v>90</v>
      </c>
      <c r="M643" s="17">
        <v>30800</v>
      </c>
      <c r="N643" s="17">
        <f t="shared" si="92"/>
        <v>37170</v>
      </c>
      <c r="O643" s="17">
        <f t="shared" si="93"/>
        <v>6370</v>
      </c>
      <c r="P643" s="10">
        <f t="shared" si="94"/>
        <v>0.87755102040816324</v>
      </c>
      <c r="Q643" s="10">
        <f t="shared" si="95"/>
        <v>3.9534883720930232E-2</v>
      </c>
      <c r="R643" s="10">
        <f t="shared" si="96"/>
        <v>0.17137476459510359</v>
      </c>
      <c r="S643" s="18">
        <f t="shared" si="97"/>
        <v>74.576271186440678</v>
      </c>
      <c r="T643" s="8">
        <f>480-ProductionData[[#This Row],[Downtime Minutes]]</f>
        <v>433</v>
      </c>
      <c r="U643" s="11">
        <f t="shared" si="98"/>
        <v>0.99307159353348728</v>
      </c>
      <c r="V643" s="18">
        <f>ProductionData[[#This Row],[Profit]]/ProductionData[[#This Row],[Good Units]]</f>
        <v>15.423728813559322</v>
      </c>
      <c r="W643" s="11">
        <f>ProductionData[[#This Row],[Good Units]]/ProductionData[[#This Row],[Operating Minutes]]</f>
        <v>0.95381062355658197</v>
      </c>
    </row>
    <row r="644" spans="1:23">
      <c r="A644" s="7">
        <v>46275</v>
      </c>
      <c r="B644" s="8" t="s">
        <v>30</v>
      </c>
      <c r="C644" s="8" t="s">
        <v>27</v>
      </c>
      <c r="D644" s="8" t="s">
        <v>21</v>
      </c>
      <c r="E644" s="8" t="s">
        <v>24</v>
      </c>
      <c r="F644" s="9">
        <v>410</v>
      </c>
      <c r="G644" s="9">
        <v>370</v>
      </c>
      <c r="H644" s="9">
        <v>14</v>
      </c>
      <c r="I644" s="9">
        <f t="shared" si="90"/>
        <v>356</v>
      </c>
      <c r="J644" s="9">
        <v>46</v>
      </c>
      <c r="K644" s="10">
        <f t="shared" si="91"/>
        <v>9.583333333333334E-2</v>
      </c>
      <c r="L644" s="17">
        <v>120</v>
      </c>
      <c r="M644" s="17">
        <v>30800</v>
      </c>
      <c r="N644" s="17">
        <f t="shared" si="92"/>
        <v>42720</v>
      </c>
      <c r="O644" s="17">
        <f t="shared" si="93"/>
        <v>11920</v>
      </c>
      <c r="P644" s="10">
        <f t="shared" si="94"/>
        <v>0.90243902439024393</v>
      </c>
      <c r="Q644" s="10">
        <f t="shared" si="95"/>
        <v>3.783783783783784E-2</v>
      </c>
      <c r="R644" s="10">
        <f t="shared" si="96"/>
        <v>0.27902621722846443</v>
      </c>
      <c r="S644" s="18">
        <f t="shared" si="97"/>
        <v>86.516853932584269</v>
      </c>
      <c r="T644" s="8">
        <f>480-ProductionData[[#This Row],[Downtime Minutes]]</f>
        <v>434</v>
      </c>
      <c r="U644" s="11">
        <f t="shared" si="98"/>
        <v>0.85253456221198154</v>
      </c>
      <c r="V644" s="18">
        <f>ProductionData[[#This Row],[Profit]]/ProductionData[[#This Row],[Good Units]]</f>
        <v>33.483146067415731</v>
      </c>
      <c r="W644" s="11">
        <f>ProductionData[[#This Row],[Good Units]]/ProductionData[[#This Row],[Operating Minutes]]</f>
        <v>0.82027649769585254</v>
      </c>
    </row>
    <row r="645" spans="1:23">
      <c r="A645" s="7">
        <v>46275</v>
      </c>
      <c r="B645" s="8" t="s">
        <v>30</v>
      </c>
      <c r="C645" s="8" t="s">
        <v>27</v>
      </c>
      <c r="D645" s="8" t="s">
        <v>23</v>
      </c>
      <c r="E645" s="8" t="s">
        <v>26</v>
      </c>
      <c r="F645" s="9">
        <v>480</v>
      </c>
      <c r="G645" s="9">
        <v>415</v>
      </c>
      <c r="H645" s="9">
        <v>22</v>
      </c>
      <c r="I645" s="9">
        <f t="shared" si="90"/>
        <v>393</v>
      </c>
      <c r="J645" s="9">
        <v>54</v>
      </c>
      <c r="K645" s="10">
        <f t="shared" si="91"/>
        <v>0.1125</v>
      </c>
      <c r="L645" s="17">
        <v>90</v>
      </c>
      <c r="M645" s="17">
        <v>30800</v>
      </c>
      <c r="N645" s="17">
        <f t="shared" si="92"/>
        <v>35370</v>
      </c>
      <c r="O645" s="17">
        <f t="shared" si="93"/>
        <v>4570</v>
      </c>
      <c r="P645" s="10">
        <f t="shared" si="94"/>
        <v>0.86458333333333337</v>
      </c>
      <c r="Q645" s="10">
        <f t="shared" si="95"/>
        <v>5.3012048192771083E-2</v>
      </c>
      <c r="R645" s="10">
        <f t="shared" si="96"/>
        <v>0.12920554141928187</v>
      </c>
      <c r="S645" s="18">
        <f t="shared" si="97"/>
        <v>78.371501272264638</v>
      </c>
      <c r="T645" s="8">
        <f>480-ProductionData[[#This Row],[Downtime Minutes]]</f>
        <v>426</v>
      </c>
      <c r="U645" s="11">
        <f t="shared" si="98"/>
        <v>0.9741784037558685</v>
      </c>
      <c r="V645" s="18">
        <f>ProductionData[[#This Row],[Profit]]/ProductionData[[#This Row],[Good Units]]</f>
        <v>11.628498727735369</v>
      </c>
      <c r="W645" s="11">
        <f>ProductionData[[#This Row],[Good Units]]/ProductionData[[#This Row],[Operating Minutes]]</f>
        <v>0.92253521126760563</v>
      </c>
    </row>
    <row r="646" spans="1:23">
      <c r="A646" s="7">
        <v>46275</v>
      </c>
      <c r="B646" s="8" t="s">
        <v>30</v>
      </c>
      <c r="C646" s="8" t="s">
        <v>27</v>
      </c>
      <c r="D646" s="8" t="s">
        <v>25</v>
      </c>
      <c r="E646" s="8" t="s">
        <v>22</v>
      </c>
      <c r="F646" s="9">
        <v>460</v>
      </c>
      <c r="G646" s="9">
        <v>384</v>
      </c>
      <c r="H646" s="9">
        <v>32</v>
      </c>
      <c r="I646" s="9">
        <f t="shared" si="90"/>
        <v>352</v>
      </c>
      <c r="J646" s="9">
        <v>54</v>
      </c>
      <c r="K646" s="10">
        <f t="shared" si="91"/>
        <v>0.1125</v>
      </c>
      <c r="L646" s="17">
        <v>100</v>
      </c>
      <c r="M646" s="17">
        <v>30800</v>
      </c>
      <c r="N646" s="17">
        <f t="shared" si="92"/>
        <v>35200</v>
      </c>
      <c r="O646" s="17">
        <f t="shared" si="93"/>
        <v>4400</v>
      </c>
      <c r="P646" s="10">
        <f t="shared" si="94"/>
        <v>0.83478260869565213</v>
      </c>
      <c r="Q646" s="10">
        <f t="shared" si="95"/>
        <v>8.3333333333333329E-2</v>
      </c>
      <c r="R646" s="10">
        <f t="shared" si="96"/>
        <v>0.125</v>
      </c>
      <c r="S646" s="18">
        <f t="shared" si="97"/>
        <v>87.5</v>
      </c>
      <c r="T646" s="8">
        <f>480-ProductionData[[#This Row],[Downtime Minutes]]</f>
        <v>426</v>
      </c>
      <c r="U646" s="11">
        <f t="shared" si="98"/>
        <v>0.90140845070422537</v>
      </c>
      <c r="V646" s="18">
        <f>ProductionData[[#This Row],[Profit]]/ProductionData[[#This Row],[Good Units]]</f>
        <v>12.5</v>
      </c>
      <c r="W646" s="11">
        <f>ProductionData[[#This Row],[Good Units]]/ProductionData[[#This Row],[Operating Minutes]]</f>
        <v>0.82629107981220662</v>
      </c>
    </row>
    <row r="647" spans="1:23">
      <c r="A647" s="7">
        <v>46275</v>
      </c>
      <c r="B647" s="8" t="s">
        <v>30</v>
      </c>
      <c r="C647" s="8" t="s">
        <v>28</v>
      </c>
      <c r="D647" s="8" t="s">
        <v>21</v>
      </c>
      <c r="E647" s="8" t="s">
        <v>26</v>
      </c>
      <c r="F647" s="9">
        <v>510</v>
      </c>
      <c r="G647" s="9">
        <v>491</v>
      </c>
      <c r="H647" s="9">
        <v>13</v>
      </c>
      <c r="I647" s="9">
        <f t="shared" si="90"/>
        <v>478</v>
      </c>
      <c r="J647" s="9">
        <v>8</v>
      </c>
      <c r="K647" s="10">
        <f t="shared" si="91"/>
        <v>1.6666666666666666E-2</v>
      </c>
      <c r="L647" s="17">
        <v>90</v>
      </c>
      <c r="M647" s="17">
        <v>30800</v>
      </c>
      <c r="N647" s="17">
        <f t="shared" si="92"/>
        <v>43020</v>
      </c>
      <c r="O647" s="17">
        <f t="shared" si="93"/>
        <v>12220</v>
      </c>
      <c r="P647" s="10">
        <f t="shared" si="94"/>
        <v>0.96274509803921571</v>
      </c>
      <c r="Q647" s="10">
        <f t="shared" si="95"/>
        <v>2.6476578411405296E-2</v>
      </c>
      <c r="R647" s="10">
        <f t="shared" si="96"/>
        <v>0.28405392840539284</v>
      </c>
      <c r="S647" s="18">
        <f t="shared" si="97"/>
        <v>64.43514644351464</v>
      </c>
      <c r="T647" s="8">
        <f>480-ProductionData[[#This Row],[Downtime Minutes]]</f>
        <v>472</v>
      </c>
      <c r="U647" s="11">
        <f t="shared" si="98"/>
        <v>1.0402542372881356</v>
      </c>
      <c r="V647" s="18">
        <f>ProductionData[[#This Row],[Profit]]/ProductionData[[#This Row],[Good Units]]</f>
        <v>25.564853556485357</v>
      </c>
      <c r="W647" s="11">
        <f>ProductionData[[#This Row],[Good Units]]/ProductionData[[#This Row],[Operating Minutes]]</f>
        <v>1.0127118644067796</v>
      </c>
    </row>
    <row r="648" spans="1:23">
      <c r="A648" s="7">
        <v>46275</v>
      </c>
      <c r="B648" s="8" t="s">
        <v>30</v>
      </c>
      <c r="C648" s="8" t="s">
        <v>28</v>
      </c>
      <c r="D648" s="8" t="s">
        <v>23</v>
      </c>
      <c r="E648" s="8" t="s">
        <v>22</v>
      </c>
      <c r="F648" s="9">
        <v>440</v>
      </c>
      <c r="G648" s="9">
        <v>426</v>
      </c>
      <c r="H648" s="9">
        <v>16</v>
      </c>
      <c r="I648" s="9">
        <f t="shared" si="90"/>
        <v>410</v>
      </c>
      <c r="J648" s="9">
        <v>23</v>
      </c>
      <c r="K648" s="10">
        <f t="shared" si="91"/>
        <v>4.791666666666667E-2</v>
      </c>
      <c r="L648" s="17">
        <v>100</v>
      </c>
      <c r="M648" s="17">
        <v>30800</v>
      </c>
      <c r="N648" s="17">
        <f t="shared" si="92"/>
        <v>41000</v>
      </c>
      <c r="O648" s="17">
        <f t="shared" si="93"/>
        <v>10200</v>
      </c>
      <c r="P648" s="10">
        <f t="shared" si="94"/>
        <v>0.96818181818181814</v>
      </c>
      <c r="Q648" s="10">
        <f t="shared" si="95"/>
        <v>3.7558685446009391E-2</v>
      </c>
      <c r="R648" s="10">
        <f t="shared" si="96"/>
        <v>0.24878048780487805</v>
      </c>
      <c r="S648" s="18">
        <f t="shared" si="97"/>
        <v>75.121951219512198</v>
      </c>
      <c r="T648" s="8">
        <f>480-ProductionData[[#This Row],[Downtime Minutes]]</f>
        <v>457</v>
      </c>
      <c r="U648" s="11">
        <f t="shared" si="98"/>
        <v>0.93216630196936545</v>
      </c>
      <c r="V648" s="18">
        <f>ProductionData[[#This Row],[Profit]]/ProductionData[[#This Row],[Good Units]]</f>
        <v>24.878048780487806</v>
      </c>
      <c r="W648" s="11">
        <f>ProductionData[[#This Row],[Good Units]]/ProductionData[[#This Row],[Operating Minutes]]</f>
        <v>0.89715536105032823</v>
      </c>
    </row>
    <row r="649" spans="1:23">
      <c r="A649" s="7">
        <v>46275</v>
      </c>
      <c r="B649" s="8" t="s">
        <v>30</v>
      </c>
      <c r="C649" s="8" t="s">
        <v>28</v>
      </c>
      <c r="D649" s="8" t="s">
        <v>25</v>
      </c>
      <c r="E649" s="8" t="s">
        <v>24</v>
      </c>
      <c r="F649" s="9">
        <v>390</v>
      </c>
      <c r="G649" s="9">
        <v>366</v>
      </c>
      <c r="H649" s="9">
        <v>12</v>
      </c>
      <c r="I649" s="9">
        <f t="shared" si="90"/>
        <v>354</v>
      </c>
      <c r="J649" s="9">
        <v>43</v>
      </c>
      <c r="K649" s="10">
        <f t="shared" si="91"/>
        <v>8.9583333333333334E-2</v>
      </c>
      <c r="L649" s="17">
        <v>120</v>
      </c>
      <c r="M649" s="17">
        <v>30800</v>
      </c>
      <c r="N649" s="17">
        <f t="shared" si="92"/>
        <v>42480</v>
      </c>
      <c r="O649" s="17">
        <f t="shared" si="93"/>
        <v>11680</v>
      </c>
      <c r="P649" s="10">
        <f t="shared" si="94"/>
        <v>0.93846153846153846</v>
      </c>
      <c r="Q649" s="10">
        <f t="shared" si="95"/>
        <v>3.2786885245901641E-2</v>
      </c>
      <c r="R649" s="10">
        <f t="shared" si="96"/>
        <v>0.27495291902071561</v>
      </c>
      <c r="S649" s="18">
        <f t="shared" si="97"/>
        <v>87.005649717514117</v>
      </c>
      <c r="T649" s="8">
        <f>480-ProductionData[[#This Row],[Downtime Minutes]]</f>
        <v>437</v>
      </c>
      <c r="U649" s="11">
        <f t="shared" si="98"/>
        <v>0.8375286041189931</v>
      </c>
      <c r="V649" s="18">
        <f>ProductionData[[#This Row],[Profit]]/ProductionData[[#This Row],[Good Units]]</f>
        <v>32.994350282485875</v>
      </c>
      <c r="W649" s="11">
        <f>ProductionData[[#This Row],[Good Units]]/ProductionData[[#This Row],[Operating Minutes]]</f>
        <v>0.81006864988558347</v>
      </c>
    </row>
    <row r="650" spans="1:23">
      <c r="A650" s="7">
        <v>46276</v>
      </c>
      <c r="B650" s="8" t="s">
        <v>30</v>
      </c>
      <c r="C650" s="8" t="s">
        <v>20</v>
      </c>
      <c r="D650" s="8" t="s">
        <v>21</v>
      </c>
      <c r="E650" s="8" t="s">
        <v>24</v>
      </c>
      <c r="F650" s="9">
        <v>390</v>
      </c>
      <c r="G650" s="9">
        <v>369</v>
      </c>
      <c r="H650" s="9">
        <v>13</v>
      </c>
      <c r="I650" s="9">
        <f t="shared" si="90"/>
        <v>356</v>
      </c>
      <c r="J650" s="9">
        <v>20</v>
      </c>
      <c r="K650" s="10">
        <f t="shared" si="91"/>
        <v>4.1666666666666664E-2</v>
      </c>
      <c r="L650" s="17">
        <v>120</v>
      </c>
      <c r="M650" s="17">
        <v>30800</v>
      </c>
      <c r="N650" s="17">
        <f t="shared" si="92"/>
        <v>42720</v>
      </c>
      <c r="O650" s="17">
        <f t="shared" si="93"/>
        <v>11920</v>
      </c>
      <c r="P650" s="10">
        <f t="shared" si="94"/>
        <v>0.94615384615384612</v>
      </c>
      <c r="Q650" s="10">
        <f t="shared" si="95"/>
        <v>3.5230352303523033E-2</v>
      </c>
      <c r="R650" s="10">
        <f t="shared" si="96"/>
        <v>0.27902621722846443</v>
      </c>
      <c r="S650" s="18">
        <f t="shared" si="97"/>
        <v>86.516853932584269</v>
      </c>
      <c r="T650" s="8">
        <f>480-ProductionData[[#This Row],[Downtime Minutes]]</f>
        <v>460</v>
      </c>
      <c r="U650" s="11">
        <f t="shared" si="98"/>
        <v>0.80217391304347829</v>
      </c>
      <c r="V650" s="18">
        <f>ProductionData[[#This Row],[Profit]]/ProductionData[[#This Row],[Good Units]]</f>
        <v>33.483146067415731</v>
      </c>
      <c r="W650" s="11">
        <f>ProductionData[[#This Row],[Good Units]]/ProductionData[[#This Row],[Operating Minutes]]</f>
        <v>0.77391304347826084</v>
      </c>
    </row>
    <row r="651" spans="1:23">
      <c r="A651" s="7">
        <v>46276</v>
      </c>
      <c r="B651" s="8" t="s">
        <v>30</v>
      </c>
      <c r="C651" s="8" t="s">
        <v>20</v>
      </c>
      <c r="D651" s="8" t="s">
        <v>23</v>
      </c>
      <c r="E651" s="8" t="s">
        <v>26</v>
      </c>
      <c r="F651" s="9">
        <v>520</v>
      </c>
      <c r="G651" s="9">
        <v>475</v>
      </c>
      <c r="H651" s="9">
        <v>19</v>
      </c>
      <c r="I651" s="9">
        <f t="shared" si="90"/>
        <v>456</v>
      </c>
      <c r="J651" s="9">
        <v>24</v>
      </c>
      <c r="K651" s="10">
        <f t="shared" si="91"/>
        <v>0.05</v>
      </c>
      <c r="L651" s="17">
        <v>90</v>
      </c>
      <c r="M651" s="17">
        <v>30800</v>
      </c>
      <c r="N651" s="17">
        <f t="shared" si="92"/>
        <v>41040</v>
      </c>
      <c r="O651" s="17">
        <f t="shared" si="93"/>
        <v>10240</v>
      </c>
      <c r="P651" s="10">
        <f t="shared" si="94"/>
        <v>0.91346153846153844</v>
      </c>
      <c r="Q651" s="10">
        <f t="shared" si="95"/>
        <v>0.04</v>
      </c>
      <c r="R651" s="10">
        <f t="shared" si="96"/>
        <v>0.24951267056530213</v>
      </c>
      <c r="S651" s="18">
        <f t="shared" si="97"/>
        <v>67.543859649122808</v>
      </c>
      <c r="T651" s="8">
        <f>480-ProductionData[[#This Row],[Downtime Minutes]]</f>
        <v>456</v>
      </c>
      <c r="U651" s="11">
        <f t="shared" si="98"/>
        <v>1.0416666666666667</v>
      </c>
      <c r="V651" s="18">
        <f>ProductionData[[#This Row],[Profit]]/ProductionData[[#This Row],[Good Units]]</f>
        <v>22.456140350877192</v>
      </c>
      <c r="W651" s="11">
        <f>ProductionData[[#This Row],[Good Units]]/ProductionData[[#This Row],[Operating Minutes]]</f>
        <v>1</v>
      </c>
    </row>
    <row r="652" spans="1:23">
      <c r="A652" s="7">
        <v>46276</v>
      </c>
      <c r="B652" s="8" t="s">
        <v>30</v>
      </c>
      <c r="C652" s="8" t="s">
        <v>20</v>
      </c>
      <c r="D652" s="8" t="s">
        <v>25</v>
      </c>
      <c r="E652" s="8" t="s">
        <v>22</v>
      </c>
      <c r="F652" s="9">
        <v>460</v>
      </c>
      <c r="G652" s="9">
        <v>423</v>
      </c>
      <c r="H652" s="9">
        <v>23</v>
      </c>
      <c r="I652" s="9">
        <f t="shared" si="90"/>
        <v>400</v>
      </c>
      <c r="J652" s="9">
        <v>37</v>
      </c>
      <c r="K652" s="10">
        <f t="shared" si="91"/>
        <v>7.7083333333333337E-2</v>
      </c>
      <c r="L652" s="17">
        <v>100</v>
      </c>
      <c r="M652" s="17">
        <v>30800</v>
      </c>
      <c r="N652" s="17">
        <f t="shared" si="92"/>
        <v>40000</v>
      </c>
      <c r="O652" s="17">
        <f t="shared" si="93"/>
        <v>9200</v>
      </c>
      <c r="P652" s="10">
        <f t="shared" si="94"/>
        <v>0.91956521739130437</v>
      </c>
      <c r="Q652" s="10">
        <f t="shared" si="95"/>
        <v>5.4373522458628844E-2</v>
      </c>
      <c r="R652" s="10">
        <f t="shared" si="96"/>
        <v>0.23</v>
      </c>
      <c r="S652" s="18">
        <f t="shared" si="97"/>
        <v>77</v>
      </c>
      <c r="T652" s="8">
        <f>480-ProductionData[[#This Row],[Downtime Minutes]]</f>
        <v>443</v>
      </c>
      <c r="U652" s="11">
        <f t="shared" si="98"/>
        <v>0.95485327313769752</v>
      </c>
      <c r="V652" s="18">
        <f>ProductionData[[#This Row],[Profit]]/ProductionData[[#This Row],[Good Units]]</f>
        <v>23</v>
      </c>
      <c r="W652" s="11">
        <f>ProductionData[[#This Row],[Good Units]]/ProductionData[[#This Row],[Operating Minutes]]</f>
        <v>0.90293453724604966</v>
      </c>
    </row>
    <row r="653" spans="1:23">
      <c r="A653" s="7">
        <v>46276</v>
      </c>
      <c r="B653" s="8" t="s">
        <v>30</v>
      </c>
      <c r="C653" s="8" t="s">
        <v>27</v>
      </c>
      <c r="D653" s="8" t="s">
        <v>21</v>
      </c>
      <c r="E653" s="8" t="s">
        <v>26</v>
      </c>
      <c r="F653" s="9">
        <v>480</v>
      </c>
      <c r="G653" s="9">
        <v>440</v>
      </c>
      <c r="H653" s="9">
        <v>22</v>
      </c>
      <c r="I653" s="9">
        <f t="shared" si="90"/>
        <v>418</v>
      </c>
      <c r="J653" s="9">
        <v>54</v>
      </c>
      <c r="K653" s="10">
        <f t="shared" si="91"/>
        <v>0.1125</v>
      </c>
      <c r="L653" s="17">
        <v>90</v>
      </c>
      <c r="M653" s="17">
        <v>30800</v>
      </c>
      <c r="N653" s="17">
        <f t="shared" si="92"/>
        <v>37620</v>
      </c>
      <c r="O653" s="17">
        <f t="shared" si="93"/>
        <v>6820</v>
      </c>
      <c r="P653" s="10">
        <f t="shared" si="94"/>
        <v>0.91666666666666663</v>
      </c>
      <c r="Q653" s="10">
        <f t="shared" si="95"/>
        <v>0.05</v>
      </c>
      <c r="R653" s="10">
        <f t="shared" si="96"/>
        <v>0.18128654970760233</v>
      </c>
      <c r="S653" s="18">
        <f t="shared" si="97"/>
        <v>73.684210526315795</v>
      </c>
      <c r="T653" s="8">
        <f>480-ProductionData[[#This Row],[Downtime Minutes]]</f>
        <v>426</v>
      </c>
      <c r="U653" s="11">
        <f t="shared" si="98"/>
        <v>1.0328638497652582</v>
      </c>
      <c r="V653" s="18">
        <f>ProductionData[[#This Row],[Profit]]/ProductionData[[#This Row],[Good Units]]</f>
        <v>16.315789473684209</v>
      </c>
      <c r="W653" s="11">
        <f>ProductionData[[#This Row],[Good Units]]/ProductionData[[#This Row],[Operating Minutes]]</f>
        <v>0.98122065727699526</v>
      </c>
    </row>
    <row r="654" spans="1:23">
      <c r="A654" s="7">
        <v>46276</v>
      </c>
      <c r="B654" s="8" t="s">
        <v>30</v>
      </c>
      <c r="C654" s="8" t="s">
        <v>27</v>
      </c>
      <c r="D654" s="8" t="s">
        <v>23</v>
      </c>
      <c r="E654" s="8" t="s">
        <v>22</v>
      </c>
      <c r="F654" s="9">
        <v>450</v>
      </c>
      <c r="G654" s="9">
        <v>393</v>
      </c>
      <c r="H654" s="9">
        <v>26</v>
      </c>
      <c r="I654" s="9">
        <f t="shared" si="90"/>
        <v>367</v>
      </c>
      <c r="J654" s="9">
        <v>59</v>
      </c>
      <c r="K654" s="10">
        <f t="shared" si="91"/>
        <v>0.12291666666666666</v>
      </c>
      <c r="L654" s="17">
        <v>100</v>
      </c>
      <c r="M654" s="17">
        <v>30800</v>
      </c>
      <c r="N654" s="17">
        <f t="shared" si="92"/>
        <v>36700</v>
      </c>
      <c r="O654" s="17">
        <f t="shared" si="93"/>
        <v>5900</v>
      </c>
      <c r="P654" s="10">
        <f t="shared" si="94"/>
        <v>0.87333333333333329</v>
      </c>
      <c r="Q654" s="10">
        <f t="shared" si="95"/>
        <v>6.6157760814249358E-2</v>
      </c>
      <c r="R654" s="10">
        <f t="shared" si="96"/>
        <v>0.16076294277929154</v>
      </c>
      <c r="S654" s="18">
        <f t="shared" si="97"/>
        <v>83.923705722070849</v>
      </c>
      <c r="T654" s="8">
        <f>480-ProductionData[[#This Row],[Downtime Minutes]]</f>
        <v>421</v>
      </c>
      <c r="U654" s="11">
        <f t="shared" si="98"/>
        <v>0.9334916864608076</v>
      </c>
      <c r="V654" s="18">
        <f>ProductionData[[#This Row],[Profit]]/ProductionData[[#This Row],[Good Units]]</f>
        <v>16.076294277929154</v>
      </c>
      <c r="W654" s="11">
        <f>ProductionData[[#This Row],[Good Units]]/ProductionData[[#This Row],[Operating Minutes]]</f>
        <v>0.87173396674584325</v>
      </c>
    </row>
    <row r="655" spans="1:23">
      <c r="A655" s="7">
        <v>46276</v>
      </c>
      <c r="B655" s="8" t="s">
        <v>30</v>
      </c>
      <c r="C655" s="8" t="s">
        <v>27</v>
      </c>
      <c r="D655" s="8" t="s">
        <v>25</v>
      </c>
      <c r="E655" s="8" t="s">
        <v>24</v>
      </c>
      <c r="F655" s="9">
        <v>410</v>
      </c>
      <c r="G655" s="9">
        <v>343</v>
      </c>
      <c r="H655" s="9">
        <v>20</v>
      </c>
      <c r="I655" s="9">
        <f t="shared" si="90"/>
        <v>323</v>
      </c>
      <c r="J655" s="9">
        <v>53</v>
      </c>
      <c r="K655" s="10">
        <f t="shared" si="91"/>
        <v>0.11041666666666666</v>
      </c>
      <c r="L655" s="17">
        <v>120</v>
      </c>
      <c r="M655" s="17">
        <v>30800</v>
      </c>
      <c r="N655" s="17">
        <f t="shared" si="92"/>
        <v>38760</v>
      </c>
      <c r="O655" s="17">
        <f t="shared" si="93"/>
        <v>7960</v>
      </c>
      <c r="P655" s="10">
        <f t="shared" si="94"/>
        <v>0.8365853658536585</v>
      </c>
      <c r="Q655" s="10">
        <f t="shared" si="95"/>
        <v>5.8309037900874633E-2</v>
      </c>
      <c r="R655" s="10">
        <f t="shared" si="96"/>
        <v>0.20536635706914344</v>
      </c>
      <c r="S655" s="18">
        <f t="shared" si="97"/>
        <v>95.356037151702793</v>
      </c>
      <c r="T655" s="8">
        <f>480-ProductionData[[#This Row],[Downtime Minutes]]</f>
        <v>427</v>
      </c>
      <c r="U655" s="11">
        <f t="shared" si="98"/>
        <v>0.80327868852459017</v>
      </c>
      <c r="V655" s="18">
        <f>ProductionData[[#This Row],[Profit]]/ProductionData[[#This Row],[Good Units]]</f>
        <v>24.643962848297214</v>
      </c>
      <c r="W655" s="11">
        <f>ProductionData[[#This Row],[Good Units]]/ProductionData[[#This Row],[Operating Minutes]]</f>
        <v>0.75644028103044492</v>
      </c>
    </row>
    <row r="656" spans="1:23">
      <c r="A656" s="7">
        <v>46276</v>
      </c>
      <c r="B656" s="8" t="s">
        <v>30</v>
      </c>
      <c r="C656" s="8" t="s">
        <v>28</v>
      </c>
      <c r="D656" s="8" t="s">
        <v>21</v>
      </c>
      <c r="E656" s="8" t="s">
        <v>22</v>
      </c>
      <c r="F656" s="9">
        <v>450</v>
      </c>
      <c r="G656" s="9">
        <v>436</v>
      </c>
      <c r="H656" s="9">
        <v>18</v>
      </c>
      <c r="I656" s="9">
        <f t="shared" si="90"/>
        <v>418</v>
      </c>
      <c r="J656" s="9">
        <v>30</v>
      </c>
      <c r="K656" s="10">
        <f t="shared" si="91"/>
        <v>6.25E-2</v>
      </c>
      <c r="L656" s="17">
        <v>100</v>
      </c>
      <c r="M656" s="17">
        <v>30800</v>
      </c>
      <c r="N656" s="17">
        <f t="shared" si="92"/>
        <v>41800</v>
      </c>
      <c r="O656" s="17">
        <f t="shared" si="93"/>
        <v>11000</v>
      </c>
      <c r="P656" s="10">
        <f t="shared" si="94"/>
        <v>0.96888888888888891</v>
      </c>
      <c r="Q656" s="10">
        <f t="shared" si="95"/>
        <v>4.1284403669724773E-2</v>
      </c>
      <c r="R656" s="10">
        <f t="shared" si="96"/>
        <v>0.26315789473684209</v>
      </c>
      <c r="S656" s="18">
        <f t="shared" si="97"/>
        <v>73.684210526315795</v>
      </c>
      <c r="T656" s="8">
        <f>480-ProductionData[[#This Row],[Downtime Minutes]]</f>
        <v>450</v>
      </c>
      <c r="U656" s="11">
        <f t="shared" si="98"/>
        <v>0.96888888888888891</v>
      </c>
      <c r="V656" s="18">
        <f>ProductionData[[#This Row],[Profit]]/ProductionData[[#This Row],[Good Units]]</f>
        <v>26.315789473684209</v>
      </c>
      <c r="W656" s="11">
        <f>ProductionData[[#This Row],[Good Units]]/ProductionData[[#This Row],[Operating Minutes]]</f>
        <v>0.92888888888888888</v>
      </c>
    </row>
    <row r="657" spans="1:23">
      <c r="A657" s="7">
        <v>46276</v>
      </c>
      <c r="B657" s="8" t="s">
        <v>30</v>
      </c>
      <c r="C657" s="8" t="s">
        <v>28</v>
      </c>
      <c r="D657" s="8" t="s">
        <v>23</v>
      </c>
      <c r="E657" s="8" t="s">
        <v>24</v>
      </c>
      <c r="F657" s="9">
        <v>410</v>
      </c>
      <c r="G657" s="9">
        <v>389</v>
      </c>
      <c r="H657" s="9">
        <v>8</v>
      </c>
      <c r="I657" s="9">
        <f t="shared" si="90"/>
        <v>381</v>
      </c>
      <c r="J657" s="9">
        <v>29</v>
      </c>
      <c r="K657" s="10">
        <f t="shared" si="91"/>
        <v>6.0416666666666667E-2</v>
      </c>
      <c r="L657" s="17">
        <v>120</v>
      </c>
      <c r="M657" s="17">
        <v>30800</v>
      </c>
      <c r="N657" s="17">
        <f t="shared" si="92"/>
        <v>45720</v>
      </c>
      <c r="O657" s="17">
        <f t="shared" si="93"/>
        <v>14920</v>
      </c>
      <c r="P657" s="10">
        <f t="shared" si="94"/>
        <v>0.948780487804878</v>
      </c>
      <c r="Q657" s="10">
        <f t="shared" si="95"/>
        <v>2.056555269922879E-2</v>
      </c>
      <c r="R657" s="10">
        <f t="shared" si="96"/>
        <v>0.32633420822397202</v>
      </c>
      <c r="S657" s="18">
        <f t="shared" si="97"/>
        <v>80.839895013123353</v>
      </c>
      <c r="T657" s="8">
        <f>480-ProductionData[[#This Row],[Downtime Minutes]]</f>
        <v>451</v>
      </c>
      <c r="U657" s="11">
        <f t="shared" si="98"/>
        <v>0.86252771618625279</v>
      </c>
      <c r="V657" s="18">
        <f>ProductionData[[#This Row],[Profit]]/ProductionData[[#This Row],[Good Units]]</f>
        <v>39.16010498687664</v>
      </c>
      <c r="W657" s="11">
        <f>ProductionData[[#This Row],[Good Units]]/ProductionData[[#This Row],[Operating Minutes]]</f>
        <v>0.84478935698447899</v>
      </c>
    </row>
    <row r="658" spans="1:23">
      <c r="A658" s="7">
        <v>46276</v>
      </c>
      <c r="B658" s="8" t="s">
        <v>30</v>
      </c>
      <c r="C658" s="8" t="s">
        <v>28</v>
      </c>
      <c r="D658" s="8" t="s">
        <v>25</v>
      </c>
      <c r="E658" s="8" t="s">
        <v>26</v>
      </c>
      <c r="F658" s="9">
        <v>500</v>
      </c>
      <c r="G658" s="9">
        <v>465</v>
      </c>
      <c r="H658" s="9">
        <v>20</v>
      </c>
      <c r="I658" s="9">
        <f t="shared" si="90"/>
        <v>445</v>
      </c>
      <c r="J658" s="9">
        <v>25</v>
      </c>
      <c r="K658" s="10">
        <f t="shared" si="91"/>
        <v>5.2083333333333336E-2</v>
      </c>
      <c r="L658" s="17">
        <v>90</v>
      </c>
      <c r="M658" s="17">
        <v>30800</v>
      </c>
      <c r="N658" s="17">
        <f t="shared" si="92"/>
        <v>40050</v>
      </c>
      <c r="O658" s="17">
        <f t="shared" si="93"/>
        <v>9250</v>
      </c>
      <c r="P658" s="10">
        <f t="shared" si="94"/>
        <v>0.93</v>
      </c>
      <c r="Q658" s="10">
        <f t="shared" si="95"/>
        <v>4.3010752688172046E-2</v>
      </c>
      <c r="R658" s="10">
        <f t="shared" si="96"/>
        <v>0.23096129837702872</v>
      </c>
      <c r="S658" s="18">
        <f t="shared" si="97"/>
        <v>69.213483146067418</v>
      </c>
      <c r="T658" s="8">
        <f>480-ProductionData[[#This Row],[Downtime Minutes]]</f>
        <v>455</v>
      </c>
      <c r="U658" s="11">
        <f t="shared" si="98"/>
        <v>1.0219780219780219</v>
      </c>
      <c r="V658" s="18">
        <f>ProductionData[[#This Row],[Profit]]/ProductionData[[#This Row],[Good Units]]</f>
        <v>20.786516853932586</v>
      </c>
      <c r="W658" s="11">
        <f>ProductionData[[#This Row],[Good Units]]/ProductionData[[#This Row],[Operating Minutes]]</f>
        <v>0.97802197802197799</v>
      </c>
    </row>
    <row r="659" spans="1:23">
      <c r="A659" s="7">
        <v>46277</v>
      </c>
      <c r="B659" s="8" t="s">
        <v>30</v>
      </c>
      <c r="C659" s="8" t="s">
        <v>20</v>
      </c>
      <c r="D659" s="8" t="s">
        <v>21</v>
      </c>
      <c r="E659" s="8" t="s">
        <v>26</v>
      </c>
      <c r="F659" s="9">
        <v>520</v>
      </c>
      <c r="G659" s="9">
        <v>491</v>
      </c>
      <c r="H659" s="9">
        <v>12</v>
      </c>
      <c r="I659" s="9">
        <f t="shared" si="90"/>
        <v>479</v>
      </c>
      <c r="J659" s="9">
        <v>25</v>
      </c>
      <c r="K659" s="10">
        <f t="shared" si="91"/>
        <v>5.2083333333333336E-2</v>
      </c>
      <c r="L659" s="17">
        <v>90</v>
      </c>
      <c r="M659" s="17">
        <v>30800</v>
      </c>
      <c r="N659" s="17">
        <f t="shared" si="92"/>
        <v>43110</v>
      </c>
      <c r="O659" s="17">
        <f t="shared" si="93"/>
        <v>12310</v>
      </c>
      <c r="P659" s="10">
        <f t="shared" si="94"/>
        <v>0.94423076923076921</v>
      </c>
      <c r="Q659" s="10">
        <f t="shared" si="95"/>
        <v>2.4439918533604887E-2</v>
      </c>
      <c r="R659" s="10">
        <f t="shared" si="96"/>
        <v>0.28554859661331478</v>
      </c>
      <c r="S659" s="18">
        <f t="shared" si="97"/>
        <v>64.300626304801668</v>
      </c>
      <c r="T659" s="8">
        <f>480-ProductionData[[#This Row],[Downtime Minutes]]</f>
        <v>455</v>
      </c>
      <c r="U659" s="11">
        <f t="shared" si="98"/>
        <v>1.0791208791208791</v>
      </c>
      <c r="V659" s="18">
        <f>ProductionData[[#This Row],[Profit]]/ProductionData[[#This Row],[Good Units]]</f>
        <v>25.699373695198329</v>
      </c>
      <c r="W659" s="11">
        <f>ProductionData[[#This Row],[Good Units]]/ProductionData[[#This Row],[Operating Minutes]]</f>
        <v>1.0527472527472528</v>
      </c>
    </row>
    <row r="660" spans="1:23">
      <c r="A660" s="7">
        <v>46277</v>
      </c>
      <c r="B660" s="8" t="s">
        <v>30</v>
      </c>
      <c r="C660" s="8" t="s">
        <v>20</v>
      </c>
      <c r="D660" s="8" t="s">
        <v>23</v>
      </c>
      <c r="E660" s="8" t="s">
        <v>22</v>
      </c>
      <c r="F660" s="9">
        <v>450</v>
      </c>
      <c r="G660" s="9">
        <v>427</v>
      </c>
      <c r="H660" s="9">
        <v>20</v>
      </c>
      <c r="I660" s="9">
        <f t="shared" si="90"/>
        <v>407</v>
      </c>
      <c r="J660" s="9">
        <v>48</v>
      </c>
      <c r="K660" s="10">
        <f t="shared" si="91"/>
        <v>0.1</v>
      </c>
      <c r="L660" s="17">
        <v>100</v>
      </c>
      <c r="M660" s="17">
        <v>30800</v>
      </c>
      <c r="N660" s="17">
        <f t="shared" si="92"/>
        <v>40700</v>
      </c>
      <c r="O660" s="17">
        <f t="shared" si="93"/>
        <v>9900</v>
      </c>
      <c r="P660" s="10">
        <f t="shared" si="94"/>
        <v>0.94888888888888889</v>
      </c>
      <c r="Q660" s="10">
        <f t="shared" si="95"/>
        <v>4.6838407494145202E-2</v>
      </c>
      <c r="R660" s="10">
        <f t="shared" si="96"/>
        <v>0.24324324324324326</v>
      </c>
      <c r="S660" s="18">
        <f t="shared" si="97"/>
        <v>75.675675675675677</v>
      </c>
      <c r="T660" s="8">
        <f>480-ProductionData[[#This Row],[Downtime Minutes]]</f>
        <v>432</v>
      </c>
      <c r="U660" s="11">
        <f t="shared" si="98"/>
        <v>0.98842592592592593</v>
      </c>
      <c r="V660" s="18">
        <f>ProductionData[[#This Row],[Profit]]/ProductionData[[#This Row],[Good Units]]</f>
        <v>24.324324324324323</v>
      </c>
      <c r="W660" s="11">
        <f>ProductionData[[#This Row],[Good Units]]/ProductionData[[#This Row],[Operating Minutes]]</f>
        <v>0.94212962962962965</v>
      </c>
    </row>
    <row r="661" spans="1:23">
      <c r="A661" s="7">
        <v>46277</v>
      </c>
      <c r="B661" s="8" t="s">
        <v>30</v>
      </c>
      <c r="C661" s="8" t="s">
        <v>20</v>
      </c>
      <c r="D661" s="8" t="s">
        <v>25</v>
      </c>
      <c r="E661" s="8" t="s">
        <v>24</v>
      </c>
      <c r="F661" s="9">
        <v>390</v>
      </c>
      <c r="G661" s="9">
        <v>346</v>
      </c>
      <c r="H661" s="9">
        <v>12</v>
      </c>
      <c r="I661" s="9">
        <f t="shared" si="90"/>
        <v>334</v>
      </c>
      <c r="J661" s="9">
        <v>50</v>
      </c>
      <c r="K661" s="10">
        <f t="shared" si="91"/>
        <v>0.10416666666666667</v>
      </c>
      <c r="L661" s="17">
        <v>120</v>
      </c>
      <c r="M661" s="17">
        <v>30800</v>
      </c>
      <c r="N661" s="17">
        <f t="shared" si="92"/>
        <v>40080</v>
      </c>
      <c r="O661" s="17">
        <f t="shared" si="93"/>
        <v>9280</v>
      </c>
      <c r="P661" s="10">
        <f t="shared" si="94"/>
        <v>0.88717948717948714</v>
      </c>
      <c r="Q661" s="10">
        <f t="shared" si="95"/>
        <v>3.4682080924855488E-2</v>
      </c>
      <c r="R661" s="10">
        <f t="shared" si="96"/>
        <v>0.2315369261477046</v>
      </c>
      <c r="S661" s="18">
        <f t="shared" si="97"/>
        <v>92.215568862275447</v>
      </c>
      <c r="T661" s="8">
        <f>480-ProductionData[[#This Row],[Downtime Minutes]]</f>
        <v>430</v>
      </c>
      <c r="U661" s="11">
        <f t="shared" si="98"/>
        <v>0.8046511627906977</v>
      </c>
      <c r="V661" s="18">
        <f>ProductionData[[#This Row],[Profit]]/ProductionData[[#This Row],[Good Units]]</f>
        <v>27.78443113772455</v>
      </c>
      <c r="W661" s="11">
        <f>ProductionData[[#This Row],[Good Units]]/ProductionData[[#This Row],[Operating Minutes]]</f>
        <v>0.77674418604651163</v>
      </c>
    </row>
    <row r="662" spans="1:23">
      <c r="A662" s="7">
        <v>46277</v>
      </c>
      <c r="B662" s="8" t="s">
        <v>30</v>
      </c>
      <c r="C662" s="8" t="s">
        <v>27</v>
      </c>
      <c r="D662" s="8" t="s">
        <v>21</v>
      </c>
      <c r="E662" s="8" t="s">
        <v>22</v>
      </c>
      <c r="F662" s="9">
        <v>430</v>
      </c>
      <c r="G662" s="9">
        <v>392</v>
      </c>
      <c r="H662" s="9">
        <v>23</v>
      </c>
      <c r="I662" s="9">
        <f t="shared" si="90"/>
        <v>369</v>
      </c>
      <c r="J662" s="9">
        <v>56</v>
      </c>
      <c r="K662" s="10">
        <f t="shared" si="91"/>
        <v>0.11666666666666667</v>
      </c>
      <c r="L662" s="17">
        <v>100</v>
      </c>
      <c r="M662" s="17">
        <v>30800</v>
      </c>
      <c r="N662" s="17">
        <f t="shared" si="92"/>
        <v>36900</v>
      </c>
      <c r="O662" s="17">
        <f t="shared" si="93"/>
        <v>6100</v>
      </c>
      <c r="P662" s="10">
        <f t="shared" si="94"/>
        <v>0.91162790697674423</v>
      </c>
      <c r="Q662" s="10">
        <f t="shared" si="95"/>
        <v>5.8673469387755105E-2</v>
      </c>
      <c r="R662" s="10">
        <f t="shared" si="96"/>
        <v>0.16531165311653118</v>
      </c>
      <c r="S662" s="18">
        <f t="shared" si="97"/>
        <v>83.468834688346888</v>
      </c>
      <c r="T662" s="8">
        <f>480-ProductionData[[#This Row],[Downtime Minutes]]</f>
        <v>424</v>
      </c>
      <c r="U662" s="11">
        <f t="shared" si="98"/>
        <v>0.92452830188679247</v>
      </c>
      <c r="V662" s="18">
        <f>ProductionData[[#This Row],[Profit]]/ProductionData[[#This Row],[Good Units]]</f>
        <v>16.531165311653115</v>
      </c>
      <c r="W662" s="11">
        <f>ProductionData[[#This Row],[Good Units]]/ProductionData[[#This Row],[Operating Minutes]]</f>
        <v>0.87028301886792447</v>
      </c>
    </row>
    <row r="663" spans="1:23">
      <c r="A663" s="7">
        <v>46277</v>
      </c>
      <c r="B663" s="8" t="s">
        <v>30</v>
      </c>
      <c r="C663" s="8" t="s">
        <v>27</v>
      </c>
      <c r="D663" s="8" t="s">
        <v>23</v>
      </c>
      <c r="E663" s="8" t="s">
        <v>24</v>
      </c>
      <c r="F663" s="9">
        <v>400</v>
      </c>
      <c r="G663" s="9">
        <v>355</v>
      </c>
      <c r="H663" s="9">
        <v>17</v>
      </c>
      <c r="I663" s="9">
        <f t="shared" si="90"/>
        <v>338</v>
      </c>
      <c r="J663" s="9">
        <v>48</v>
      </c>
      <c r="K663" s="10">
        <f t="shared" si="91"/>
        <v>0.1</v>
      </c>
      <c r="L663" s="17">
        <v>120</v>
      </c>
      <c r="M663" s="17">
        <v>30800</v>
      </c>
      <c r="N663" s="17">
        <f t="shared" si="92"/>
        <v>40560</v>
      </c>
      <c r="O663" s="17">
        <f t="shared" si="93"/>
        <v>9760</v>
      </c>
      <c r="P663" s="10">
        <f t="shared" si="94"/>
        <v>0.88749999999999996</v>
      </c>
      <c r="Q663" s="10">
        <f t="shared" si="95"/>
        <v>4.788732394366197E-2</v>
      </c>
      <c r="R663" s="10">
        <f t="shared" si="96"/>
        <v>0.24063116370808679</v>
      </c>
      <c r="S663" s="18">
        <f t="shared" si="97"/>
        <v>91.124260355029591</v>
      </c>
      <c r="T663" s="8">
        <f>480-ProductionData[[#This Row],[Downtime Minutes]]</f>
        <v>432</v>
      </c>
      <c r="U663" s="11">
        <f t="shared" si="98"/>
        <v>0.8217592592592593</v>
      </c>
      <c r="V663" s="18">
        <f>ProductionData[[#This Row],[Profit]]/ProductionData[[#This Row],[Good Units]]</f>
        <v>28.875739644970412</v>
      </c>
      <c r="W663" s="11">
        <f>ProductionData[[#This Row],[Good Units]]/ProductionData[[#This Row],[Operating Minutes]]</f>
        <v>0.78240740740740744</v>
      </c>
    </row>
    <row r="664" spans="1:23">
      <c r="A664" s="7">
        <v>46277</v>
      </c>
      <c r="B664" s="8" t="s">
        <v>30</v>
      </c>
      <c r="C664" s="8" t="s">
        <v>27</v>
      </c>
      <c r="D664" s="8" t="s">
        <v>25</v>
      </c>
      <c r="E664" s="8" t="s">
        <v>26</v>
      </c>
      <c r="F664" s="9">
        <v>490</v>
      </c>
      <c r="G664" s="9">
        <v>410</v>
      </c>
      <c r="H664" s="9">
        <v>26</v>
      </c>
      <c r="I664" s="9">
        <f t="shared" si="90"/>
        <v>384</v>
      </c>
      <c r="J664" s="9">
        <v>67</v>
      </c>
      <c r="K664" s="10">
        <f t="shared" si="91"/>
        <v>0.13958333333333334</v>
      </c>
      <c r="L664" s="17">
        <v>90</v>
      </c>
      <c r="M664" s="17">
        <v>30800</v>
      </c>
      <c r="N664" s="17">
        <f t="shared" si="92"/>
        <v>34560</v>
      </c>
      <c r="O664" s="17">
        <f t="shared" si="93"/>
        <v>3760</v>
      </c>
      <c r="P664" s="10">
        <f t="shared" si="94"/>
        <v>0.83673469387755106</v>
      </c>
      <c r="Q664" s="10">
        <f t="shared" si="95"/>
        <v>6.3414634146341464E-2</v>
      </c>
      <c r="R664" s="10">
        <f t="shared" si="96"/>
        <v>0.10879629629629629</v>
      </c>
      <c r="S664" s="18">
        <f t="shared" si="97"/>
        <v>80.208333333333329</v>
      </c>
      <c r="T664" s="8">
        <f>480-ProductionData[[#This Row],[Downtime Minutes]]</f>
        <v>413</v>
      </c>
      <c r="U664" s="11">
        <f t="shared" si="98"/>
        <v>0.99273607748184023</v>
      </c>
      <c r="V664" s="18">
        <f>ProductionData[[#This Row],[Profit]]/ProductionData[[#This Row],[Good Units]]</f>
        <v>9.7916666666666661</v>
      </c>
      <c r="W664" s="11">
        <f>ProductionData[[#This Row],[Good Units]]/ProductionData[[#This Row],[Operating Minutes]]</f>
        <v>0.92978208232445525</v>
      </c>
    </row>
    <row r="665" spans="1:23">
      <c r="A665" s="7">
        <v>46277</v>
      </c>
      <c r="B665" s="8" t="s">
        <v>30</v>
      </c>
      <c r="C665" s="8" t="s">
        <v>28</v>
      </c>
      <c r="D665" s="8" t="s">
        <v>21</v>
      </c>
      <c r="E665" s="8" t="s">
        <v>24</v>
      </c>
      <c r="F665" s="9">
        <v>410</v>
      </c>
      <c r="G665" s="9">
        <v>405</v>
      </c>
      <c r="H665" s="9">
        <v>9</v>
      </c>
      <c r="I665" s="9">
        <f t="shared" si="90"/>
        <v>396</v>
      </c>
      <c r="J665" s="9">
        <v>22</v>
      </c>
      <c r="K665" s="10">
        <f t="shared" si="91"/>
        <v>4.583333333333333E-2</v>
      </c>
      <c r="L665" s="17">
        <v>120</v>
      </c>
      <c r="M665" s="17">
        <v>30800</v>
      </c>
      <c r="N665" s="17">
        <f t="shared" si="92"/>
        <v>47520</v>
      </c>
      <c r="O665" s="17">
        <f t="shared" si="93"/>
        <v>16720</v>
      </c>
      <c r="P665" s="10">
        <f t="shared" si="94"/>
        <v>0.98780487804878048</v>
      </c>
      <c r="Q665" s="10">
        <f t="shared" si="95"/>
        <v>2.2222222222222223E-2</v>
      </c>
      <c r="R665" s="10">
        <f t="shared" si="96"/>
        <v>0.35185185185185186</v>
      </c>
      <c r="S665" s="18">
        <f t="shared" si="97"/>
        <v>77.777777777777771</v>
      </c>
      <c r="T665" s="8">
        <f>480-ProductionData[[#This Row],[Downtime Minutes]]</f>
        <v>458</v>
      </c>
      <c r="U665" s="11">
        <f t="shared" si="98"/>
        <v>0.88427947598253276</v>
      </c>
      <c r="V665" s="18">
        <f>ProductionData[[#This Row],[Profit]]/ProductionData[[#This Row],[Good Units]]</f>
        <v>42.222222222222221</v>
      </c>
      <c r="W665" s="11">
        <f>ProductionData[[#This Row],[Good Units]]/ProductionData[[#This Row],[Operating Minutes]]</f>
        <v>0.86462882096069871</v>
      </c>
    </row>
    <row r="666" spans="1:23">
      <c r="A666" s="7">
        <v>46277</v>
      </c>
      <c r="B666" s="8" t="s">
        <v>30</v>
      </c>
      <c r="C666" s="8" t="s">
        <v>28</v>
      </c>
      <c r="D666" s="8" t="s">
        <v>23</v>
      </c>
      <c r="E666" s="8" t="s">
        <v>26</v>
      </c>
      <c r="F666" s="9">
        <v>520</v>
      </c>
      <c r="G666" s="9">
        <v>510</v>
      </c>
      <c r="H666" s="9">
        <v>13</v>
      </c>
      <c r="I666" s="9">
        <f t="shared" si="90"/>
        <v>497</v>
      </c>
      <c r="J666" s="9">
        <v>19</v>
      </c>
      <c r="K666" s="10">
        <f t="shared" si="91"/>
        <v>3.9583333333333331E-2</v>
      </c>
      <c r="L666" s="17">
        <v>90</v>
      </c>
      <c r="M666" s="17">
        <v>30800</v>
      </c>
      <c r="N666" s="17">
        <f t="shared" si="92"/>
        <v>44730</v>
      </c>
      <c r="O666" s="17">
        <f t="shared" si="93"/>
        <v>13930</v>
      </c>
      <c r="P666" s="10">
        <f t="shared" si="94"/>
        <v>0.98076923076923073</v>
      </c>
      <c r="Q666" s="10">
        <f t="shared" si="95"/>
        <v>2.5490196078431372E-2</v>
      </c>
      <c r="R666" s="10">
        <f t="shared" si="96"/>
        <v>0.31142410015649452</v>
      </c>
      <c r="S666" s="18">
        <f t="shared" si="97"/>
        <v>61.971830985915496</v>
      </c>
      <c r="T666" s="8">
        <f>480-ProductionData[[#This Row],[Downtime Minutes]]</f>
        <v>461</v>
      </c>
      <c r="U666" s="11">
        <f t="shared" si="98"/>
        <v>1.1062906724511932</v>
      </c>
      <c r="V666" s="18">
        <f>ProductionData[[#This Row],[Profit]]/ProductionData[[#This Row],[Good Units]]</f>
        <v>28.028169014084508</v>
      </c>
      <c r="W666" s="11">
        <f>ProductionData[[#This Row],[Good Units]]/ProductionData[[#This Row],[Operating Minutes]]</f>
        <v>1.0780911062906724</v>
      </c>
    </row>
    <row r="667" spans="1:23">
      <c r="A667" s="7">
        <v>46277</v>
      </c>
      <c r="B667" s="8" t="s">
        <v>30</v>
      </c>
      <c r="C667" s="8" t="s">
        <v>28</v>
      </c>
      <c r="D667" s="8" t="s">
        <v>25</v>
      </c>
      <c r="E667" s="8" t="s">
        <v>22</v>
      </c>
      <c r="F667" s="9">
        <v>440</v>
      </c>
      <c r="G667" s="9">
        <v>412</v>
      </c>
      <c r="H667" s="9">
        <v>20</v>
      </c>
      <c r="I667" s="9">
        <f t="shared" si="90"/>
        <v>392</v>
      </c>
      <c r="J667" s="9">
        <v>46</v>
      </c>
      <c r="K667" s="10">
        <f t="shared" si="91"/>
        <v>9.583333333333334E-2</v>
      </c>
      <c r="L667" s="17">
        <v>100</v>
      </c>
      <c r="M667" s="17">
        <v>30800</v>
      </c>
      <c r="N667" s="17">
        <f t="shared" si="92"/>
        <v>39200</v>
      </c>
      <c r="O667" s="17">
        <f t="shared" si="93"/>
        <v>8400</v>
      </c>
      <c r="P667" s="10">
        <f t="shared" si="94"/>
        <v>0.9363636363636364</v>
      </c>
      <c r="Q667" s="10">
        <f t="shared" si="95"/>
        <v>4.8543689320388349E-2</v>
      </c>
      <c r="R667" s="10">
        <f t="shared" si="96"/>
        <v>0.21428571428571427</v>
      </c>
      <c r="S667" s="18">
        <f t="shared" si="97"/>
        <v>78.571428571428569</v>
      </c>
      <c r="T667" s="8">
        <f>480-ProductionData[[#This Row],[Downtime Minutes]]</f>
        <v>434</v>
      </c>
      <c r="U667" s="11">
        <f t="shared" si="98"/>
        <v>0.94930875576036866</v>
      </c>
      <c r="V667" s="18">
        <f>ProductionData[[#This Row],[Profit]]/ProductionData[[#This Row],[Good Units]]</f>
        <v>21.428571428571427</v>
      </c>
      <c r="W667" s="11">
        <f>ProductionData[[#This Row],[Good Units]]/ProductionData[[#This Row],[Operating Minutes]]</f>
        <v>0.90322580645161288</v>
      </c>
    </row>
    <row r="668" spans="1:23">
      <c r="A668" s="7">
        <v>46278</v>
      </c>
      <c r="B668" s="8" t="s">
        <v>30</v>
      </c>
      <c r="C668" s="8" t="s">
        <v>20</v>
      </c>
      <c r="D668" s="8" t="s">
        <v>21</v>
      </c>
      <c r="E668" s="8" t="s">
        <v>22</v>
      </c>
      <c r="F668" s="9">
        <v>460</v>
      </c>
      <c r="G668" s="9">
        <v>430</v>
      </c>
      <c r="H668" s="9">
        <v>19</v>
      </c>
      <c r="I668" s="9">
        <f t="shared" si="90"/>
        <v>411</v>
      </c>
      <c r="J668" s="9">
        <v>27</v>
      </c>
      <c r="K668" s="10">
        <f t="shared" si="91"/>
        <v>5.6250000000000001E-2</v>
      </c>
      <c r="L668" s="17">
        <v>100</v>
      </c>
      <c r="M668" s="17">
        <v>30800</v>
      </c>
      <c r="N668" s="17">
        <f t="shared" si="92"/>
        <v>41100</v>
      </c>
      <c r="O668" s="17">
        <f t="shared" si="93"/>
        <v>10300</v>
      </c>
      <c r="P668" s="10">
        <f t="shared" si="94"/>
        <v>0.93478260869565222</v>
      </c>
      <c r="Q668" s="10">
        <f t="shared" si="95"/>
        <v>4.4186046511627906E-2</v>
      </c>
      <c r="R668" s="10">
        <f t="shared" si="96"/>
        <v>0.25060827250608275</v>
      </c>
      <c r="S668" s="18">
        <f t="shared" si="97"/>
        <v>74.93917274939173</v>
      </c>
      <c r="T668" s="8">
        <f>480-ProductionData[[#This Row],[Downtime Minutes]]</f>
        <v>453</v>
      </c>
      <c r="U668" s="11">
        <f t="shared" si="98"/>
        <v>0.94922737306843263</v>
      </c>
      <c r="V668" s="18">
        <f>ProductionData[[#This Row],[Profit]]/ProductionData[[#This Row],[Good Units]]</f>
        <v>25.060827250608273</v>
      </c>
      <c r="W668" s="11">
        <f>ProductionData[[#This Row],[Good Units]]/ProductionData[[#This Row],[Operating Minutes]]</f>
        <v>0.9072847682119205</v>
      </c>
    </row>
    <row r="669" spans="1:23">
      <c r="A669" s="7">
        <v>46278</v>
      </c>
      <c r="B669" s="8" t="s">
        <v>30</v>
      </c>
      <c r="C669" s="8" t="s">
        <v>20</v>
      </c>
      <c r="D669" s="8" t="s">
        <v>23</v>
      </c>
      <c r="E669" s="8" t="s">
        <v>24</v>
      </c>
      <c r="F669" s="9">
        <v>410</v>
      </c>
      <c r="G669" s="9">
        <v>391</v>
      </c>
      <c r="H669" s="9">
        <v>15</v>
      </c>
      <c r="I669" s="9">
        <f t="shared" si="90"/>
        <v>376</v>
      </c>
      <c r="J669" s="9">
        <v>40</v>
      </c>
      <c r="K669" s="10">
        <f t="shared" si="91"/>
        <v>8.3333333333333329E-2</v>
      </c>
      <c r="L669" s="17">
        <v>120</v>
      </c>
      <c r="M669" s="17">
        <v>30800</v>
      </c>
      <c r="N669" s="17">
        <f t="shared" si="92"/>
        <v>45120</v>
      </c>
      <c r="O669" s="17">
        <f t="shared" si="93"/>
        <v>14320</v>
      </c>
      <c r="P669" s="10">
        <f t="shared" si="94"/>
        <v>0.95365853658536581</v>
      </c>
      <c r="Q669" s="10">
        <f t="shared" si="95"/>
        <v>3.8363171355498722E-2</v>
      </c>
      <c r="R669" s="10">
        <f t="shared" si="96"/>
        <v>0.31737588652482268</v>
      </c>
      <c r="S669" s="18">
        <f t="shared" si="97"/>
        <v>81.914893617021278</v>
      </c>
      <c r="T669" s="8">
        <f>480-ProductionData[[#This Row],[Downtime Minutes]]</f>
        <v>440</v>
      </c>
      <c r="U669" s="11">
        <f t="shared" si="98"/>
        <v>0.88863636363636367</v>
      </c>
      <c r="V669" s="18">
        <f>ProductionData[[#This Row],[Profit]]/ProductionData[[#This Row],[Good Units]]</f>
        <v>38.085106382978722</v>
      </c>
      <c r="W669" s="11">
        <f>ProductionData[[#This Row],[Good Units]]/ProductionData[[#This Row],[Operating Minutes]]</f>
        <v>0.8545454545454545</v>
      </c>
    </row>
    <row r="670" spans="1:23">
      <c r="A670" s="7">
        <v>46278</v>
      </c>
      <c r="B670" s="8" t="s">
        <v>30</v>
      </c>
      <c r="C670" s="8" t="s">
        <v>20</v>
      </c>
      <c r="D670" s="8" t="s">
        <v>25</v>
      </c>
      <c r="E670" s="8" t="s">
        <v>26</v>
      </c>
      <c r="F670" s="9">
        <v>490</v>
      </c>
      <c r="G670" s="9">
        <v>442</v>
      </c>
      <c r="H670" s="9">
        <v>17</v>
      </c>
      <c r="I670" s="9">
        <f t="shared" si="90"/>
        <v>425</v>
      </c>
      <c r="J670" s="9">
        <v>33</v>
      </c>
      <c r="K670" s="10">
        <f t="shared" si="91"/>
        <v>6.8750000000000006E-2</v>
      </c>
      <c r="L670" s="17">
        <v>90</v>
      </c>
      <c r="M670" s="17">
        <v>30800</v>
      </c>
      <c r="N670" s="17">
        <f t="shared" si="92"/>
        <v>38250</v>
      </c>
      <c r="O670" s="17">
        <f t="shared" si="93"/>
        <v>7450</v>
      </c>
      <c r="P670" s="10">
        <f t="shared" si="94"/>
        <v>0.90204081632653066</v>
      </c>
      <c r="Q670" s="10">
        <f t="shared" si="95"/>
        <v>3.8461538461538464E-2</v>
      </c>
      <c r="R670" s="10">
        <f t="shared" si="96"/>
        <v>0.19477124183006536</v>
      </c>
      <c r="S670" s="18">
        <f t="shared" si="97"/>
        <v>72.470588235294116</v>
      </c>
      <c r="T670" s="8">
        <f>480-ProductionData[[#This Row],[Downtime Minutes]]</f>
        <v>447</v>
      </c>
      <c r="U670" s="11">
        <f t="shared" si="98"/>
        <v>0.98881431767337813</v>
      </c>
      <c r="V670" s="18">
        <f>ProductionData[[#This Row],[Profit]]/ProductionData[[#This Row],[Good Units]]</f>
        <v>17.529411764705884</v>
      </c>
      <c r="W670" s="11">
        <f>ProductionData[[#This Row],[Good Units]]/ProductionData[[#This Row],[Operating Minutes]]</f>
        <v>0.95078299776286357</v>
      </c>
    </row>
    <row r="671" spans="1:23">
      <c r="A671" s="7">
        <v>46278</v>
      </c>
      <c r="B671" s="8" t="s">
        <v>30</v>
      </c>
      <c r="C671" s="8" t="s">
        <v>27</v>
      </c>
      <c r="D671" s="8" t="s">
        <v>21</v>
      </c>
      <c r="E671" s="8" t="s">
        <v>24</v>
      </c>
      <c r="F671" s="9">
        <v>390</v>
      </c>
      <c r="G671" s="9">
        <v>349</v>
      </c>
      <c r="H671" s="9">
        <v>13</v>
      </c>
      <c r="I671" s="9">
        <f t="shared" si="90"/>
        <v>336</v>
      </c>
      <c r="J671" s="9">
        <v>55</v>
      </c>
      <c r="K671" s="10">
        <f t="shared" si="91"/>
        <v>0.11458333333333333</v>
      </c>
      <c r="L671" s="17">
        <v>120</v>
      </c>
      <c r="M671" s="17">
        <v>30800</v>
      </c>
      <c r="N671" s="17">
        <f t="shared" si="92"/>
        <v>40320</v>
      </c>
      <c r="O671" s="17">
        <f t="shared" si="93"/>
        <v>9520</v>
      </c>
      <c r="P671" s="10">
        <f t="shared" si="94"/>
        <v>0.89487179487179491</v>
      </c>
      <c r="Q671" s="10">
        <f t="shared" si="95"/>
        <v>3.7249283667621778E-2</v>
      </c>
      <c r="R671" s="10">
        <f t="shared" si="96"/>
        <v>0.2361111111111111</v>
      </c>
      <c r="S671" s="18">
        <f t="shared" si="97"/>
        <v>91.666666666666671</v>
      </c>
      <c r="T671" s="8">
        <f>480-ProductionData[[#This Row],[Downtime Minutes]]</f>
        <v>425</v>
      </c>
      <c r="U671" s="11">
        <f t="shared" si="98"/>
        <v>0.82117647058823529</v>
      </c>
      <c r="V671" s="18">
        <f>ProductionData[[#This Row],[Profit]]/ProductionData[[#This Row],[Good Units]]</f>
        <v>28.333333333333332</v>
      </c>
      <c r="W671" s="11">
        <f>ProductionData[[#This Row],[Good Units]]/ProductionData[[#This Row],[Operating Minutes]]</f>
        <v>0.79058823529411759</v>
      </c>
    </row>
    <row r="672" spans="1:23">
      <c r="A672" s="7">
        <v>46278</v>
      </c>
      <c r="B672" s="8" t="s">
        <v>30</v>
      </c>
      <c r="C672" s="8" t="s">
        <v>27</v>
      </c>
      <c r="D672" s="8" t="s">
        <v>23</v>
      </c>
      <c r="E672" s="8" t="s">
        <v>26</v>
      </c>
      <c r="F672" s="9">
        <v>510</v>
      </c>
      <c r="G672" s="9">
        <v>446</v>
      </c>
      <c r="H672" s="9">
        <v>22</v>
      </c>
      <c r="I672" s="9">
        <f t="shared" si="90"/>
        <v>424</v>
      </c>
      <c r="J672" s="9">
        <v>48</v>
      </c>
      <c r="K672" s="10">
        <f t="shared" si="91"/>
        <v>0.1</v>
      </c>
      <c r="L672" s="17">
        <v>90</v>
      </c>
      <c r="M672" s="17">
        <v>30800</v>
      </c>
      <c r="N672" s="17">
        <f t="shared" si="92"/>
        <v>38160</v>
      </c>
      <c r="O672" s="17">
        <f t="shared" si="93"/>
        <v>7360</v>
      </c>
      <c r="P672" s="10">
        <f t="shared" si="94"/>
        <v>0.87450980392156863</v>
      </c>
      <c r="Q672" s="10">
        <f t="shared" si="95"/>
        <v>4.9327354260089683E-2</v>
      </c>
      <c r="R672" s="10">
        <f t="shared" si="96"/>
        <v>0.19287211740041929</v>
      </c>
      <c r="S672" s="18">
        <f t="shared" si="97"/>
        <v>72.64150943396227</v>
      </c>
      <c r="T672" s="8">
        <f>480-ProductionData[[#This Row],[Downtime Minutes]]</f>
        <v>432</v>
      </c>
      <c r="U672" s="11">
        <f t="shared" si="98"/>
        <v>1.0324074074074074</v>
      </c>
      <c r="V672" s="18">
        <f>ProductionData[[#This Row],[Profit]]/ProductionData[[#This Row],[Good Units]]</f>
        <v>17.358490566037737</v>
      </c>
      <c r="W672" s="11">
        <f>ProductionData[[#This Row],[Good Units]]/ProductionData[[#This Row],[Operating Minutes]]</f>
        <v>0.98148148148148151</v>
      </c>
    </row>
    <row r="673" spans="1:23">
      <c r="A673" s="7">
        <v>46278</v>
      </c>
      <c r="B673" s="8" t="s">
        <v>30</v>
      </c>
      <c r="C673" s="8" t="s">
        <v>27</v>
      </c>
      <c r="D673" s="8" t="s">
        <v>25</v>
      </c>
      <c r="E673" s="8" t="s">
        <v>22</v>
      </c>
      <c r="F673" s="9">
        <v>430</v>
      </c>
      <c r="G673" s="9">
        <v>369</v>
      </c>
      <c r="H673" s="9">
        <v>30</v>
      </c>
      <c r="I673" s="9">
        <f t="shared" si="90"/>
        <v>339</v>
      </c>
      <c r="J673" s="9">
        <v>78</v>
      </c>
      <c r="K673" s="10">
        <f t="shared" si="91"/>
        <v>0.16250000000000001</v>
      </c>
      <c r="L673" s="17">
        <v>100</v>
      </c>
      <c r="M673" s="17">
        <v>30800</v>
      </c>
      <c r="N673" s="17">
        <f t="shared" si="92"/>
        <v>33900</v>
      </c>
      <c r="O673" s="17">
        <f t="shared" si="93"/>
        <v>3100</v>
      </c>
      <c r="P673" s="10">
        <f t="shared" si="94"/>
        <v>0.85813953488372097</v>
      </c>
      <c r="Q673" s="10">
        <f t="shared" si="95"/>
        <v>8.1300813008130079E-2</v>
      </c>
      <c r="R673" s="10">
        <f t="shared" si="96"/>
        <v>9.1445427728613568E-2</v>
      </c>
      <c r="S673" s="18">
        <f t="shared" si="97"/>
        <v>90.855457227138643</v>
      </c>
      <c r="T673" s="8">
        <f>480-ProductionData[[#This Row],[Downtime Minutes]]</f>
        <v>402</v>
      </c>
      <c r="U673" s="11">
        <f t="shared" si="98"/>
        <v>0.91791044776119401</v>
      </c>
      <c r="V673" s="18">
        <f>ProductionData[[#This Row],[Profit]]/ProductionData[[#This Row],[Good Units]]</f>
        <v>9.1445427728613566</v>
      </c>
      <c r="W673" s="11">
        <f>ProductionData[[#This Row],[Good Units]]/ProductionData[[#This Row],[Operating Minutes]]</f>
        <v>0.84328358208955223</v>
      </c>
    </row>
    <row r="674" spans="1:23">
      <c r="A674" s="7">
        <v>46278</v>
      </c>
      <c r="B674" s="8" t="s">
        <v>30</v>
      </c>
      <c r="C674" s="8" t="s">
        <v>28</v>
      </c>
      <c r="D674" s="8" t="s">
        <v>21</v>
      </c>
      <c r="E674" s="8" t="s">
        <v>26</v>
      </c>
      <c r="F674" s="9">
        <v>510</v>
      </c>
      <c r="G674" s="9">
        <v>502</v>
      </c>
      <c r="H674" s="9">
        <v>17</v>
      </c>
      <c r="I674" s="9">
        <f t="shared" si="90"/>
        <v>485</v>
      </c>
      <c r="J674" s="9">
        <v>16</v>
      </c>
      <c r="K674" s="10">
        <f t="shared" si="91"/>
        <v>3.3333333333333333E-2</v>
      </c>
      <c r="L674" s="17">
        <v>90</v>
      </c>
      <c r="M674" s="17">
        <v>30800</v>
      </c>
      <c r="N674" s="17">
        <f t="shared" si="92"/>
        <v>43650</v>
      </c>
      <c r="O674" s="17">
        <f t="shared" si="93"/>
        <v>12850</v>
      </c>
      <c r="P674" s="10">
        <f t="shared" si="94"/>
        <v>0.98431372549019602</v>
      </c>
      <c r="Q674" s="10">
        <f t="shared" si="95"/>
        <v>3.386454183266932E-2</v>
      </c>
      <c r="R674" s="10">
        <f t="shared" si="96"/>
        <v>0.29438717067583048</v>
      </c>
      <c r="S674" s="18">
        <f t="shared" si="97"/>
        <v>63.505154639175259</v>
      </c>
      <c r="T674" s="8">
        <f>480-ProductionData[[#This Row],[Downtime Minutes]]</f>
        <v>464</v>
      </c>
      <c r="U674" s="11">
        <f t="shared" si="98"/>
        <v>1.0818965517241379</v>
      </c>
      <c r="V674" s="18">
        <f>ProductionData[[#This Row],[Profit]]/ProductionData[[#This Row],[Good Units]]</f>
        <v>26.494845360824741</v>
      </c>
      <c r="W674" s="11">
        <f>ProductionData[[#This Row],[Good Units]]/ProductionData[[#This Row],[Operating Minutes]]</f>
        <v>1.0452586206896552</v>
      </c>
    </row>
    <row r="675" spans="1:23">
      <c r="A675" s="7">
        <v>46278</v>
      </c>
      <c r="B675" s="8" t="s">
        <v>30</v>
      </c>
      <c r="C675" s="8" t="s">
        <v>28</v>
      </c>
      <c r="D675" s="8" t="s">
        <v>23</v>
      </c>
      <c r="E675" s="8" t="s">
        <v>22</v>
      </c>
      <c r="F675" s="9">
        <v>450</v>
      </c>
      <c r="G675" s="9">
        <v>418</v>
      </c>
      <c r="H675" s="9">
        <v>17</v>
      </c>
      <c r="I675" s="9">
        <f t="shared" si="90"/>
        <v>401</v>
      </c>
      <c r="J675" s="9">
        <v>26</v>
      </c>
      <c r="K675" s="10">
        <f t="shared" si="91"/>
        <v>5.4166666666666669E-2</v>
      </c>
      <c r="L675" s="17">
        <v>100</v>
      </c>
      <c r="M675" s="17">
        <v>30800</v>
      </c>
      <c r="N675" s="17">
        <f t="shared" si="92"/>
        <v>40100</v>
      </c>
      <c r="O675" s="17">
        <f t="shared" si="93"/>
        <v>9300</v>
      </c>
      <c r="P675" s="10">
        <f t="shared" si="94"/>
        <v>0.92888888888888888</v>
      </c>
      <c r="Q675" s="10">
        <f t="shared" si="95"/>
        <v>4.0669856459330141E-2</v>
      </c>
      <c r="R675" s="10">
        <f t="shared" si="96"/>
        <v>0.23192019950124687</v>
      </c>
      <c r="S675" s="18">
        <f t="shared" si="97"/>
        <v>76.807980049875312</v>
      </c>
      <c r="T675" s="8">
        <f>480-ProductionData[[#This Row],[Downtime Minutes]]</f>
        <v>454</v>
      </c>
      <c r="U675" s="11">
        <f t="shared" si="98"/>
        <v>0.92070484581497802</v>
      </c>
      <c r="V675" s="18">
        <f>ProductionData[[#This Row],[Profit]]/ProductionData[[#This Row],[Good Units]]</f>
        <v>23.192019950124688</v>
      </c>
      <c r="W675" s="11">
        <f>ProductionData[[#This Row],[Good Units]]/ProductionData[[#This Row],[Operating Minutes]]</f>
        <v>0.88325991189427311</v>
      </c>
    </row>
    <row r="676" spans="1:23">
      <c r="A676" s="7">
        <v>46278</v>
      </c>
      <c r="B676" s="8" t="s">
        <v>30</v>
      </c>
      <c r="C676" s="8" t="s">
        <v>28</v>
      </c>
      <c r="D676" s="8" t="s">
        <v>25</v>
      </c>
      <c r="E676" s="8" t="s">
        <v>24</v>
      </c>
      <c r="F676" s="9">
        <v>410</v>
      </c>
      <c r="G676" s="9">
        <v>377</v>
      </c>
      <c r="H676" s="9">
        <v>14</v>
      </c>
      <c r="I676" s="9">
        <f t="shared" si="90"/>
        <v>363</v>
      </c>
      <c r="J676" s="9">
        <v>38</v>
      </c>
      <c r="K676" s="10">
        <f t="shared" si="91"/>
        <v>7.9166666666666663E-2</v>
      </c>
      <c r="L676" s="17">
        <v>120</v>
      </c>
      <c r="M676" s="17">
        <v>30800</v>
      </c>
      <c r="N676" s="17">
        <f t="shared" si="92"/>
        <v>43560</v>
      </c>
      <c r="O676" s="17">
        <f t="shared" si="93"/>
        <v>12760</v>
      </c>
      <c r="P676" s="10">
        <f t="shared" si="94"/>
        <v>0.91951219512195126</v>
      </c>
      <c r="Q676" s="10">
        <f t="shared" si="95"/>
        <v>3.7135278514588858E-2</v>
      </c>
      <c r="R676" s="10">
        <f t="shared" si="96"/>
        <v>0.29292929292929293</v>
      </c>
      <c r="S676" s="18">
        <f t="shared" si="97"/>
        <v>84.848484848484844</v>
      </c>
      <c r="T676" s="8">
        <f>480-ProductionData[[#This Row],[Downtime Minutes]]</f>
        <v>442</v>
      </c>
      <c r="U676" s="11">
        <f t="shared" si="98"/>
        <v>0.8529411764705882</v>
      </c>
      <c r="V676" s="18">
        <f>ProductionData[[#This Row],[Profit]]/ProductionData[[#This Row],[Good Units]]</f>
        <v>35.151515151515149</v>
      </c>
      <c r="W676" s="11">
        <f>ProductionData[[#This Row],[Good Units]]/ProductionData[[#This Row],[Operating Minutes]]</f>
        <v>0.82126696832579182</v>
      </c>
    </row>
    <row r="677" spans="1:23">
      <c r="A677" s="7">
        <v>46279</v>
      </c>
      <c r="B677" s="8" t="s">
        <v>30</v>
      </c>
      <c r="C677" s="8" t="s">
        <v>20</v>
      </c>
      <c r="D677" s="8" t="s">
        <v>21</v>
      </c>
      <c r="E677" s="8" t="s">
        <v>24</v>
      </c>
      <c r="F677" s="9">
        <v>390</v>
      </c>
      <c r="G677" s="9">
        <v>373</v>
      </c>
      <c r="H677" s="9">
        <v>11</v>
      </c>
      <c r="I677" s="9">
        <f t="shared" si="90"/>
        <v>362</v>
      </c>
      <c r="J677" s="9">
        <v>37</v>
      </c>
      <c r="K677" s="10">
        <f t="shared" si="91"/>
        <v>7.7083333333333337E-2</v>
      </c>
      <c r="L677" s="17">
        <v>120</v>
      </c>
      <c r="M677" s="17">
        <v>30800</v>
      </c>
      <c r="N677" s="17">
        <f t="shared" si="92"/>
        <v>43440</v>
      </c>
      <c r="O677" s="17">
        <f t="shared" si="93"/>
        <v>12640</v>
      </c>
      <c r="P677" s="10">
        <f t="shared" si="94"/>
        <v>0.95641025641025645</v>
      </c>
      <c r="Q677" s="10">
        <f t="shared" si="95"/>
        <v>2.9490616621983913E-2</v>
      </c>
      <c r="R677" s="10">
        <f t="shared" si="96"/>
        <v>0.29097605893186002</v>
      </c>
      <c r="S677" s="18">
        <f t="shared" si="97"/>
        <v>85.082872928176798</v>
      </c>
      <c r="T677" s="8">
        <f>480-ProductionData[[#This Row],[Downtime Minutes]]</f>
        <v>443</v>
      </c>
      <c r="U677" s="11">
        <f t="shared" si="98"/>
        <v>0.84198645598194133</v>
      </c>
      <c r="V677" s="18">
        <f>ProductionData[[#This Row],[Profit]]/ProductionData[[#This Row],[Good Units]]</f>
        <v>34.917127071823202</v>
      </c>
      <c r="W677" s="11">
        <f>ProductionData[[#This Row],[Good Units]]/ProductionData[[#This Row],[Operating Minutes]]</f>
        <v>0.81715575620767489</v>
      </c>
    </row>
    <row r="678" spans="1:23">
      <c r="A678" s="7">
        <v>46279</v>
      </c>
      <c r="B678" s="8" t="s">
        <v>30</v>
      </c>
      <c r="C678" s="8" t="s">
        <v>20</v>
      </c>
      <c r="D678" s="8" t="s">
        <v>23</v>
      </c>
      <c r="E678" s="8" t="s">
        <v>26</v>
      </c>
      <c r="F678" s="9">
        <v>490</v>
      </c>
      <c r="G678" s="9">
        <v>461</v>
      </c>
      <c r="H678" s="9">
        <v>15</v>
      </c>
      <c r="I678" s="9">
        <f t="shared" si="90"/>
        <v>446</v>
      </c>
      <c r="J678" s="9">
        <v>29</v>
      </c>
      <c r="K678" s="10">
        <f t="shared" si="91"/>
        <v>6.0416666666666667E-2</v>
      </c>
      <c r="L678" s="17">
        <v>90</v>
      </c>
      <c r="M678" s="17">
        <v>30800</v>
      </c>
      <c r="N678" s="17">
        <f t="shared" si="92"/>
        <v>40140</v>
      </c>
      <c r="O678" s="17">
        <f t="shared" si="93"/>
        <v>9340</v>
      </c>
      <c r="P678" s="10">
        <f t="shared" si="94"/>
        <v>0.9408163265306122</v>
      </c>
      <c r="Q678" s="10">
        <f t="shared" si="95"/>
        <v>3.2537960954446853E-2</v>
      </c>
      <c r="R678" s="10">
        <f t="shared" si="96"/>
        <v>0.23268560039860489</v>
      </c>
      <c r="S678" s="18">
        <f t="shared" si="97"/>
        <v>69.058295964125563</v>
      </c>
      <c r="T678" s="8">
        <f>480-ProductionData[[#This Row],[Downtime Minutes]]</f>
        <v>451</v>
      </c>
      <c r="U678" s="11">
        <f t="shared" si="98"/>
        <v>1.0221729490022173</v>
      </c>
      <c r="V678" s="18">
        <f>ProductionData[[#This Row],[Profit]]/ProductionData[[#This Row],[Good Units]]</f>
        <v>20.941704035874441</v>
      </c>
      <c r="W678" s="11">
        <f>ProductionData[[#This Row],[Good Units]]/ProductionData[[#This Row],[Operating Minutes]]</f>
        <v>0.98891352549889133</v>
      </c>
    </row>
    <row r="679" spans="1:23">
      <c r="A679" s="7">
        <v>46279</v>
      </c>
      <c r="B679" s="8" t="s">
        <v>30</v>
      </c>
      <c r="C679" s="8" t="s">
        <v>20</v>
      </c>
      <c r="D679" s="8" t="s">
        <v>25</v>
      </c>
      <c r="E679" s="8" t="s">
        <v>22</v>
      </c>
      <c r="F679" s="9">
        <v>440</v>
      </c>
      <c r="G679" s="9">
        <v>404</v>
      </c>
      <c r="H679" s="9">
        <v>26</v>
      </c>
      <c r="I679" s="9">
        <f t="shared" si="90"/>
        <v>378</v>
      </c>
      <c r="J679" s="9">
        <v>54</v>
      </c>
      <c r="K679" s="10">
        <f t="shared" si="91"/>
        <v>0.1125</v>
      </c>
      <c r="L679" s="17">
        <v>100</v>
      </c>
      <c r="M679" s="17">
        <v>30800</v>
      </c>
      <c r="N679" s="17">
        <f t="shared" si="92"/>
        <v>37800</v>
      </c>
      <c r="O679" s="17">
        <f t="shared" si="93"/>
        <v>7000</v>
      </c>
      <c r="P679" s="10">
        <f t="shared" si="94"/>
        <v>0.91818181818181821</v>
      </c>
      <c r="Q679" s="10">
        <f t="shared" si="95"/>
        <v>6.4356435643564358E-2</v>
      </c>
      <c r="R679" s="10">
        <f t="shared" si="96"/>
        <v>0.18518518518518517</v>
      </c>
      <c r="S679" s="18">
        <f t="shared" si="97"/>
        <v>81.481481481481481</v>
      </c>
      <c r="T679" s="8">
        <f>480-ProductionData[[#This Row],[Downtime Minutes]]</f>
        <v>426</v>
      </c>
      <c r="U679" s="11">
        <f t="shared" si="98"/>
        <v>0.94835680751173712</v>
      </c>
      <c r="V679" s="18">
        <f>ProductionData[[#This Row],[Profit]]/ProductionData[[#This Row],[Good Units]]</f>
        <v>18.518518518518519</v>
      </c>
      <c r="W679" s="11">
        <f>ProductionData[[#This Row],[Good Units]]/ProductionData[[#This Row],[Operating Minutes]]</f>
        <v>0.88732394366197187</v>
      </c>
    </row>
    <row r="680" spans="1:23">
      <c r="A680" s="7">
        <v>46279</v>
      </c>
      <c r="B680" s="8" t="s">
        <v>30</v>
      </c>
      <c r="C680" s="8" t="s">
        <v>27</v>
      </c>
      <c r="D680" s="8" t="s">
        <v>21</v>
      </c>
      <c r="E680" s="8" t="s">
        <v>26</v>
      </c>
      <c r="F680" s="9">
        <v>510</v>
      </c>
      <c r="G680" s="9">
        <v>464</v>
      </c>
      <c r="H680" s="9">
        <v>24</v>
      </c>
      <c r="I680" s="9">
        <f t="shared" si="90"/>
        <v>440</v>
      </c>
      <c r="J680" s="9">
        <v>36</v>
      </c>
      <c r="K680" s="10">
        <f t="shared" si="91"/>
        <v>7.4999999999999997E-2</v>
      </c>
      <c r="L680" s="17">
        <v>90</v>
      </c>
      <c r="M680" s="17">
        <v>30800</v>
      </c>
      <c r="N680" s="17">
        <f t="shared" si="92"/>
        <v>39600</v>
      </c>
      <c r="O680" s="17">
        <f t="shared" si="93"/>
        <v>8800</v>
      </c>
      <c r="P680" s="10">
        <f t="shared" si="94"/>
        <v>0.90980392156862744</v>
      </c>
      <c r="Q680" s="10">
        <f t="shared" si="95"/>
        <v>5.1724137931034482E-2</v>
      </c>
      <c r="R680" s="10">
        <f t="shared" si="96"/>
        <v>0.22222222222222221</v>
      </c>
      <c r="S680" s="18">
        <f t="shared" si="97"/>
        <v>70</v>
      </c>
      <c r="T680" s="8">
        <f>480-ProductionData[[#This Row],[Downtime Minutes]]</f>
        <v>444</v>
      </c>
      <c r="U680" s="11">
        <f t="shared" si="98"/>
        <v>1.045045045045045</v>
      </c>
      <c r="V680" s="18">
        <f>ProductionData[[#This Row],[Profit]]/ProductionData[[#This Row],[Good Units]]</f>
        <v>20</v>
      </c>
      <c r="W680" s="11">
        <f>ProductionData[[#This Row],[Good Units]]/ProductionData[[#This Row],[Operating Minutes]]</f>
        <v>0.99099099099099097</v>
      </c>
    </row>
    <row r="681" spans="1:23">
      <c r="A681" s="7">
        <v>46279</v>
      </c>
      <c r="B681" s="8" t="s">
        <v>30</v>
      </c>
      <c r="C681" s="8" t="s">
        <v>27</v>
      </c>
      <c r="D681" s="8" t="s">
        <v>23</v>
      </c>
      <c r="E681" s="8" t="s">
        <v>22</v>
      </c>
      <c r="F681" s="9">
        <v>440</v>
      </c>
      <c r="G681" s="9">
        <v>397</v>
      </c>
      <c r="H681" s="9">
        <v>27</v>
      </c>
      <c r="I681" s="9">
        <f t="shared" si="90"/>
        <v>370</v>
      </c>
      <c r="J681" s="9">
        <v>68</v>
      </c>
      <c r="K681" s="10">
        <f t="shared" si="91"/>
        <v>0.14166666666666666</v>
      </c>
      <c r="L681" s="17">
        <v>100</v>
      </c>
      <c r="M681" s="17">
        <v>30800</v>
      </c>
      <c r="N681" s="17">
        <f t="shared" si="92"/>
        <v>37000</v>
      </c>
      <c r="O681" s="17">
        <f t="shared" si="93"/>
        <v>6200</v>
      </c>
      <c r="P681" s="10">
        <f t="shared" si="94"/>
        <v>0.90227272727272723</v>
      </c>
      <c r="Q681" s="10">
        <f t="shared" si="95"/>
        <v>6.8010075566750636E-2</v>
      </c>
      <c r="R681" s="10">
        <f t="shared" si="96"/>
        <v>0.16756756756756758</v>
      </c>
      <c r="S681" s="18">
        <f t="shared" si="97"/>
        <v>83.243243243243242</v>
      </c>
      <c r="T681" s="8">
        <f>480-ProductionData[[#This Row],[Downtime Minutes]]</f>
        <v>412</v>
      </c>
      <c r="U681" s="11">
        <f t="shared" si="98"/>
        <v>0.96359223300970875</v>
      </c>
      <c r="V681" s="18">
        <f>ProductionData[[#This Row],[Profit]]/ProductionData[[#This Row],[Good Units]]</f>
        <v>16.756756756756758</v>
      </c>
      <c r="W681" s="11">
        <f>ProductionData[[#This Row],[Good Units]]/ProductionData[[#This Row],[Operating Minutes]]</f>
        <v>0.89805825242718451</v>
      </c>
    </row>
    <row r="682" spans="1:23">
      <c r="A682" s="7">
        <v>46279</v>
      </c>
      <c r="B682" s="8" t="s">
        <v>30</v>
      </c>
      <c r="C682" s="8" t="s">
        <v>27</v>
      </c>
      <c r="D682" s="8" t="s">
        <v>25</v>
      </c>
      <c r="E682" s="8" t="s">
        <v>24</v>
      </c>
      <c r="F682" s="9">
        <v>390</v>
      </c>
      <c r="G682" s="9">
        <v>333</v>
      </c>
      <c r="H682" s="9">
        <v>19</v>
      </c>
      <c r="I682" s="9">
        <f t="shared" si="90"/>
        <v>314</v>
      </c>
      <c r="J682" s="9">
        <v>51</v>
      </c>
      <c r="K682" s="10">
        <f t="shared" si="91"/>
        <v>0.10625</v>
      </c>
      <c r="L682" s="17">
        <v>120</v>
      </c>
      <c r="M682" s="17">
        <v>30800</v>
      </c>
      <c r="N682" s="17">
        <f t="shared" si="92"/>
        <v>37680</v>
      </c>
      <c r="O682" s="17">
        <f t="shared" si="93"/>
        <v>6880</v>
      </c>
      <c r="P682" s="10">
        <f t="shared" si="94"/>
        <v>0.85384615384615381</v>
      </c>
      <c r="Q682" s="10">
        <f t="shared" si="95"/>
        <v>5.7057057057057055E-2</v>
      </c>
      <c r="R682" s="10">
        <f t="shared" si="96"/>
        <v>0.18259023354564755</v>
      </c>
      <c r="S682" s="18">
        <f t="shared" si="97"/>
        <v>98.089171974522287</v>
      </c>
      <c r="T682" s="8">
        <f>480-ProductionData[[#This Row],[Downtime Minutes]]</f>
        <v>429</v>
      </c>
      <c r="U682" s="11">
        <f t="shared" si="98"/>
        <v>0.77622377622377625</v>
      </c>
      <c r="V682" s="18">
        <f>ProductionData[[#This Row],[Profit]]/ProductionData[[#This Row],[Good Units]]</f>
        <v>21.910828025477706</v>
      </c>
      <c r="W682" s="11">
        <f>ProductionData[[#This Row],[Good Units]]/ProductionData[[#This Row],[Operating Minutes]]</f>
        <v>0.73193473193473191</v>
      </c>
    </row>
    <row r="683" spans="1:23">
      <c r="A683" s="7">
        <v>46279</v>
      </c>
      <c r="B683" s="8" t="s">
        <v>30</v>
      </c>
      <c r="C683" s="8" t="s">
        <v>28</v>
      </c>
      <c r="D683" s="8" t="s">
        <v>21</v>
      </c>
      <c r="E683" s="8" t="s">
        <v>22</v>
      </c>
      <c r="F683" s="9">
        <v>440</v>
      </c>
      <c r="G683" s="9">
        <v>420</v>
      </c>
      <c r="H683" s="9">
        <v>17</v>
      </c>
      <c r="I683" s="9">
        <f t="shared" si="90"/>
        <v>403</v>
      </c>
      <c r="J683" s="9">
        <v>17</v>
      </c>
      <c r="K683" s="10">
        <f t="shared" si="91"/>
        <v>3.5416666666666666E-2</v>
      </c>
      <c r="L683" s="17">
        <v>100</v>
      </c>
      <c r="M683" s="17">
        <v>30800</v>
      </c>
      <c r="N683" s="17">
        <f t="shared" si="92"/>
        <v>40300</v>
      </c>
      <c r="O683" s="17">
        <f t="shared" si="93"/>
        <v>9500</v>
      </c>
      <c r="P683" s="10">
        <f t="shared" si="94"/>
        <v>0.95454545454545459</v>
      </c>
      <c r="Q683" s="10">
        <f t="shared" si="95"/>
        <v>4.0476190476190478E-2</v>
      </c>
      <c r="R683" s="10">
        <f t="shared" si="96"/>
        <v>0.23573200992555832</v>
      </c>
      <c r="S683" s="18">
        <f t="shared" si="97"/>
        <v>76.426799007444174</v>
      </c>
      <c r="T683" s="8">
        <f>480-ProductionData[[#This Row],[Downtime Minutes]]</f>
        <v>463</v>
      </c>
      <c r="U683" s="11">
        <f t="shared" si="98"/>
        <v>0.90712742980561556</v>
      </c>
      <c r="V683" s="18">
        <f>ProductionData[[#This Row],[Profit]]/ProductionData[[#This Row],[Good Units]]</f>
        <v>23.573200992555833</v>
      </c>
      <c r="W683" s="11">
        <f>ProductionData[[#This Row],[Good Units]]/ProductionData[[#This Row],[Operating Minutes]]</f>
        <v>0.87041036717062636</v>
      </c>
    </row>
    <row r="684" spans="1:23">
      <c r="A684" s="7">
        <v>46279</v>
      </c>
      <c r="B684" s="8" t="s">
        <v>30</v>
      </c>
      <c r="C684" s="8" t="s">
        <v>28</v>
      </c>
      <c r="D684" s="8" t="s">
        <v>23</v>
      </c>
      <c r="E684" s="8" t="s">
        <v>24</v>
      </c>
      <c r="F684" s="9">
        <v>400</v>
      </c>
      <c r="G684" s="9">
        <v>391</v>
      </c>
      <c r="H684" s="9">
        <v>10</v>
      </c>
      <c r="I684" s="9">
        <f t="shared" si="90"/>
        <v>381</v>
      </c>
      <c r="J684" s="9">
        <v>25</v>
      </c>
      <c r="K684" s="10">
        <f t="shared" si="91"/>
        <v>5.2083333333333336E-2</v>
      </c>
      <c r="L684" s="17">
        <v>120</v>
      </c>
      <c r="M684" s="17">
        <v>30800</v>
      </c>
      <c r="N684" s="17">
        <f t="shared" si="92"/>
        <v>45720</v>
      </c>
      <c r="O684" s="17">
        <f t="shared" si="93"/>
        <v>14920</v>
      </c>
      <c r="P684" s="10">
        <f t="shared" si="94"/>
        <v>0.97750000000000004</v>
      </c>
      <c r="Q684" s="10">
        <f t="shared" si="95"/>
        <v>2.557544757033248E-2</v>
      </c>
      <c r="R684" s="10">
        <f t="shared" si="96"/>
        <v>0.32633420822397202</v>
      </c>
      <c r="S684" s="18">
        <f t="shared" si="97"/>
        <v>80.839895013123353</v>
      </c>
      <c r="T684" s="8">
        <f>480-ProductionData[[#This Row],[Downtime Minutes]]</f>
        <v>455</v>
      </c>
      <c r="U684" s="11">
        <f t="shared" si="98"/>
        <v>0.85934065934065929</v>
      </c>
      <c r="V684" s="18">
        <f>ProductionData[[#This Row],[Profit]]/ProductionData[[#This Row],[Good Units]]</f>
        <v>39.16010498687664</v>
      </c>
      <c r="W684" s="11">
        <f>ProductionData[[#This Row],[Good Units]]/ProductionData[[#This Row],[Operating Minutes]]</f>
        <v>0.83736263736263739</v>
      </c>
    </row>
    <row r="685" spans="1:23">
      <c r="A685" s="7">
        <v>46279</v>
      </c>
      <c r="B685" s="8" t="s">
        <v>30</v>
      </c>
      <c r="C685" s="8" t="s">
        <v>28</v>
      </c>
      <c r="D685" s="8" t="s">
        <v>25</v>
      </c>
      <c r="E685" s="8" t="s">
        <v>26</v>
      </c>
      <c r="F685" s="9">
        <v>490</v>
      </c>
      <c r="G685" s="9">
        <v>440</v>
      </c>
      <c r="H685" s="9">
        <v>15</v>
      </c>
      <c r="I685" s="9">
        <f t="shared" si="90"/>
        <v>425</v>
      </c>
      <c r="J685" s="9">
        <v>21</v>
      </c>
      <c r="K685" s="10">
        <f t="shared" si="91"/>
        <v>4.3749999999999997E-2</v>
      </c>
      <c r="L685" s="17">
        <v>90</v>
      </c>
      <c r="M685" s="17">
        <v>30800</v>
      </c>
      <c r="N685" s="17">
        <f t="shared" si="92"/>
        <v>38250</v>
      </c>
      <c r="O685" s="17">
        <f t="shared" si="93"/>
        <v>7450</v>
      </c>
      <c r="P685" s="10">
        <f t="shared" si="94"/>
        <v>0.89795918367346939</v>
      </c>
      <c r="Q685" s="10">
        <f t="shared" si="95"/>
        <v>3.4090909090909088E-2</v>
      </c>
      <c r="R685" s="10">
        <f t="shared" si="96"/>
        <v>0.19477124183006536</v>
      </c>
      <c r="S685" s="18">
        <f t="shared" si="97"/>
        <v>72.470588235294116</v>
      </c>
      <c r="T685" s="8">
        <f>480-ProductionData[[#This Row],[Downtime Minutes]]</f>
        <v>459</v>
      </c>
      <c r="U685" s="11">
        <f t="shared" si="98"/>
        <v>0.95860566448801743</v>
      </c>
      <c r="V685" s="18">
        <f>ProductionData[[#This Row],[Profit]]/ProductionData[[#This Row],[Good Units]]</f>
        <v>17.529411764705884</v>
      </c>
      <c r="W685" s="11">
        <f>ProductionData[[#This Row],[Good Units]]/ProductionData[[#This Row],[Operating Minutes]]</f>
        <v>0.92592592592592593</v>
      </c>
    </row>
    <row r="686" spans="1:23">
      <c r="A686" s="7">
        <v>46280</v>
      </c>
      <c r="B686" s="8" t="s">
        <v>30</v>
      </c>
      <c r="C686" s="8" t="s">
        <v>20</v>
      </c>
      <c r="D686" s="8" t="s">
        <v>21</v>
      </c>
      <c r="E686" s="8" t="s">
        <v>26</v>
      </c>
      <c r="F686" s="9">
        <v>480</v>
      </c>
      <c r="G686" s="9">
        <v>452</v>
      </c>
      <c r="H686" s="9">
        <v>14</v>
      </c>
      <c r="I686" s="9">
        <f t="shared" si="90"/>
        <v>438</v>
      </c>
      <c r="J686" s="9">
        <v>18</v>
      </c>
      <c r="K686" s="10">
        <f t="shared" si="91"/>
        <v>3.7499999999999999E-2</v>
      </c>
      <c r="L686" s="17">
        <v>90</v>
      </c>
      <c r="M686" s="17">
        <v>30800</v>
      </c>
      <c r="N686" s="17">
        <f t="shared" si="92"/>
        <v>39420</v>
      </c>
      <c r="O686" s="17">
        <f t="shared" si="93"/>
        <v>8620</v>
      </c>
      <c r="P686" s="10">
        <f t="shared" si="94"/>
        <v>0.94166666666666665</v>
      </c>
      <c r="Q686" s="10">
        <f t="shared" si="95"/>
        <v>3.0973451327433628E-2</v>
      </c>
      <c r="R686" s="10">
        <f t="shared" si="96"/>
        <v>0.21867072552004058</v>
      </c>
      <c r="S686" s="18">
        <f t="shared" si="97"/>
        <v>70.319634703196343</v>
      </c>
      <c r="T686" s="8">
        <f>480-ProductionData[[#This Row],[Downtime Minutes]]</f>
        <v>462</v>
      </c>
      <c r="U686" s="11">
        <f t="shared" si="98"/>
        <v>0.97835497835497831</v>
      </c>
      <c r="V686" s="18">
        <f>ProductionData[[#This Row],[Profit]]/ProductionData[[#This Row],[Good Units]]</f>
        <v>19.680365296803654</v>
      </c>
      <c r="W686" s="11">
        <f>ProductionData[[#This Row],[Good Units]]/ProductionData[[#This Row],[Operating Minutes]]</f>
        <v>0.94805194805194803</v>
      </c>
    </row>
    <row r="687" spans="1:23">
      <c r="A687" s="7">
        <v>46280</v>
      </c>
      <c r="B687" s="8" t="s">
        <v>30</v>
      </c>
      <c r="C687" s="8" t="s">
        <v>20</v>
      </c>
      <c r="D687" s="8" t="s">
        <v>23</v>
      </c>
      <c r="E687" s="8" t="s">
        <v>22</v>
      </c>
      <c r="F687" s="9">
        <v>450</v>
      </c>
      <c r="G687" s="9">
        <v>418</v>
      </c>
      <c r="H687" s="9">
        <v>21</v>
      </c>
      <c r="I687" s="9">
        <f t="shared" si="90"/>
        <v>397</v>
      </c>
      <c r="J687" s="9">
        <v>33</v>
      </c>
      <c r="K687" s="10">
        <f t="shared" si="91"/>
        <v>6.8750000000000006E-2</v>
      </c>
      <c r="L687" s="17">
        <v>100</v>
      </c>
      <c r="M687" s="17">
        <v>30800</v>
      </c>
      <c r="N687" s="17">
        <f t="shared" si="92"/>
        <v>39700</v>
      </c>
      <c r="O687" s="17">
        <f t="shared" si="93"/>
        <v>8900</v>
      </c>
      <c r="P687" s="10">
        <f t="shared" si="94"/>
        <v>0.92888888888888888</v>
      </c>
      <c r="Q687" s="10">
        <f t="shared" si="95"/>
        <v>5.0239234449760764E-2</v>
      </c>
      <c r="R687" s="10">
        <f t="shared" si="96"/>
        <v>0.22418136020151133</v>
      </c>
      <c r="S687" s="18">
        <f t="shared" si="97"/>
        <v>77.581863979848862</v>
      </c>
      <c r="T687" s="8">
        <f>480-ProductionData[[#This Row],[Downtime Minutes]]</f>
        <v>447</v>
      </c>
      <c r="U687" s="11">
        <f t="shared" si="98"/>
        <v>0.93512304250559286</v>
      </c>
      <c r="V687" s="18">
        <f>ProductionData[[#This Row],[Profit]]/ProductionData[[#This Row],[Good Units]]</f>
        <v>22.418136020151135</v>
      </c>
      <c r="W687" s="11">
        <f>ProductionData[[#This Row],[Good Units]]/ProductionData[[#This Row],[Operating Minutes]]</f>
        <v>0.88814317673378074</v>
      </c>
    </row>
    <row r="688" spans="1:23">
      <c r="A688" s="7">
        <v>46280</v>
      </c>
      <c r="B688" s="8" t="s">
        <v>30</v>
      </c>
      <c r="C688" s="8" t="s">
        <v>20</v>
      </c>
      <c r="D688" s="8" t="s">
        <v>25</v>
      </c>
      <c r="E688" s="8" t="s">
        <v>24</v>
      </c>
      <c r="F688" s="9">
        <v>410</v>
      </c>
      <c r="G688" s="9">
        <v>373</v>
      </c>
      <c r="H688" s="9">
        <v>17</v>
      </c>
      <c r="I688" s="9">
        <f t="shared" si="90"/>
        <v>356</v>
      </c>
      <c r="J688" s="9">
        <v>38</v>
      </c>
      <c r="K688" s="10">
        <f t="shared" si="91"/>
        <v>7.9166666666666663E-2</v>
      </c>
      <c r="L688" s="17">
        <v>120</v>
      </c>
      <c r="M688" s="17">
        <v>30800</v>
      </c>
      <c r="N688" s="17">
        <f t="shared" si="92"/>
        <v>42720</v>
      </c>
      <c r="O688" s="17">
        <f t="shared" si="93"/>
        <v>11920</v>
      </c>
      <c r="P688" s="10">
        <f t="shared" si="94"/>
        <v>0.90975609756097564</v>
      </c>
      <c r="Q688" s="10">
        <f t="shared" si="95"/>
        <v>4.5576407506702415E-2</v>
      </c>
      <c r="R688" s="10">
        <f t="shared" si="96"/>
        <v>0.27902621722846443</v>
      </c>
      <c r="S688" s="18">
        <f t="shared" si="97"/>
        <v>86.516853932584269</v>
      </c>
      <c r="T688" s="8">
        <f>480-ProductionData[[#This Row],[Downtime Minutes]]</f>
        <v>442</v>
      </c>
      <c r="U688" s="11">
        <f t="shared" si="98"/>
        <v>0.84389140271493213</v>
      </c>
      <c r="V688" s="18">
        <f>ProductionData[[#This Row],[Profit]]/ProductionData[[#This Row],[Good Units]]</f>
        <v>33.483146067415731</v>
      </c>
      <c r="W688" s="11">
        <f>ProductionData[[#This Row],[Good Units]]/ProductionData[[#This Row],[Operating Minutes]]</f>
        <v>0.80542986425339369</v>
      </c>
    </row>
    <row r="689" spans="1:23">
      <c r="A689" s="7">
        <v>46280</v>
      </c>
      <c r="B689" s="8" t="s">
        <v>30</v>
      </c>
      <c r="C689" s="8" t="s">
        <v>27</v>
      </c>
      <c r="D689" s="8" t="s">
        <v>21</v>
      </c>
      <c r="E689" s="8" t="s">
        <v>22</v>
      </c>
      <c r="F689" s="9">
        <v>450</v>
      </c>
      <c r="G689" s="9">
        <v>411</v>
      </c>
      <c r="H689" s="9">
        <v>22</v>
      </c>
      <c r="I689" s="9">
        <f t="shared" si="90"/>
        <v>389</v>
      </c>
      <c r="J689" s="9">
        <v>41</v>
      </c>
      <c r="K689" s="10">
        <f t="shared" si="91"/>
        <v>8.5416666666666669E-2</v>
      </c>
      <c r="L689" s="17">
        <v>100</v>
      </c>
      <c r="M689" s="17">
        <v>30800</v>
      </c>
      <c r="N689" s="17">
        <f t="shared" si="92"/>
        <v>38900</v>
      </c>
      <c r="O689" s="17">
        <f t="shared" si="93"/>
        <v>8100</v>
      </c>
      <c r="P689" s="10">
        <f t="shared" si="94"/>
        <v>0.91333333333333333</v>
      </c>
      <c r="Q689" s="10">
        <f t="shared" si="95"/>
        <v>5.3527980535279802E-2</v>
      </c>
      <c r="R689" s="10">
        <f t="shared" si="96"/>
        <v>0.20822622107969152</v>
      </c>
      <c r="S689" s="18">
        <f t="shared" si="97"/>
        <v>79.177377892030847</v>
      </c>
      <c r="T689" s="8">
        <f>480-ProductionData[[#This Row],[Downtime Minutes]]</f>
        <v>439</v>
      </c>
      <c r="U689" s="11">
        <f t="shared" si="98"/>
        <v>0.9362186788154897</v>
      </c>
      <c r="V689" s="18">
        <f>ProductionData[[#This Row],[Profit]]/ProductionData[[#This Row],[Good Units]]</f>
        <v>20.822622107969153</v>
      </c>
      <c r="W689" s="11">
        <f>ProductionData[[#This Row],[Good Units]]/ProductionData[[#This Row],[Operating Minutes]]</f>
        <v>0.88610478359908884</v>
      </c>
    </row>
    <row r="690" spans="1:23">
      <c r="A690" s="7">
        <v>46280</v>
      </c>
      <c r="B690" s="8" t="s">
        <v>30</v>
      </c>
      <c r="C690" s="8" t="s">
        <v>27</v>
      </c>
      <c r="D690" s="8" t="s">
        <v>23</v>
      </c>
      <c r="E690" s="8" t="s">
        <v>24</v>
      </c>
      <c r="F690" s="9">
        <v>390</v>
      </c>
      <c r="G690" s="9">
        <v>336</v>
      </c>
      <c r="H690" s="9">
        <v>16</v>
      </c>
      <c r="I690" s="9">
        <f t="shared" si="90"/>
        <v>320</v>
      </c>
      <c r="J690" s="9">
        <v>55</v>
      </c>
      <c r="K690" s="10">
        <f t="shared" si="91"/>
        <v>0.11458333333333333</v>
      </c>
      <c r="L690" s="17">
        <v>120</v>
      </c>
      <c r="M690" s="17">
        <v>30800</v>
      </c>
      <c r="N690" s="17">
        <f t="shared" si="92"/>
        <v>38400</v>
      </c>
      <c r="O690" s="17">
        <f t="shared" si="93"/>
        <v>7600</v>
      </c>
      <c r="P690" s="10">
        <f t="shared" si="94"/>
        <v>0.86153846153846159</v>
      </c>
      <c r="Q690" s="10">
        <f t="shared" si="95"/>
        <v>4.7619047619047616E-2</v>
      </c>
      <c r="R690" s="10">
        <f t="shared" si="96"/>
        <v>0.19791666666666666</v>
      </c>
      <c r="S690" s="18">
        <f t="shared" si="97"/>
        <v>96.25</v>
      </c>
      <c r="T690" s="8">
        <f>480-ProductionData[[#This Row],[Downtime Minutes]]</f>
        <v>425</v>
      </c>
      <c r="U690" s="11">
        <f t="shared" si="98"/>
        <v>0.79058823529411759</v>
      </c>
      <c r="V690" s="18">
        <f>ProductionData[[#This Row],[Profit]]/ProductionData[[#This Row],[Good Units]]</f>
        <v>23.75</v>
      </c>
      <c r="W690" s="11">
        <f>ProductionData[[#This Row],[Good Units]]/ProductionData[[#This Row],[Operating Minutes]]</f>
        <v>0.75294117647058822</v>
      </c>
    </row>
    <row r="691" spans="1:23">
      <c r="A691" s="7">
        <v>46280</v>
      </c>
      <c r="B691" s="8" t="s">
        <v>30</v>
      </c>
      <c r="C691" s="8" t="s">
        <v>27</v>
      </c>
      <c r="D691" s="8" t="s">
        <v>25</v>
      </c>
      <c r="E691" s="8" t="s">
        <v>26</v>
      </c>
      <c r="F691" s="9">
        <v>510</v>
      </c>
      <c r="G691" s="9">
        <v>438</v>
      </c>
      <c r="H691" s="9">
        <v>30</v>
      </c>
      <c r="I691" s="9">
        <f t="shared" si="90"/>
        <v>408</v>
      </c>
      <c r="J691" s="9">
        <v>46</v>
      </c>
      <c r="K691" s="10">
        <f t="shared" si="91"/>
        <v>9.583333333333334E-2</v>
      </c>
      <c r="L691" s="17">
        <v>90</v>
      </c>
      <c r="M691" s="17">
        <v>30800</v>
      </c>
      <c r="N691" s="17">
        <f t="shared" si="92"/>
        <v>36720</v>
      </c>
      <c r="O691" s="17">
        <f t="shared" si="93"/>
        <v>5920</v>
      </c>
      <c r="P691" s="10">
        <f t="shared" si="94"/>
        <v>0.85882352941176465</v>
      </c>
      <c r="Q691" s="10">
        <f t="shared" si="95"/>
        <v>6.8493150684931503E-2</v>
      </c>
      <c r="R691" s="10">
        <f t="shared" si="96"/>
        <v>0.16122004357298475</v>
      </c>
      <c r="S691" s="18">
        <f t="shared" si="97"/>
        <v>75.490196078431367</v>
      </c>
      <c r="T691" s="8">
        <f>480-ProductionData[[#This Row],[Downtime Minutes]]</f>
        <v>434</v>
      </c>
      <c r="U691" s="11">
        <f t="shared" si="98"/>
        <v>1.0092165898617511</v>
      </c>
      <c r="V691" s="18">
        <f>ProductionData[[#This Row],[Profit]]/ProductionData[[#This Row],[Good Units]]</f>
        <v>14.509803921568627</v>
      </c>
      <c r="W691" s="11">
        <f>ProductionData[[#This Row],[Good Units]]/ProductionData[[#This Row],[Operating Minutes]]</f>
        <v>0.94009216589861755</v>
      </c>
    </row>
    <row r="692" spans="1:23">
      <c r="A692" s="7">
        <v>46280</v>
      </c>
      <c r="B692" s="8" t="s">
        <v>30</v>
      </c>
      <c r="C692" s="8" t="s">
        <v>28</v>
      </c>
      <c r="D692" s="8" t="s">
        <v>21</v>
      </c>
      <c r="E692" s="8" t="s">
        <v>24</v>
      </c>
      <c r="F692" s="9">
        <v>400</v>
      </c>
      <c r="G692" s="9">
        <v>389</v>
      </c>
      <c r="H692" s="9">
        <v>8</v>
      </c>
      <c r="I692" s="9">
        <f t="shared" si="90"/>
        <v>381</v>
      </c>
      <c r="J692" s="9">
        <v>10</v>
      </c>
      <c r="K692" s="10">
        <f t="shared" si="91"/>
        <v>2.0833333333333332E-2</v>
      </c>
      <c r="L692" s="17">
        <v>120</v>
      </c>
      <c r="M692" s="17">
        <v>30800</v>
      </c>
      <c r="N692" s="17">
        <f t="shared" si="92"/>
        <v>45720</v>
      </c>
      <c r="O692" s="17">
        <f t="shared" si="93"/>
        <v>14920</v>
      </c>
      <c r="P692" s="10">
        <f t="shared" si="94"/>
        <v>0.97250000000000003</v>
      </c>
      <c r="Q692" s="10">
        <f t="shared" si="95"/>
        <v>2.056555269922879E-2</v>
      </c>
      <c r="R692" s="10">
        <f t="shared" si="96"/>
        <v>0.32633420822397202</v>
      </c>
      <c r="S692" s="18">
        <f t="shared" si="97"/>
        <v>80.839895013123353</v>
      </c>
      <c r="T692" s="8">
        <f>480-ProductionData[[#This Row],[Downtime Minutes]]</f>
        <v>470</v>
      </c>
      <c r="U692" s="11">
        <f t="shared" si="98"/>
        <v>0.82765957446808514</v>
      </c>
      <c r="V692" s="18">
        <f>ProductionData[[#This Row],[Profit]]/ProductionData[[#This Row],[Good Units]]</f>
        <v>39.16010498687664</v>
      </c>
      <c r="W692" s="11">
        <f>ProductionData[[#This Row],[Good Units]]/ProductionData[[#This Row],[Operating Minutes]]</f>
        <v>0.81063829787234043</v>
      </c>
    </row>
    <row r="693" spans="1:23">
      <c r="A693" s="7">
        <v>46280</v>
      </c>
      <c r="B693" s="8" t="s">
        <v>30</v>
      </c>
      <c r="C693" s="8" t="s">
        <v>28</v>
      </c>
      <c r="D693" s="8" t="s">
        <v>23</v>
      </c>
      <c r="E693" s="8" t="s">
        <v>26</v>
      </c>
      <c r="F693" s="9">
        <v>520</v>
      </c>
      <c r="G693" s="9">
        <v>487</v>
      </c>
      <c r="H693" s="9">
        <v>18</v>
      </c>
      <c r="I693" s="9">
        <f t="shared" si="90"/>
        <v>469</v>
      </c>
      <c r="J693" s="9">
        <v>17</v>
      </c>
      <c r="K693" s="10">
        <f t="shared" si="91"/>
        <v>3.5416666666666666E-2</v>
      </c>
      <c r="L693" s="17">
        <v>90</v>
      </c>
      <c r="M693" s="17">
        <v>30800</v>
      </c>
      <c r="N693" s="17">
        <f t="shared" si="92"/>
        <v>42210</v>
      </c>
      <c r="O693" s="17">
        <f t="shared" si="93"/>
        <v>11410</v>
      </c>
      <c r="P693" s="10">
        <f t="shared" si="94"/>
        <v>0.93653846153846154</v>
      </c>
      <c r="Q693" s="10">
        <f t="shared" si="95"/>
        <v>3.6960985626283367E-2</v>
      </c>
      <c r="R693" s="10">
        <f t="shared" si="96"/>
        <v>0.27031509121061359</v>
      </c>
      <c r="S693" s="18">
        <f t="shared" si="97"/>
        <v>65.671641791044777</v>
      </c>
      <c r="T693" s="8">
        <f>480-ProductionData[[#This Row],[Downtime Minutes]]</f>
        <v>463</v>
      </c>
      <c r="U693" s="11">
        <f t="shared" si="98"/>
        <v>1.0518358531317495</v>
      </c>
      <c r="V693" s="18">
        <f>ProductionData[[#This Row],[Profit]]/ProductionData[[#This Row],[Good Units]]</f>
        <v>24.328358208955223</v>
      </c>
      <c r="W693" s="11">
        <f>ProductionData[[#This Row],[Good Units]]/ProductionData[[#This Row],[Operating Minutes]]</f>
        <v>1.0129589632829374</v>
      </c>
    </row>
    <row r="694" spans="1:23">
      <c r="A694" s="7">
        <v>46280</v>
      </c>
      <c r="B694" s="8" t="s">
        <v>30</v>
      </c>
      <c r="C694" s="8" t="s">
        <v>28</v>
      </c>
      <c r="D694" s="8" t="s">
        <v>25</v>
      </c>
      <c r="E694" s="8" t="s">
        <v>22</v>
      </c>
      <c r="F694" s="9">
        <v>440</v>
      </c>
      <c r="G694" s="9">
        <v>400</v>
      </c>
      <c r="H694" s="9">
        <v>18</v>
      </c>
      <c r="I694" s="9">
        <f t="shared" si="90"/>
        <v>382</v>
      </c>
      <c r="J694" s="9">
        <v>50</v>
      </c>
      <c r="K694" s="10">
        <f t="shared" si="91"/>
        <v>0.10416666666666667</v>
      </c>
      <c r="L694" s="17">
        <v>100</v>
      </c>
      <c r="M694" s="17">
        <v>30800</v>
      </c>
      <c r="N694" s="17">
        <f t="shared" si="92"/>
        <v>38200</v>
      </c>
      <c r="O694" s="17">
        <f t="shared" si="93"/>
        <v>7400</v>
      </c>
      <c r="P694" s="10">
        <f t="shared" si="94"/>
        <v>0.90909090909090906</v>
      </c>
      <c r="Q694" s="10">
        <f t="shared" si="95"/>
        <v>4.4999999999999998E-2</v>
      </c>
      <c r="R694" s="10">
        <f t="shared" si="96"/>
        <v>0.193717277486911</v>
      </c>
      <c r="S694" s="18">
        <f t="shared" si="97"/>
        <v>80.6282722513089</v>
      </c>
      <c r="T694" s="8">
        <f>480-ProductionData[[#This Row],[Downtime Minutes]]</f>
        <v>430</v>
      </c>
      <c r="U694" s="11">
        <f t="shared" si="98"/>
        <v>0.93023255813953487</v>
      </c>
      <c r="V694" s="18">
        <f>ProductionData[[#This Row],[Profit]]/ProductionData[[#This Row],[Good Units]]</f>
        <v>19.3717277486911</v>
      </c>
      <c r="W694" s="11">
        <f>ProductionData[[#This Row],[Good Units]]/ProductionData[[#This Row],[Operating Minutes]]</f>
        <v>0.88837209302325582</v>
      </c>
    </row>
    <row r="695" spans="1:23">
      <c r="A695" s="7">
        <v>46281</v>
      </c>
      <c r="B695" s="8" t="s">
        <v>30</v>
      </c>
      <c r="C695" s="8" t="s">
        <v>20</v>
      </c>
      <c r="D695" s="8" t="s">
        <v>21</v>
      </c>
      <c r="E695" s="8" t="s">
        <v>22</v>
      </c>
      <c r="F695" s="9">
        <v>460</v>
      </c>
      <c r="G695" s="9">
        <v>442</v>
      </c>
      <c r="H695" s="9">
        <v>18</v>
      </c>
      <c r="I695" s="9">
        <f t="shared" si="90"/>
        <v>424</v>
      </c>
      <c r="J695" s="9">
        <v>32</v>
      </c>
      <c r="K695" s="10">
        <f t="shared" si="91"/>
        <v>6.6666666666666666E-2</v>
      </c>
      <c r="L695" s="17">
        <v>100</v>
      </c>
      <c r="M695" s="17">
        <v>30800</v>
      </c>
      <c r="N695" s="17">
        <f t="shared" si="92"/>
        <v>42400</v>
      </c>
      <c r="O695" s="17">
        <f t="shared" si="93"/>
        <v>11600</v>
      </c>
      <c r="P695" s="10">
        <f t="shared" si="94"/>
        <v>0.96086956521739131</v>
      </c>
      <c r="Q695" s="10">
        <f t="shared" si="95"/>
        <v>4.072398190045249E-2</v>
      </c>
      <c r="R695" s="10">
        <f t="shared" si="96"/>
        <v>0.27358490566037735</v>
      </c>
      <c r="S695" s="18">
        <f t="shared" si="97"/>
        <v>72.64150943396227</v>
      </c>
      <c r="T695" s="8">
        <f>480-ProductionData[[#This Row],[Downtime Minutes]]</f>
        <v>448</v>
      </c>
      <c r="U695" s="11">
        <f t="shared" si="98"/>
        <v>0.9866071428571429</v>
      </c>
      <c r="V695" s="18">
        <f>ProductionData[[#This Row],[Profit]]/ProductionData[[#This Row],[Good Units]]</f>
        <v>27.358490566037737</v>
      </c>
      <c r="W695" s="11">
        <f>ProductionData[[#This Row],[Good Units]]/ProductionData[[#This Row],[Operating Minutes]]</f>
        <v>0.9464285714285714</v>
      </c>
    </row>
    <row r="696" spans="1:23">
      <c r="A696" s="7">
        <v>46281</v>
      </c>
      <c r="B696" s="8" t="s">
        <v>30</v>
      </c>
      <c r="C696" s="8" t="s">
        <v>20</v>
      </c>
      <c r="D696" s="8" t="s">
        <v>23</v>
      </c>
      <c r="E696" s="8" t="s">
        <v>24</v>
      </c>
      <c r="F696" s="9">
        <v>390</v>
      </c>
      <c r="G696" s="9">
        <v>355</v>
      </c>
      <c r="H696" s="9">
        <v>12</v>
      </c>
      <c r="I696" s="9">
        <f t="shared" si="90"/>
        <v>343</v>
      </c>
      <c r="J696" s="9">
        <v>40</v>
      </c>
      <c r="K696" s="10">
        <f t="shared" si="91"/>
        <v>8.3333333333333329E-2</v>
      </c>
      <c r="L696" s="17">
        <v>120</v>
      </c>
      <c r="M696" s="17">
        <v>30800</v>
      </c>
      <c r="N696" s="17">
        <f t="shared" si="92"/>
        <v>41160</v>
      </c>
      <c r="O696" s="17">
        <f t="shared" si="93"/>
        <v>10360</v>
      </c>
      <c r="P696" s="10">
        <f t="shared" si="94"/>
        <v>0.91025641025641024</v>
      </c>
      <c r="Q696" s="10">
        <f t="shared" si="95"/>
        <v>3.3802816901408447E-2</v>
      </c>
      <c r="R696" s="10">
        <f t="shared" si="96"/>
        <v>0.25170068027210885</v>
      </c>
      <c r="S696" s="18">
        <f t="shared" si="97"/>
        <v>89.795918367346943</v>
      </c>
      <c r="T696" s="8">
        <f>480-ProductionData[[#This Row],[Downtime Minutes]]</f>
        <v>440</v>
      </c>
      <c r="U696" s="11">
        <f t="shared" si="98"/>
        <v>0.80681818181818177</v>
      </c>
      <c r="V696" s="18">
        <f>ProductionData[[#This Row],[Profit]]/ProductionData[[#This Row],[Good Units]]</f>
        <v>30.204081632653061</v>
      </c>
      <c r="W696" s="11">
        <f>ProductionData[[#This Row],[Good Units]]/ProductionData[[#This Row],[Operating Minutes]]</f>
        <v>0.77954545454545454</v>
      </c>
    </row>
    <row r="697" spans="1:23">
      <c r="A697" s="7">
        <v>46281</v>
      </c>
      <c r="B697" s="8" t="s">
        <v>30</v>
      </c>
      <c r="C697" s="8" t="s">
        <v>20</v>
      </c>
      <c r="D697" s="8" t="s">
        <v>25</v>
      </c>
      <c r="E697" s="8" t="s">
        <v>26</v>
      </c>
      <c r="F697" s="9">
        <v>480</v>
      </c>
      <c r="G697" s="9">
        <v>421</v>
      </c>
      <c r="H697" s="9">
        <v>16</v>
      </c>
      <c r="I697" s="9">
        <f t="shared" si="90"/>
        <v>405</v>
      </c>
      <c r="J697" s="9">
        <v>47</v>
      </c>
      <c r="K697" s="10">
        <f t="shared" si="91"/>
        <v>9.7916666666666666E-2</v>
      </c>
      <c r="L697" s="17">
        <v>90</v>
      </c>
      <c r="M697" s="17">
        <v>30800</v>
      </c>
      <c r="N697" s="17">
        <f t="shared" si="92"/>
        <v>36450</v>
      </c>
      <c r="O697" s="17">
        <f t="shared" si="93"/>
        <v>5650</v>
      </c>
      <c r="P697" s="10">
        <f t="shared" si="94"/>
        <v>0.87708333333333333</v>
      </c>
      <c r="Q697" s="10">
        <f t="shared" si="95"/>
        <v>3.800475059382423E-2</v>
      </c>
      <c r="R697" s="10">
        <f t="shared" si="96"/>
        <v>0.15500685871056241</v>
      </c>
      <c r="S697" s="18">
        <f t="shared" si="97"/>
        <v>76.049382716049379</v>
      </c>
      <c r="T697" s="8">
        <f>480-ProductionData[[#This Row],[Downtime Minutes]]</f>
        <v>433</v>
      </c>
      <c r="U697" s="11">
        <f t="shared" si="98"/>
        <v>0.97228637413394914</v>
      </c>
      <c r="V697" s="18">
        <f>ProductionData[[#This Row],[Profit]]/ProductionData[[#This Row],[Good Units]]</f>
        <v>13.950617283950617</v>
      </c>
      <c r="W697" s="11">
        <f>ProductionData[[#This Row],[Good Units]]/ProductionData[[#This Row],[Operating Minutes]]</f>
        <v>0.9353348729792148</v>
      </c>
    </row>
    <row r="698" spans="1:23">
      <c r="A698" s="7">
        <v>46281</v>
      </c>
      <c r="B698" s="8" t="s">
        <v>30</v>
      </c>
      <c r="C698" s="8" t="s">
        <v>27</v>
      </c>
      <c r="D698" s="8" t="s">
        <v>21</v>
      </c>
      <c r="E698" s="8" t="s">
        <v>24</v>
      </c>
      <c r="F698" s="9">
        <v>400</v>
      </c>
      <c r="G698" s="9">
        <v>352</v>
      </c>
      <c r="H698" s="9">
        <v>14</v>
      </c>
      <c r="I698" s="9">
        <f t="shared" si="90"/>
        <v>338</v>
      </c>
      <c r="J698" s="9">
        <v>41</v>
      </c>
      <c r="K698" s="10">
        <f t="shared" si="91"/>
        <v>8.5416666666666669E-2</v>
      </c>
      <c r="L698" s="17">
        <v>120</v>
      </c>
      <c r="M698" s="17">
        <v>30800</v>
      </c>
      <c r="N698" s="17">
        <f t="shared" si="92"/>
        <v>40560</v>
      </c>
      <c r="O698" s="17">
        <f t="shared" si="93"/>
        <v>9760</v>
      </c>
      <c r="P698" s="10">
        <f t="shared" si="94"/>
        <v>0.88</v>
      </c>
      <c r="Q698" s="10">
        <f t="shared" si="95"/>
        <v>3.9772727272727272E-2</v>
      </c>
      <c r="R698" s="10">
        <f t="shared" si="96"/>
        <v>0.24063116370808679</v>
      </c>
      <c r="S698" s="18">
        <f t="shared" si="97"/>
        <v>91.124260355029591</v>
      </c>
      <c r="T698" s="8">
        <f>480-ProductionData[[#This Row],[Downtime Minutes]]</f>
        <v>439</v>
      </c>
      <c r="U698" s="11">
        <f t="shared" si="98"/>
        <v>0.80182232346241455</v>
      </c>
      <c r="V698" s="18">
        <f>ProductionData[[#This Row],[Profit]]/ProductionData[[#This Row],[Good Units]]</f>
        <v>28.875739644970412</v>
      </c>
      <c r="W698" s="11">
        <f>ProductionData[[#This Row],[Good Units]]/ProductionData[[#This Row],[Operating Minutes]]</f>
        <v>0.76993166287015946</v>
      </c>
    </row>
    <row r="699" spans="1:23">
      <c r="A699" s="7">
        <v>46281</v>
      </c>
      <c r="B699" s="8" t="s">
        <v>30</v>
      </c>
      <c r="C699" s="8" t="s">
        <v>27</v>
      </c>
      <c r="D699" s="8" t="s">
        <v>23</v>
      </c>
      <c r="E699" s="8" t="s">
        <v>26</v>
      </c>
      <c r="F699" s="9">
        <v>490</v>
      </c>
      <c r="G699" s="9">
        <v>422</v>
      </c>
      <c r="H699" s="9">
        <v>26</v>
      </c>
      <c r="I699" s="9">
        <f t="shared" si="90"/>
        <v>396</v>
      </c>
      <c r="J699" s="9">
        <v>47</v>
      </c>
      <c r="K699" s="10">
        <f t="shared" si="91"/>
        <v>9.7916666666666666E-2</v>
      </c>
      <c r="L699" s="17">
        <v>90</v>
      </c>
      <c r="M699" s="17">
        <v>30800</v>
      </c>
      <c r="N699" s="17">
        <f t="shared" si="92"/>
        <v>35640</v>
      </c>
      <c r="O699" s="17">
        <f t="shared" si="93"/>
        <v>4840</v>
      </c>
      <c r="P699" s="10">
        <f t="shared" si="94"/>
        <v>0.86122448979591837</v>
      </c>
      <c r="Q699" s="10">
        <f t="shared" si="95"/>
        <v>6.1611374407582936E-2</v>
      </c>
      <c r="R699" s="10">
        <f t="shared" si="96"/>
        <v>0.13580246913580246</v>
      </c>
      <c r="S699" s="18">
        <f t="shared" si="97"/>
        <v>77.777777777777771</v>
      </c>
      <c r="T699" s="8">
        <f>480-ProductionData[[#This Row],[Downtime Minutes]]</f>
        <v>433</v>
      </c>
      <c r="U699" s="11">
        <f t="shared" si="98"/>
        <v>0.97459584295612012</v>
      </c>
      <c r="V699" s="18">
        <f>ProductionData[[#This Row],[Profit]]/ProductionData[[#This Row],[Good Units]]</f>
        <v>12.222222222222221</v>
      </c>
      <c r="W699" s="11">
        <f>ProductionData[[#This Row],[Good Units]]/ProductionData[[#This Row],[Operating Minutes]]</f>
        <v>0.91454965357967666</v>
      </c>
    </row>
    <row r="700" spans="1:23">
      <c r="A700" s="7">
        <v>46281</v>
      </c>
      <c r="B700" s="8" t="s">
        <v>30</v>
      </c>
      <c r="C700" s="8" t="s">
        <v>27</v>
      </c>
      <c r="D700" s="8" t="s">
        <v>25</v>
      </c>
      <c r="E700" s="8" t="s">
        <v>22</v>
      </c>
      <c r="F700" s="9">
        <v>450</v>
      </c>
      <c r="G700" s="9">
        <v>396</v>
      </c>
      <c r="H700" s="9">
        <v>28</v>
      </c>
      <c r="I700" s="9">
        <f t="shared" si="90"/>
        <v>368</v>
      </c>
      <c r="J700" s="9">
        <v>74</v>
      </c>
      <c r="K700" s="10">
        <f t="shared" si="91"/>
        <v>0.15416666666666667</v>
      </c>
      <c r="L700" s="17">
        <v>100</v>
      </c>
      <c r="M700" s="17">
        <v>30800</v>
      </c>
      <c r="N700" s="17">
        <f t="shared" si="92"/>
        <v>36800</v>
      </c>
      <c r="O700" s="17">
        <f t="shared" si="93"/>
        <v>6000</v>
      </c>
      <c r="P700" s="10">
        <f t="shared" si="94"/>
        <v>0.88</v>
      </c>
      <c r="Q700" s="10">
        <f t="shared" si="95"/>
        <v>7.0707070707070704E-2</v>
      </c>
      <c r="R700" s="10">
        <f t="shared" si="96"/>
        <v>0.16304347826086957</v>
      </c>
      <c r="S700" s="18">
        <f t="shared" si="97"/>
        <v>83.695652173913047</v>
      </c>
      <c r="T700" s="8">
        <f>480-ProductionData[[#This Row],[Downtime Minutes]]</f>
        <v>406</v>
      </c>
      <c r="U700" s="11">
        <f t="shared" si="98"/>
        <v>0.97536945812807885</v>
      </c>
      <c r="V700" s="18">
        <f>ProductionData[[#This Row],[Profit]]/ProductionData[[#This Row],[Good Units]]</f>
        <v>16.304347826086957</v>
      </c>
      <c r="W700" s="11">
        <f>ProductionData[[#This Row],[Good Units]]/ProductionData[[#This Row],[Operating Minutes]]</f>
        <v>0.90640394088669951</v>
      </c>
    </row>
    <row r="701" spans="1:23">
      <c r="A701" s="7">
        <v>46281</v>
      </c>
      <c r="B701" s="8" t="s">
        <v>30</v>
      </c>
      <c r="C701" s="8" t="s">
        <v>28</v>
      </c>
      <c r="D701" s="8" t="s">
        <v>21</v>
      </c>
      <c r="E701" s="8" t="s">
        <v>26</v>
      </c>
      <c r="F701" s="9">
        <v>500</v>
      </c>
      <c r="G701" s="9">
        <v>480</v>
      </c>
      <c r="H701" s="9">
        <v>12</v>
      </c>
      <c r="I701" s="9">
        <f t="shared" si="90"/>
        <v>468</v>
      </c>
      <c r="J701" s="9">
        <v>10</v>
      </c>
      <c r="K701" s="10">
        <f t="shared" si="91"/>
        <v>2.0833333333333332E-2</v>
      </c>
      <c r="L701" s="17">
        <v>90</v>
      </c>
      <c r="M701" s="17">
        <v>30800</v>
      </c>
      <c r="N701" s="17">
        <f t="shared" si="92"/>
        <v>42120</v>
      </c>
      <c r="O701" s="17">
        <f t="shared" si="93"/>
        <v>11320</v>
      </c>
      <c r="P701" s="10">
        <f t="shared" si="94"/>
        <v>0.96</v>
      </c>
      <c r="Q701" s="10">
        <f t="shared" si="95"/>
        <v>2.5000000000000001E-2</v>
      </c>
      <c r="R701" s="10">
        <f t="shared" si="96"/>
        <v>0.26875593542260207</v>
      </c>
      <c r="S701" s="18">
        <f t="shared" si="97"/>
        <v>65.811965811965806</v>
      </c>
      <c r="T701" s="8">
        <f>480-ProductionData[[#This Row],[Downtime Minutes]]</f>
        <v>470</v>
      </c>
      <c r="U701" s="11">
        <f t="shared" si="98"/>
        <v>1.0212765957446808</v>
      </c>
      <c r="V701" s="18">
        <f>ProductionData[[#This Row],[Profit]]/ProductionData[[#This Row],[Good Units]]</f>
        <v>24.188034188034187</v>
      </c>
      <c r="W701" s="11">
        <f>ProductionData[[#This Row],[Good Units]]/ProductionData[[#This Row],[Operating Minutes]]</f>
        <v>0.99574468085106382</v>
      </c>
    </row>
    <row r="702" spans="1:23">
      <c r="A702" s="7">
        <v>46281</v>
      </c>
      <c r="B702" s="8" t="s">
        <v>30</v>
      </c>
      <c r="C702" s="8" t="s">
        <v>28</v>
      </c>
      <c r="D702" s="8" t="s">
        <v>23</v>
      </c>
      <c r="E702" s="8" t="s">
        <v>22</v>
      </c>
      <c r="F702" s="9">
        <v>430</v>
      </c>
      <c r="G702" s="9">
        <v>410</v>
      </c>
      <c r="H702" s="9">
        <v>16</v>
      </c>
      <c r="I702" s="9">
        <f t="shared" si="90"/>
        <v>394</v>
      </c>
      <c r="J702" s="9">
        <v>30</v>
      </c>
      <c r="K702" s="10">
        <f t="shared" si="91"/>
        <v>6.25E-2</v>
      </c>
      <c r="L702" s="17">
        <v>100</v>
      </c>
      <c r="M702" s="17">
        <v>30800</v>
      </c>
      <c r="N702" s="17">
        <f t="shared" si="92"/>
        <v>39400</v>
      </c>
      <c r="O702" s="17">
        <f t="shared" si="93"/>
        <v>8600</v>
      </c>
      <c r="P702" s="10">
        <f t="shared" si="94"/>
        <v>0.95348837209302328</v>
      </c>
      <c r="Q702" s="10">
        <f t="shared" si="95"/>
        <v>3.9024390243902439E-2</v>
      </c>
      <c r="R702" s="10">
        <f t="shared" si="96"/>
        <v>0.21827411167512689</v>
      </c>
      <c r="S702" s="18">
        <f t="shared" si="97"/>
        <v>78.172588832487307</v>
      </c>
      <c r="T702" s="8">
        <f>480-ProductionData[[#This Row],[Downtime Minutes]]</f>
        <v>450</v>
      </c>
      <c r="U702" s="11">
        <f t="shared" si="98"/>
        <v>0.91111111111111109</v>
      </c>
      <c r="V702" s="18">
        <f>ProductionData[[#This Row],[Profit]]/ProductionData[[#This Row],[Good Units]]</f>
        <v>21.82741116751269</v>
      </c>
      <c r="W702" s="11">
        <f>ProductionData[[#This Row],[Good Units]]/ProductionData[[#This Row],[Operating Minutes]]</f>
        <v>0.87555555555555553</v>
      </c>
    </row>
    <row r="703" spans="1:23">
      <c r="A703" s="7">
        <v>46281</v>
      </c>
      <c r="B703" s="8" t="s">
        <v>30</v>
      </c>
      <c r="C703" s="8" t="s">
        <v>28</v>
      </c>
      <c r="D703" s="8" t="s">
        <v>25</v>
      </c>
      <c r="E703" s="8" t="s">
        <v>24</v>
      </c>
      <c r="F703" s="9">
        <v>390</v>
      </c>
      <c r="G703" s="9">
        <v>367</v>
      </c>
      <c r="H703" s="9">
        <v>14</v>
      </c>
      <c r="I703" s="9">
        <f t="shared" si="90"/>
        <v>353</v>
      </c>
      <c r="J703" s="9">
        <v>25</v>
      </c>
      <c r="K703" s="10">
        <f t="shared" si="91"/>
        <v>5.2083333333333336E-2</v>
      </c>
      <c r="L703" s="17">
        <v>120</v>
      </c>
      <c r="M703" s="17">
        <v>30800</v>
      </c>
      <c r="N703" s="17">
        <f t="shared" si="92"/>
        <v>42360</v>
      </c>
      <c r="O703" s="17">
        <f t="shared" si="93"/>
        <v>11560</v>
      </c>
      <c r="P703" s="10">
        <f t="shared" si="94"/>
        <v>0.94102564102564101</v>
      </c>
      <c r="Q703" s="10">
        <f t="shared" si="95"/>
        <v>3.8147138964577658E-2</v>
      </c>
      <c r="R703" s="10">
        <f t="shared" si="96"/>
        <v>0.27289896128423041</v>
      </c>
      <c r="S703" s="18">
        <f t="shared" si="97"/>
        <v>87.252124645892351</v>
      </c>
      <c r="T703" s="8">
        <f>480-ProductionData[[#This Row],[Downtime Minutes]]</f>
        <v>455</v>
      </c>
      <c r="U703" s="11">
        <f t="shared" si="98"/>
        <v>0.80659340659340661</v>
      </c>
      <c r="V703" s="18">
        <f>ProductionData[[#This Row],[Profit]]/ProductionData[[#This Row],[Good Units]]</f>
        <v>32.747875354107649</v>
      </c>
      <c r="W703" s="11">
        <f>ProductionData[[#This Row],[Good Units]]/ProductionData[[#This Row],[Operating Minutes]]</f>
        <v>0.77582417582417584</v>
      </c>
    </row>
    <row r="704" spans="1:23">
      <c r="A704" s="7">
        <v>46282</v>
      </c>
      <c r="B704" s="8" t="s">
        <v>30</v>
      </c>
      <c r="C704" s="8" t="s">
        <v>20</v>
      </c>
      <c r="D704" s="8" t="s">
        <v>21</v>
      </c>
      <c r="E704" s="8" t="s">
        <v>24</v>
      </c>
      <c r="F704" s="9">
        <v>400</v>
      </c>
      <c r="G704" s="9">
        <v>380</v>
      </c>
      <c r="H704" s="9">
        <v>14</v>
      </c>
      <c r="I704" s="9">
        <f t="shared" si="90"/>
        <v>366</v>
      </c>
      <c r="J704" s="9">
        <v>36</v>
      </c>
      <c r="K704" s="10">
        <f t="shared" si="91"/>
        <v>7.4999999999999997E-2</v>
      </c>
      <c r="L704" s="17">
        <v>120</v>
      </c>
      <c r="M704" s="17">
        <v>30800</v>
      </c>
      <c r="N704" s="17">
        <f t="shared" si="92"/>
        <v>43920</v>
      </c>
      <c r="O704" s="17">
        <f t="shared" si="93"/>
        <v>13120</v>
      </c>
      <c r="P704" s="10">
        <f t="shared" si="94"/>
        <v>0.95</v>
      </c>
      <c r="Q704" s="10">
        <f t="shared" si="95"/>
        <v>3.6842105263157891E-2</v>
      </c>
      <c r="R704" s="10">
        <f t="shared" si="96"/>
        <v>0.2987249544626594</v>
      </c>
      <c r="S704" s="18">
        <f t="shared" si="97"/>
        <v>84.15300546448087</v>
      </c>
      <c r="T704" s="8">
        <f>480-ProductionData[[#This Row],[Downtime Minutes]]</f>
        <v>444</v>
      </c>
      <c r="U704" s="11">
        <f t="shared" si="98"/>
        <v>0.85585585585585588</v>
      </c>
      <c r="V704" s="18">
        <f>ProductionData[[#This Row],[Profit]]/ProductionData[[#This Row],[Good Units]]</f>
        <v>35.846994535519123</v>
      </c>
      <c r="W704" s="11">
        <f>ProductionData[[#This Row],[Good Units]]/ProductionData[[#This Row],[Operating Minutes]]</f>
        <v>0.82432432432432434</v>
      </c>
    </row>
    <row r="705" spans="1:23">
      <c r="A705" s="7">
        <v>46282</v>
      </c>
      <c r="B705" s="8" t="s">
        <v>30</v>
      </c>
      <c r="C705" s="8" t="s">
        <v>20</v>
      </c>
      <c r="D705" s="8" t="s">
        <v>23</v>
      </c>
      <c r="E705" s="8" t="s">
        <v>26</v>
      </c>
      <c r="F705" s="9">
        <v>500</v>
      </c>
      <c r="G705" s="9">
        <v>479</v>
      </c>
      <c r="H705" s="9">
        <v>20</v>
      </c>
      <c r="I705" s="9">
        <f t="shared" si="90"/>
        <v>459</v>
      </c>
      <c r="J705" s="9">
        <v>33</v>
      </c>
      <c r="K705" s="10">
        <f t="shared" si="91"/>
        <v>6.8750000000000006E-2</v>
      </c>
      <c r="L705" s="17">
        <v>90</v>
      </c>
      <c r="M705" s="17">
        <v>30800</v>
      </c>
      <c r="N705" s="17">
        <f t="shared" si="92"/>
        <v>41310</v>
      </c>
      <c r="O705" s="17">
        <f t="shared" si="93"/>
        <v>10510</v>
      </c>
      <c r="P705" s="10">
        <f t="shared" si="94"/>
        <v>0.95799999999999996</v>
      </c>
      <c r="Q705" s="10">
        <f t="shared" si="95"/>
        <v>4.1753653444676408E-2</v>
      </c>
      <c r="R705" s="10">
        <f t="shared" si="96"/>
        <v>0.25441781650931977</v>
      </c>
      <c r="S705" s="18">
        <f t="shared" si="97"/>
        <v>67.102396514161214</v>
      </c>
      <c r="T705" s="8">
        <f>480-ProductionData[[#This Row],[Downtime Minutes]]</f>
        <v>447</v>
      </c>
      <c r="U705" s="11">
        <f t="shared" si="98"/>
        <v>1.0715883668903803</v>
      </c>
      <c r="V705" s="18">
        <f>ProductionData[[#This Row],[Profit]]/ProductionData[[#This Row],[Good Units]]</f>
        <v>22.897603485838779</v>
      </c>
      <c r="W705" s="11">
        <f>ProductionData[[#This Row],[Good Units]]/ProductionData[[#This Row],[Operating Minutes]]</f>
        <v>1.0268456375838926</v>
      </c>
    </row>
    <row r="706" spans="1:23">
      <c r="A706" s="7">
        <v>46282</v>
      </c>
      <c r="B706" s="8" t="s">
        <v>30</v>
      </c>
      <c r="C706" s="8" t="s">
        <v>20</v>
      </c>
      <c r="D706" s="8" t="s">
        <v>25</v>
      </c>
      <c r="E706" s="8" t="s">
        <v>22</v>
      </c>
      <c r="F706" s="9">
        <v>460</v>
      </c>
      <c r="G706" s="9">
        <v>430</v>
      </c>
      <c r="H706" s="9">
        <v>25</v>
      </c>
      <c r="I706" s="9">
        <f t="shared" ref="I706:I769" si="99">G706-H706</f>
        <v>405</v>
      </c>
      <c r="J706" s="9">
        <v>43</v>
      </c>
      <c r="K706" s="10">
        <f t="shared" ref="K706:K769" si="100">J706/480</f>
        <v>8.9583333333333334E-2</v>
      </c>
      <c r="L706" s="17">
        <v>100</v>
      </c>
      <c r="M706" s="17">
        <v>30800</v>
      </c>
      <c r="N706" s="17">
        <f t="shared" ref="N706:N769" si="101">I706*L706</f>
        <v>40500</v>
      </c>
      <c r="O706" s="17">
        <f t="shared" ref="O706:O769" si="102">N706-M706</f>
        <v>9700</v>
      </c>
      <c r="P706" s="10">
        <f t="shared" ref="P706:P769" si="103">G706/F706</f>
        <v>0.93478260869565222</v>
      </c>
      <c r="Q706" s="10">
        <f t="shared" ref="Q706:Q769" si="104">H706/G706</f>
        <v>5.8139534883720929E-2</v>
      </c>
      <c r="R706" s="10">
        <f t="shared" ref="R706:R769" si="105">O706/N706</f>
        <v>0.23950617283950618</v>
      </c>
      <c r="S706" s="18">
        <f t="shared" ref="S706:S769" si="106">M706/I706</f>
        <v>76.049382716049379</v>
      </c>
      <c r="T706" s="8">
        <f>480-ProductionData[[#This Row],[Downtime Minutes]]</f>
        <v>437</v>
      </c>
      <c r="U706" s="11">
        <f t="shared" ref="U706:U769" si="107">G706/T706</f>
        <v>0.98398169336384445</v>
      </c>
      <c r="V706" s="18">
        <f>ProductionData[[#This Row],[Profit]]/ProductionData[[#This Row],[Good Units]]</f>
        <v>23.950617283950617</v>
      </c>
      <c r="W706" s="11">
        <f>ProductionData[[#This Row],[Good Units]]/ProductionData[[#This Row],[Operating Minutes]]</f>
        <v>0.92677345537757438</v>
      </c>
    </row>
    <row r="707" spans="1:23">
      <c r="A707" s="7">
        <v>46282</v>
      </c>
      <c r="B707" s="8" t="s">
        <v>30</v>
      </c>
      <c r="C707" s="8" t="s">
        <v>27</v>
      </c>
      <c r="D707" s="8" t="s">
        <v>21</v>
      </c>
      <c r="E707" s="8" t="s">
        <v>26</v>
      </c>
      <c r="F707" s="9">
        <v>490</v>
      </c>
      <c r="G707" s="9">
        <v>437</v>
      </c>
      <c r="H707" s="9">
        <v>24</v>
      </c>
      <c r="I707" s="9">
        <f t="shared" si="99"/>
        <v>413</v>
      </c>
      <c r="J707" s="9">
        <v>32</v>
      </c>
      <c r="K707" s="10">
        <f t="shared" si="100"/>
        <v>6.6666666666666666E-2</v>
      </c>
      <c r="L707" s="17">
        <v>90</v>
      </c>
      <c r="M707" s="17">
        <v>30800</v>
      </c>
      <c r="N707" s="17">
        <f t="shared" si="101"/>
        <v>37170</v>
      </c>
      <c r="O707" s="17">
        <f t="shared" si="102"/>
        <v>6370</v>
      </c>
      <c r="P707" s="10">
        <f t="shared" si="103"/>
        <v>0.89183673469387759</v>
      </c>
      <c r="Q707" s="10">
        <f t="shared" si="104"/>
        <v>5.4919908466819219E-2</v>
      </c>
      <c r="R707" s="10">
        <f t="shared" si="105"/>
        <v>0.17137476459510359</v>
      </c>
      <c r="S707" s="18">
        <f t="shared" si="106"/>
        <v>74.576271186440678</v>
      </c>
      <c r="T707" s="8">
        <f>480-ProductionData[[#This Row],[Downtime Minutes]]</f>
        <v>448</v>
      </c>
      <c r="U707" s="11">
        <f t="shared" si="107"/>
        <v>0.9754464285714286</v>
      </c>
      <c r="V707" s="18">
        <f>ProductionData[[#This Row],[Profit]]/ProductionData[[#This Row],[Good Units]]</f>
        <v>15.423728813559322</v>
      </c>
      <c r="W707" s="11">
        <f>ProductionData[[#This Row],[Good Units]]/ProductionData[[#This Row],[Operating Minutes]]</f>
        <v>0.921875</v>
      </c>
    </row>
    <row r="708" spans="1:23">
      <c r="A708" s="7">
        <v>46282</v>
      </c>
      <c r="B708" s="8" t="s">
        <v>30</v>
      </c>
      <c r="C708" s="8" t="s">
        <v>27</v>
      </c>
      <c r="D708" s="8" t="s">
        <v>23</v>
      </c>
      <c r="E708" s="8" t="s">
        <v>22</v>
      </c>
      <c r="F708" s="9">
        <v>450</v>
      </c>
      <c r="G708" s="9">
        <v>400</v>
      </c>
      <c r="H708" s="9">
        <v>27</v>
      </c>
      <c r="I708" s="9">
        <f t="shared" si="99"/>
        <v>373</v>
      </c>
      <c r="J708" s="9">
        <v>67</v>
      </c>
      <c r="K708" s="10">
        <f t="shared" si="100"/>
        <v>0.13958333333333334</v>
      </c>
      <c r="L708" s="17">
        <v>100</v>
      </c>
      <c r="M708" s="17">
        <v>30800</v>
      </c>
      <c r="N708" s="17">
        <f t="shared" si="101"/>
        <v>37300</v>
      </c>
      <c r="O708" s="17">
        <f t="shared" si="102"/>
        <v>6500</v>
      </c>
      <c r="P708" s="10">
        <f t="shared" si="103"/>
        <v>0.88888888888888884</v>
      </c>
      <c r="Q708" s="10">
        <f t="shared" si="104"/>
        <v>6.7500000000000004E-2</v>
      </c>
      <c r="R708" s="10">
        <f t="shared" si="105"/>
        <v>0.17426273458445041</v>
      </c>
      <c r="S708" s="18">
        <f t="shared" si="106"/>
        <v>82.573726541554961</v>
      </c>
      <c r="T708" s="8">
        <f>480-ProductionData[[#This Row],[Downtime Minutes]]</f>
        <v>413</v>
      </c>
      <c r="U708" s="11">
        <f t="shared" si="107"/>
        <v>0.96852300242130751</v>
      </c>
      <c r="V708" s="18">
        <f>ProductionData[[#This Row],[Profit]]/ProductionData[[#This Row],[Good Units]]</f>
        <v>17.426273458445039</v>
      </c>
      <c r="W708" s="11">
        <f>ProductionData[[#This Row],[Good Units]]/ProductionData[[#This Row],[Operating Minutes]]</f>
        <v>0.90314769975786924</v>
      </c>
    </row>
    <row r="709" spans="1:23">
      <c r="A709" s="7">
        <v>46282</v>
      </c>
      <c r="B709" s="8" t="s">
        <v>30</v>
      </c>
      <c r="C709" s="8" t="s">
        <v>27</v>
      </c>
      <c r="D709" s="8" t="s">
        <v>25</v>
      </c>
      <c r="E709" s="8" t="s">
        <v>24</v>
      </c>
      <c r="F709" s="9">
        <v>390</v>
      </c>
      <c r="G709" s="9">
        <v>341</v>
      </c>
      <c r="H709" s="9">
        <v>18</v>
      </c>
      <c r="I709" s="9">
        <f t="shared" si="99"/>
        <v>323</v>
      </c>
      <c r="J709" s="9">
        <v>54</v>
      </c>
      <c r="K709" s="10">
        <f t="shared" si="100"/>
        <v>0.1125</v>
      </c>
      <c r="L709" s="17">
        <v>120</v>
      </c>
      <c r="M709" s="17">
        <v>30800</v>
      </c>
      <c r="N709" s="17">
        <f t="shared" si="101"/>
        <v>38760</v>
      </c>
      <c r="O709" s="17">
        <f t="shared" si="102"/>
        <v>7960</v>
      </c>
      <c r="P709" s="10">
        <f t="shared" si="103"/>
        <v>0.87435897435897436</v>
      </c>
      <c r="Q709" s="10">
        <f t="shared" si="104"/>
        <v>5.2785923753665691E-2</v>
      </c>
      <c r="R709" s="10">
        <f t="shared" si="105"/>
        <v>0.20536635706914344</v>
      </c>
      <c r="S709" s="18">
        <f t="shared" si="106"/>
        <v>95.356037151702793</v>
      </c>
      <c r="T709" s="8">
        <f>480-ProductionData[[#This Row],[Downtime Minutes]]</f>
        <v>426</v>
      </c>
      <c r="U709" s="11">
        <f t="shared" si="107"/>
        <v>0.80046948356807512</v>
      </c>
      <c r="V709" s="18">
        <f>ProductionData[[#This Row],[Profit]]/ProductionData[[#This Row],[Good Units]]</f>
        <v>24.643962848297214</v>
      </c>
      <c r="W709" s="11">
        <f>ProductionData[[#This Row],[Good Units]]/ProductionData[[#This Row],[Operating Minutes]]</f>
        <v>0.75821596244131451</v>
      </c>
    </row>
    <row r="710" spans="1:23">
      <c r="A710" s="7">
        <v>46282</v>
      </c>
      <c r="B710" s="8" t="s">
        <v>30</v>
      </c>
      <c r="C710" s="8" t="s">
        <v>28</v>
      </c>
      <c r="D710" s="8" t="s">
        <v>21</v>
      </c>
      <c r="E710" s="8" t="s">
        <v>22</v>
      </c>
      <c r="F710" s="9">
        <v>460</v>
      </c>
      <c r="G710" s="9">
        <v>435</v>
      </c>
      <c r="H710" s="9">
        <v>16</v>
      </c>
      <c r="I710" s="9">
        <f t="shared" si="99"/>
        <v>419</v>
      </c>
      <c r="J710" s="9">
        <v>36</v>
      </c>
      <c r="K710" s="10">
        <f t="shared" si="100"/>
        <v>7.4999999999999997E-2</v>
      </c>
      <c r="L710" s="17">
        <v>100</v>
      </c>
      <c r="M710" s="17">
        <v>30800</v>
      </c>
      <c r="N710" s="17">
        <f t="shared" si="101"/>
        <v>41900</v>
      </c>
      <c r="O710" s="17">
        <f t="shared" si="102"/>
        <v>11100</v>
      </c>
      <c r="P710" s="10">
        <f t="shared" si="103"/>
        <v>0.94565217391304346</v>
      </c>
      <c r="Q710" s="10">
        <f t="shared" si="104"/>
        <v>3.6781609195402298E-2</v>
      </c>
      <c r="R710" s="10">
        <f t="shared" si="105"/>
        <v>0.2649164677804296</v>
      </c>
      <c r="S710" s="18">
        <f t="shared" si="106"/>
        <v>73.508353221957037</v>
      </c>
      <c r="T710" s="8">
        <f>480-ProductionData[[#This Row],[Downtime Minutes]]</f>
        <v>444</v>
      </c>
      <c r="U710" s="11">
        <f t="shared" si="107"/>
        <v>0.97972972972972971</v>
      </c>
      <c r="V710" s="18">
        <f>ProductionData[[#This Row],[Profit]]/ProductionData[[#This Row],[Good Units]]</f>
        <v>26.491646778042959</v>
      </c>
      <c r="W710" s="11">
        <f>ProductionData[[#This Row],[Good Units]]/ProductionData[[#This Row],[Operating Minutes]]</f>
        <v>0.94369369369369371</v>
      </c>
    </row>
    <row r="711" spans="1:23">
      <c r="A711" s="7">
        <v>46282</v>
      </c>
      <c r="B711" s="8" t="s">
        <v>30</v>
      </c>
      <c r="C711" s="8" t="s">
        <v>28</v>
      </c>
      <c r="D711" s="8" t="s">
        <v>23</v>
      </c>
      <c r="E711" s="8" t="s">
        <v>24</v>
      </c>
      <c r="F711" s="9">
        <v>390</v>
      </c>
      <c r="G711" s="9">
        <v>381</v>
      </c>
      <c r="H711" s="9">
        <v>8</v>
      </c>
      <c r="I711" s="9">
        <f t="shared" si="99"/>
        <v>373</v>
      </c>
      <c r="J711" s="9">
        <v>36</v>
      </c>
      <c r="K711" s="10">
        <f t="shared" si="100"/>
        <v>7.4999999999999997E-2</v>
      </c>
      <c r="L711" s="17">
        <v>120</v>
      </c>
      <c r="M711" s="17">
        <v>30800</v>
      </c>
      <c r="N711" s="17">
        <f t="shared" si="101"/>
        <v>44760</v>
      </c>
      <c r="O711" s="17">
        <f t="shared" si="102"/>
        <v>13960</v>
      </c>
      <c r="P711" s="10">
        <f t="shared" si="103"/>
        <v>0.97692307692307689</v>
      </c>
      <c r="Q711" s="10">
        <f t="shared" si="104"/>
        <v>2.0997375328083989E-2</v>
      </c>
      <c r="R711" s="10">
        <f t="shared" si="105"/>
        <v>0.31188561215370869</v>
      </c>
      <c r="S711" s="18">
        <f t="shared" si="106"/>
        <v>82.573726541554961</v>
      </c>
      <c r="T711" s="8">
        <f>480-ProductionData[[#This Row],[Downtime Minutes]]</f>
        <v>444</v>
      </c>
      <c r="U711" s="11">
        <f t="shared" si="107"/>
        <v>0.85810810810810811</v>
      </c>
      <c r="V711" s="18">
        <f>ProductionData[[#This Row],[Profit]]/ProductionData[[#This Row],[Good Units]]</f>
        <v>37.426273458445039</v>
      </c>
      <c r="W711" s="11">
        <f>ProductionData[[#This Row],[Good Units]]/ProductionData[[#This Row],[Operating Minutes]]</f>
        <v>0.84009009009009006</v>
      </c>
    </row>
    <row r="712" spans="1:23">
      <c r="A712" s="7">
        <v>46282</v>
      </c>
      <c r="B712" s="8" t="s">
        <v>30</v>
      </c>
      <c r="C712" s="8" t="s">
        <v>28</v>
      </c>
      <c r="D712" s="8" t="s">
        <v>25</v>
      </c>
      <c r="E712" s="8" t="s">
        <v>26</v>
      </c>
      <c r="F712" s="9">
        <v>490</v>
      </c>
      <c r="G712" s="9">
        <v>462</v>
      </c>
      <c r="H712" s="9">
        <v>20</v>
      </c>
      <c r="I712" s="9">
        <f t="shared" si="99"/>
        <v>442</v>
      </c>
      <c r="J712" s="9">
        <v>20</v>
      </c>
      <c r="K712" s="10">
        <f t="shared" si="100"/>
        <v>4.1666666666666664E-2</v>
      </c>
      <c r="L712" s="17">
        <v>90</v>
      </c>
      <c r="M712" s="17">
        <v>30800</v>
      </c>
      <c r="N712" s="17">
        <f t="shared" si="101"/>
        <v>39780</v>
      </c>
      <c r="O712" s="17">
        <f t="shared" si="102"/>
        <v>8980</v>
      </c>
      <c r="P712" s="10">
        <f t="shared" si="103"/>
        <v>0.94285714285714284</v>
      </c>
      <c r="Q712" s="10">
        <f t="shared" si="104"/>
        <v>4.3290043290043288E-2</v>
      </c>
      <c r="R712" s="10">
        <f t="shared" si="105"/>
        <v>0.22574157868275516</v>
      </c>
      <c r="S712" s="18">
        <f t="shared" si="106"/>
        <v>69.68325791855203</v>
      </c>
      <c r="T712" s="8">
        <f>480-ProductionData[[#This Row],[Downtime Minutes]]</f>
        <v>460</v>
      </c>
      <c r="U712" s="11">
        <f t="shared" si="107"/>
        <v>1.0043478260869565</v>
      </c>
      <c r="V712" s="18">
        <f>ProductionData[[#This Row],[Profit]]/ProductionData[[#This Row],[Good Units]]</f>
        <v>20.316742081447963</v>
      </c>
      <c r="W712" s="11">
        <f>ProductionData[[#This Row],[Good Units]]/ProductionData[[#This Row],[Operating Minutes]]</f>
        <v>0.96086956521739131</v>
      </c>
    </row>
    <row r="713" spans="1:23">
      <c r="A713" s="7">
        <v>46283</v>
      </c>
      <c r="B713" s="8" t="s">
        <v>30</v>
      </c>
      <c r="C713" s="8" t="s">
        <v>20</v>
      </c>
      <c r="D713" s="8" t="s">
        <v>21</v>
      </c>
      <c r="E713" s="8" t="s">
        <v>26</v>
      </c>
      <c r="F713" s="9">
        <v>500</v>
      </c>
      <c r="G713" s="9">
        <v>476</v>
      </c>
      <c r="H713" s="9">
        <v>18</v>
      </c>
      <c r="I713" s="9">
        <f t="shared" si="99"/>
        <v>458</v>
      </c>
      <c r="J713" s="9">
        <v>29</v>
      </c>
      <c r="K713" s="10">
        <f t="shared" si="100"/>
        <v>6.0416666666666667E-2</v>
      </c>
      <c r="L713" s="17">
        <v>90</v>
      </c>
      <c r="M713" s="17">
        <v>30800</v>
      </c>
      <c r="N713" s="17">
        <f t="shared" si="101"/>
        <v>41220</v>
      </c>
      <c r="O713" s="17">
        <f t="shared" si="102"/>
        <v>10420</v>
      </c>
      <c r="P713" s="10">
        <f t="shared" si="103"/>
        <v>0.95199999999999996</v>
      </c>
      <c r="Q713" s="10">
        <f t="shared" si="104"/>
        <v>3.7815126050420166E-2</v>
      </c>
      <c r="R713" s="10">
        <f t="shared" si="105"/>
        <v>0.25278990781174188</v>
      </c>
      <c r="S713" s="18">
        <f t="shared" si="106"/>
        <v>67.248908296943227</v>
      </c>
      <c r="T713" s="8">
        <f>480-ProductionData[[#This Row],[Downtime Minutes]]</f>
        <v>451</v>
      </c>
      <c r="U713" s="11">
        <f t="shared" si="107"/>
        <v>1.0554323725055432</v>
      </c>
      <c r="V713" s="18">
        <f>ProductionData[[#This Row],[Profit]]/ProductionData[[#This Row],[Good Units]]</f>
        <v>22.751091703056769</v>
      </c>
      <c r="W713" s="11">
        <f>ProductionData[[#This Row],[Good Units]]/ProductionData[[#This Row],[Operating Minutes]]</f>
        <v>1.0155210643015522</v>
      </c>
    </row>
    <row r="714" spans="1:23">
      <c r="A714" s="7">
        <v>46283</v>
      </c>
      <c r="B714" s="8" t="s">
        <v>30</v>
      </c>
      <c r="C714" s="8" t="s">
        <v>20</v>
      </c>
      <c r="D714" s="8" t="s">
        <v>23</v>
      </c>
      <c r="E714" s="8" t="s">
        <v>22</v>
      </c>
      <c r="F714" s="9">
        <v>470</v>
      </c>
      <c r="G714" s="9">
        <v>428</v>
      </c>
      <c r="H714" s="9">
        <v>22</v>
      </c>
      <c r="I714" s="9">
        <f t="shared" si="99"/>
        <v>406</v>
      </c>
      <c r="J714" s="9">
        <v>48</v>
      </c>
      <c r="K714" s="10">
        <f t="shared" si="100"/>
        <v>0.1</v>
      </c>
      <c r="L714" s="17">
        <v>100</v>
      </c>
      <c r="M714" s="17">
        <v>30800</v>
      </c>
      <c r="N714" s="17">
        <f t="shared" si="101"/>
        <v>40600</v>
      </c>
      <c r="O714" s="17">
        <f t="shared" si="102"/>
        <v>9800</v>
      </c>
      <c r="P714" s="10">
        <f t="shared" si="103"/>
        <v>0.91063829787234041</v>
      </c>
      <c r="Q714" s="10">
        <f t="shared" si="104"/>
        <v>5.1401869158878503E-2</v>
      </c>
      <c r="R714" s="10">
        <f t="shared" si="105"/>
        <v>0.2413793103448276</v>
      </c>
      <c r="S714" s="18">
        <f t="shared" si="106"/>
        <v>75.862068965517238</v>
      </c>
      <c r="T714" s="8">
        <f>480-ProductionData[[#This Row],[Downtime Minutes]]</f>
        <v>432</v>
      </c>
      <c r="U714" s="11">
        <f t="shared" si="107"/>
        <v>0.9907407407407407</v>
      </c>
      <c r="V714" s="18">
        <f>ProductionData[[#This Row],[Profit]]/ProductionData[[#This Row],[Good Units]]</f>
        <v>24.137931034482758</v>
      </c>
      <c r="W714" s="11">
        <f>ProductionData[[#This Row],[Good Units]]/ProductionData[[#This Row],[Operating Minutes]]</f>
        <v>0.93981481481481477</v>
      </c>
    </row>
    <row r="715" spans="1:23">
      <c r="A715" s="7">
        <v>46283</v>
      </c>
      <c r="B715" s="8" t="s">
        <v>30</v>
      </c>
      <c r="C715" s="8" t="s">
        <v>20</v>
      </c>
      <c r="D715" s="8" t="s">
        <v>25</v>
      </c>
      <c r="E715" s="8" t="s">
        <v>24</v>
      </c>
      <c r="F715" s="9">
        <v>410</v>
      </c>
      <c r="G715" s="9">
        <v>363</v>
      </c>
      <c r="H715" s="9">
        <v>13</v>
      </c>
      <c r="I715" s="9">
        <f t="shared" si="99"/>
        <v>350</v>
      </c>
      <c r="J715" s="9">
        <v>49</v>
      </c>
      <c r="K715" s="10">
        <f t="shared" si="100"/>
        <v>0.10208333333333333</v>
      </c>
      <c r="L715" s="17">
        <v>120</v>
      </c>
      <c r="M715" s="17">
        <v>30800</v>
      </c>
      <c r="N715" s="17">
        <f t="shared" si="101"/>
        <v>42000</v>
      </c>
      <c r="O715" s="17">
        <f t="shared" si="102"/>
        <v>11200</v>
      </c>
      <c r="P715" s="10">
        <f t="shared" si="103"/>
        <v>0.88536585365853659</v>
      </c>
      <c r="Q715" s="10">
        <f t="shared" si="104"/>
        <v>3.5812672176308541E-2</v>
      </c>
      <c r="R715" s="10">
        <f t="shared" si="105"/>
        <v>0.26666666666666666</v>
      </c>
      <c r="S715" s="18">
        <f t="shared" si="106"/>
        <v>88</v>
      </c>
      <c r="T715" s="8">
        <f>480-ProductionData[[#This Row],[Downtime Minutes]]</f>
        <v>431</v>
      </c>
      <c r="U715" s="11">
        <f t="shared" si="107"/>
        <v>0.84222737819025517</v>
      </c>
      <c r="V715" s="18">
        <f>ProductionData[[#This Row],[Profit]]/ProductionData[[#This Row],[Good Units]]</f>
        <v>32</v>
      </c>
      <c r="W715" s="11">
        <f>ProductionData[[#This Row],[Good Units]]/ProductionData[[#This Row],[Operating Minutes]]</f>
        <v>0.81206496519721583</v>
      </c>
    </row>
    <row r="716" spans="1:23">
      <c r="A716" s="7">
        <v>46283</v>
      </c>
      <c r="B716" s="8" t="s">
        <v>30</v>
      </c>
      <c r="C716" s="8" t="s">
        <v>27</v>
      </c>
      <c r="D716" s="8" t="s">
        <v>21</v>
      </c>
      <c r="E716" s="8" t="s">
        <v>22</v>
      </c>
      <c r="F716" s="9">
        <v>450</v>
      </c>
      <c r="G716" s="9">
        <v>417</v>
      </c>
      <c r="H716" s="9">
        <v>23</v>
      </c>
      <c r="I716" s="9">
        <f t="shared" si="99"/>
        <v>394</v>
      </c>
      <c r="J716" s="9">
        <v>44</v>
      </c>
      <c r="K716" s="10">
        <f t="shared" si="100"/>
        <v>9.166666666666666E-2</v>
      </c>
      <c r="L716" s="17">
        <v>100</v>
      </c>
      <c r="M716" s="17">
        <v>30800</v>
      </c>
      <c r="N716" s="17">
        <f t="shared" si="101"/>
        <v>39400</v>
      </c>
      <c r="O716" s="17">
        <f t="shared" si="102"/>
        <v>8600</v>
      </c>
      <c r="P716" s="10">
        <f t="shared" si="103"/>
        <v>0.92666666666666664</v>
      </c>
      <c r="Q716" s="10">
        <f t="shared" si="104"/>
        <v>5.5155875299760189E-2</v>
      </c>
      <c r="R716" s="10">
        <f t="shared" si="105"/>
        <v>0.21827411167512689</v>
      </c>
      <c r="S716" s="18">
        <f t="shared" si="106"/>
        <v>78.172588832487307</v>
      </c>
      <c r="T716" s="8">
        <f>480-ProductionData[[#This Row],[Downtime Minutes]]</f>
        <v>436</v>
      </c>
      <c r="U716" s="11">
        <f t="shared" si="107"/>
        <v>0.95642201834862384</v>
      </c>
      <c r="V716" s="18">
        <f>ProductionData[[#This Row],[Profit]]/ProductionData[[#This Row],[Good Units]]</f>
        <v>21.82741116751269</v>
      </c>
      <c r="W716" s="11">
        <f>ProductionData[[#This Row],[Good Units]]/ProductionData[[#This Row],[Operating Minutes]]</f>
        <v>0.90366972477064222</v>
      </c>
    </row>
    <row r="717" spans="1:23">
      <c r="A717" s="7">
        <v>46283</v>
      </c>
      <c r="B717" s="8" t="s">
        <v>30</v>
      </c>
      <c r="C717" s="8" t="s">
        <v>27</v>
      </c>
      <c r="D717" s="8" t="s">
        <v>23</v>
      </c>
      <c r="E717" s="8" t="s">
        <v>24</v>
      </c>
      <c r="F717" s="9">
        <v>410</v>
      </c>
      <c r="G717" s="9">
        <v>372</v>
      </c>
      <c r="H717" s="9">
        <v>21</v>
      </c>
      <c r="I717" s="9">
        <f t="shared" si="99"/>
        <v>351</v>
      </c>
      <c r="J717" s="9">
        <v>54</v>
      </c>
      <c r="K717" s="10">
        <f t="shared" si="100"/>
        <v>0.1125</v>
      </c>
      <c r="L717" s="17">
        <v>120</v>
      </c>
      <c r="M717" s="17">
        <v>30800</v>
      </c>
      <c r="N717" s="17">
        <f t="shared" si="101"/>
        <v>42120</v>
      </c>
      <c r="O717" s="17">
        <f t="shared" si="102"/>
        <v>11320</v>
      </c>
      <c r="P717" s="10">
        <f t="shared" si="103"/>
        <v>0.90731707317073174</v>
      </c>
      <c r="Q717" s="10">
        <f t="shared" si="104"/>
        <v>5.6451612903225805E-2</v>
      </c>
      <c r="R717" s="10">
        <f t="shared" si="105"/>
        <v>0.26875593542260207</v>
      </c>
      <c r="S717" s="18">
        <f t="shared" si="106"/>
        <v>87.749287749287745</v>
      </c>
      <c r="T717" s="8">
        <f>480-ProductionData[[#This Row],[Downtime Minutes]]</f>
        <v>426</v>
      </c>
      <c r="U717" s="11">
        <f t="shared" si="107"/>
        <v>0.87323943661971826</v>
      </c>
      <c r="V717" s="18">
        <f>ProductionData[[#This Row],[Profit]]/ProductionData[[#This Row],[Good Units]]</f>
        <v>32.250712250712247</v>
      </c>
      <c r="W717" s="11">
        <f>ProductionData[[#This Row],[Good Units]]/ProductionData[[#This Row],[Operating Minutes]]</f>
        <v>0.823943661971831</v>
      </c>
    </row>
    <row r="718" spans="1:23">
      <c r="A718" s="7">
        <v>46283</v>
      </c>
      <c r="B718" s="8" t="s">
        <v>30</v>
      </c>
      <c r="C718" s="8" t="s">
        <v>27</v>
      </c>
      <c r="D718" s="8" t="s">
        <v>25</v>
      </c>
      <c r="E718" s="8" t="s">
        <v>26</v>
      </c>
      <c r="F718" s="9">
        <v>490</v>
      </c>
      <c r="G718" s="9">
        <v>426</v>
      </c>
      <c r="H718" s="9">
        <v>27</v>
      </c>
      <c r="I718" s="9">
        <f t="shared" si="99"/>
        <v>399</v>
      </c>
      <c r="J718" s="9">
        <v>59</v>
      </c>
      <c r="K718" s="10">
        <f t="shared" si="100"/>
        <v>0.12291666666666666</v>
      </c>
      <c r="L718" s="17">
        <v>90</v>
      </c>
      <c r="M718" s="17">
        <v>30800</v>
      </c>
      <c r="N718" s="17">
        <f t="shared" si="101"/>
        <v>35910</v>
      </c>
      <c r="O718" s="17">
        <f t="shared" si="102"/>
        <v>5110</v>
      </c>
      <c r="P718" s="10">
        <f t="shared" si="103"/>
        <v>0.8693877551020408</v>
      </c>
      <c r="Q718" s="10">
        <f t="shared" si="104"/>
        <v>6.3380281690140844E-2</v>
      </c>
      <c r="R718" s="10">
        <f t="shared" si="105"/>
        <v>0.14230019493177387</v>
      </c>
      <c r="S718" s="18">
        <f t="shared" si="106"/>
        <v>77.192982456140356</v>
      </c>
      <c r="T718" s="8">
        <f>480-ProductionData[[#This Row],[Downtime Minutes]]</f>
        <v>421</v>
      </c>
      <c r="U718" s="11">
        <f t="shared" si="107"/>
        <v>1.0118764845605701</v>
      </c>
      <c r="V718" s="18">
        <f>ProductionData[[#This Row],[Profit]]/ProductionData[[#This Row],[Good Units]]</f>
        <v>12.807017543859649</v>
      </c>
      <c r="W718" s="11">
        <f>ProductionData[[#This Row],[Good Units]]/ProductionData[[#This Row],[Operating Minutes]]</f>
        <v>0.94774346793349173</v>
      </c>
    </row>
    <row r="719" spans="1:23">
      <c r="A719" s="7">
        <v>46283</v>
      </c>
      <c r="B719" s="8" t="s">
        <v>30</v>
      </c>
      <c r="C719" s="8" t="s">
        <v>28</v>
      </c>
      <c r="D719" s="8" t="s">
        <v>21</v>
      </c>
      <c r="E719" s="8" t="s">
        <v>24</v>
      </c>
      <c r="F719" s="9">
        <v>390</v>
      </c>
      <c r="G719" s="9">
        <v>376</v>
      </c>
      <c r="H719" s="9">
        <v>9</v>
      </c>
      <c r="I719" s="9">
        <f t="shared" si="99"/>
        <v>367</v>
      </c>
      <c r="J719" s="9">
        <v>31</v>
      </c>
      <c r="K719" s="10">
        <f t="shared" si="100"/>
        <v>6.458333333333334E-2</v>
      </c>
      <c r="L719" s="17">
        <v>120</v>
      </c>
      <c r="M719" s="17">
        <v>30800</v>
      </c>
      <c r="N719" s="17">
        <f t="shared" si="101"/>
        <v>44040</v>
      </c>
      <c r="O719" s="17">
        <f t="shared" si="102"/>
        <v>13240</v>
      </c>
      <c r="P719" s="10">
        <f t="shared" si="103"/>
        <v>0.96410256410256412</v>
      </c>
      <c r="Q719" s="10">
        <f t="shared" si="104"/>
        <v>2.3936170212765957E-2</v>
      </c>
      <c r="R719" s="10">
        <f t="shared" si="105"/>
        <v>0.30063578564940963</v>
      </c>
      <c r="S719" s="18">
        <f t="shared" si="106"/>
        <v>83.923705722070849</v>
      </c>
      <c r="T719" s="8">
        <f>480-ProductionData[[#This Row],[Downtime Minutes]]</f>
        <v>449</v>
      </c>
      <c r="U719" s="11">
        <f t="shared" si="107"/>
        <v>0.83741648106904232</v>
      </c>
      <c r="V719" s="18">
        <f>ProductionData[[#This Row],[Profit]]/ProductionData[[#This Row],[Good Units]]</f>
        <v>36.076294277929158</v>
      </c>
      <c r="W719" s="11">
        <f>ProductionData[[#This Row],[Good Units]]/ProductionData[[#This Row],[Operating Minutes]]</f>
        <v>0.81737193763919824</v>
      </c>
    </row>
    <row r="720" spans="1:23">
      <c r="A720" s="7">
        <v>46283</v>
      </c>
      <c r="B720" s="8" t="s">
        <v>30</v>
      </c>
      <c r="C720" s="8" t="s">
        <v>28</v>
      </c>
      <c r="D720" s="8" t="s">
        <v>23</v>
      </c>
      <c r="E720" s="8" t="s">
        <v>26</v>
      </c>
      <c r="F720" s="9">
        <v>480</v>
      </c>
      <c r="G720" s="9">
        <v>472</v>
      </c>
      <c r="H720" s="9">
        <v>13</v>
      </c>
      <c r="I720" s="9">
        <f t="shared" si="99"/>
        <v>459</v>
      </c>
      <c r="J720" s="9">
        <v>19</v>
      </c>
      <c r="K720" s="10">
        <f t="shared" si="100"/>
        <v>3.9583333333333331E-2</v>
      </c>
      <c r="L720" s="17">
        <v>90</v>
      </c>
      <c r="M720" s="17">
        <v>30800</v>
      </c>
      <c r="N720" s="17">
        <f t="shared" si="101"/>
        <v>41310</v>
      </c>
      <c r="O720" s="17">
        <f t="shared" si="102"/>
        <v>10510</v>
      </c>
      <c r="P720" s="10">
        <f t="shared" si="103"/>
        <v>0.98333333333333328</v>
      </c>
      <c r="Q720" s="10">
        <f t="shared" si="104"/>
        <v>2.7542372881355932E-2</v>
      </c>
      <c r="R720" s="10">
        <f t="shared" si="105"/>
        <v>0.25441781650931977</v>
      </c>
      <c r="S720" s="18">
        <f t="shared" si="106"/>
        <v>67.102396514161214</v>
      </c>
      <c r="T720" s="8">
        <f>480-ProductionData[[#This Row],[Downtime Minutes]]</f>
        <v>461</v>
      </c>
      <c r="U720" s="11">
        <f t="shared" si="107"/>
        <v>1.0238611713665944</v>
      </c>
      <c r="V720" s="18">
        <f>ProductionData[[#This Row],[Profit]]/ProductionData[[#This Row],[Good Units]]</f>
        <v>22.897603485838779</v>
      </c>
      <c r="W720" s="11">
        <f>ProductionData[[#This Row],[Good Units]]/ProductionData[[#This Row],[Operating Minutes]]</f>
        <v>0.99566160520607372</v>
      </c>
    </row>
    <row r="721" spans="1:23">
      <c r="A721" s="7">
        <v>46283</v>
      </c>
      <c r="B721" s="8" t="s">
        <v>30</v>
      </c>
      <c r="C721" s="8" t="s">
        <v>28</v>
      </c>
      <c r="D721" s="8" t="s">
        <v>25</v>
      </c>
      <c r="E721" s="8" t="s">
        <v>22</v>
      </c>
      <c r="F721" s="9">
        <v>460</v>
      </c>
      <c r="G721" s="9">
        <v>439</v>
      </c>
      <c r="H721" s="9">
        <v>25</v>
      </c>
      <c r="I721" s="9">
        <f t="shared" si="99"/>
        <v>414</v>
      </c>
      <c r="J721" s="9">
        <v>28</v>
      </c>
      <c r="K721" s="10">
        <f t="shared" si="100"/>
        <v>5.8333333333333334E-2</v>
      </c>
      <c r="L721" s="17">
        <v>100</v>
      </c>
      <c r="M721" s="17">
        <v>30800</v>
      </c>
      <c r="N721" s="17">
        <f t="shared" si="101"/>
        <v>41400</v>
      </c>
      <c r="O721" s="17">
        <f t="shared" si="102"/>
        <v>10600</v>
      </c>
      <c r="P721" s="10">
        <f t="shared" si="103"/>
        <v>0.95434782608695656</v>
      </c>
      <c r="Q721" s="10">
        <f t="shared" si="104"/>
        <v>5.6947608200455579E-2</v>
      </c>
      <c r="R721" s="10">
        <f t="shared" si="105"/>
        <v>0.2560386473429952</v>
      </c>
      <c r="S721" s="18">
        <f t="shared" si="106"/>
        <v>74.39613526570048</v>
      </c>
      <c r="T721" s="8">
        <f>480-ProductionData[[#This Row],[Downtime Minutes]]</f>
        <v>452</v>
      </c>
      <c r="U721" s="11">
        <f t="shared" si="107"/>
        <v>0.97123893805309736</v>
      </c>
      <c r="V721" s="18">
        <f>ProductionData[[#This Row],[Profit]]/ProductionData[[#This Row],[Good Units]]</f>
        <v>25.603864734299517</v>
      </c>
      <c r="W721" s="11">
        <f>ProductionData[[#This Row],[Good Units]]/ProductionData[[#This Row],[Operating Minutes]]</f>
        <v>0.91592920353982299</v>
      </c>
    </row>
    <row r="722" spans="1:23">
      <c r="A722" s="7">
        <v>46284</v>
      </c>
      <c r="B722" s="8" t="s">
        <v>30</v>
      </c>
      <c r="C722" s="8" t="s">
        <v>20</v>
      </c>
      <c r="D722" s="8" t="s">
        <v>21</v>
      </c>
      <c r="E722" s="8" t="s">
        <v>22</v>
      </c>
      <c r="F722" s="9">
        <v>460</v>
      </c>
      <c r="G722" s="9">
        <v>432</v>
      </c>
      <c r="H722" s="9">
        <v>17</v>
      </c>
      <c r="I722" s="9">
        <f t="shared" si="99"/>
        <v>415</v>
      </c>
      <c r="J722" s="9">
        <v>38</v>
      </c>
      <c r="K722" s="10">
        <f t="shared" si="100"/>
        <v>7.9166666666666663E-2</v>
      </c>
      <c r="L722" s="17">
        <v>100</v>
      </c>
      <c r="M722" s="17">
        <v>30800</v>
      </c>
      <c r="N722" s="17">
        <f t="shared" si="101"/>
        <v>41500</v>
      </c>
      <c r="O722" s="17">
        <f t="shared" si="102"/>
        <v>10700</v>
      </c>
      <c r="P722" s="10">
        <f t="shared" si="103"/>
        <v>0.93913043478260871</v>
      </c>
      <c r="Q722" s="10">
        <f t="shared" si="104"/>
        <v>3.9351851851851853E-2</v>
      </c>
      <c r="R722" s="10">
        <f t="shared" si="105"/>
        <v>0.25783132530120484</v>
      </c>
      <c r="S722" s="18">
        <f t="shared" si="106"/>
        <v>74.216867469879517</v>
      </c>
      <c r="T722" s="8">
        <f>480-ProductionData[[#This Row],[Downtime Minutes]]</f>
        <v>442</v>
      </c>
      <c r="U722" s="11">
        <f t="shared" si="107"/>
        <v>0.9773755656108597</v>
      </c>
      <c r="V722" s="18">
        <f>ProductionData[[#This Row],[Profit]]/ProductionData[[#This Row],[Good Units]]</f>
        <v>25.783132530120483</v>
      </c>
      <c r="W722" s="11">
        <f>ProductionData[[#This Row],[Good Units]]/ProductionData[[#This Row],[Operating Minutes]]</f>
        <v>0.93891402714932126</v>
      </c>
    </row>
    <row r="723" spans="1:23">
      <c r="A723" s="7">
        <v>46284</v>
      </c>
      <c r="B723" s="8" t="s">
        <v>30</v>
      </c>
      <c r="C723" s="8" t="s">
        <v>20</v>
      </c>
      <c r="D723" s="8" t="s">
        <v>23</v>
      </c>
      <c r="E723" s="8" t="s">
        <v>24</v>
      </c>
      <c r="F723" s="9">
        <v>420</v>
      </c>
      <c r="G723" s="9">
        <v>388</v>
      </c>
      <c r="H723" s="9">
        <v>12</v>
      </c>
      <c r="I723" s="9">
        <f t="shared" si="99"/>
        <v>376</v>
      </c>
      <c r="J723" s="9">
        <v>48</v>
      </c>
      <c r="K723" s="10">
        <f t="shared" si="100"/>
        <v>0.1</v>
      </c>
      <c r="L723" s="17">
        <v>120</v>
      </c>
      <c r="M723" s="17">
        <v>30800</v>
      </c>
      <c r="N723" s="17">
        <f t="shared" si="101"/>
        <v>45120</v>
      </c>
      <c r="O723" s="17">
        <f t="shared" si="102"/>
        <v>14320</v>
      </c>
      <c r="P723" s="10">
        <f t="shared" si="103"/>
        <v>0.92380952380952386</v>
      </c>
      <c r="Q723" s="10">
        <f t="shared" si="104"/>
        <v>3.0927835051546393E-2</v>
      </c>
      <c r="R723" s="10">
        <f t="shared" si="105"/>
        <v>0.31737588652482268</v>
      </c>
      <c r="S723" s="18">
        <f t="shared" si="106"/>
        <v>81.914893617021278</v>
      </c>
      <c r="T723" s="8">
        <f>480-ProductionData[[#This Row],[Downtime Minutes]]</f>
        <v>432</v>
      </c>
      <c r="U723" s="11">
        <f t="shared" si="107"/>
        <v>0.89814814814814814</v>
      </c>
      <c r="V723" s="18">
        <f>ProductionData[[#This Row],[Profit]]/ProductionData[[#This Row],[Good Units]]</f>
        <v>38.085106382978722</v>
      </c>
      <c r="W723" s="11">
        <f>ProductionData[[#This Row],[Good Units]]/ProductionData[[#This Row],[Operating Minutes]]</f>
        <v>0.87037037037037035</v>
      </c>
    </row>
    <row r="724" spans="1:23">
      <c r="A724" s="7">
        <v>46284</v>
      </c>
      <c r="B724" s="8" t="s">
        <v>30</v>
      </c>
      <c r="C724" s="8" t="s">
        <v>20</v>
      </c>
      <c r="D724" s="8" t="s">
        <v>25</v>
      </c>
      <c r="E724" s="8" t="s">
        <v>26</v>
      </c>
      <c r="F724" s="9">
        <v>510</v>
      </c>
      <c r="G724" s="9">
        <v>459</v>
      </c>
      <c r="H724" s="9">
        <v>22</v>
      </c>
      <c r="I724" s="9">
        <f t="shared" si="99"/>
        <v>437</v>
      </c>
      <c r="J724" s="9">
        <v>45</v>
      </c>
      <c r="K724" s="10">
        <f t="shared" si="100"/>
        <v>9.375E-2</v>
      </c>
      <c r="L724" s="17">
        <v>90</v>
      </c>
      <c r="M724" s="17">
        <v>30800</v>
      </c>
      <c r="N724" s="17">
        <f t="shared" si="101"/>
        <v>39330</v>
      </c>
      <c r="O724" s="17">
        <f t="shared" si="102"/>
        <v>8530</v>
      </c>
      <c r="P724" s="10">
        <f t="shared" si="103"/>
        <v>0.9</v>
      </c>
      <c r="Q724" s="10">
        <f t="shared" si="104"/>
        <v>4.793028322440087E-2</v>
      </c>
      <c r="R724" s="10">
        <f t="shared" si="105"/>
        <v>0.21688278667683702</v>
      </c>
      <c r="S724" s="18">
        <f t="shared" si="106"/>
        <v>70.480549199084663</v>
      </c>
      <c r="T724" s="8">
        <f>480-ProductionData[[#This Row],[Downtime Minutes]]</f>
        <v>435</v>
      </c>
      <c r="U724" s="11">
        <f t="shared" si="107"/>
        <v>1.0551724137931036</v>
      </c>
      <c r="V724" s="18">
        <f>ProductionData[[#This Row],[Profit]]/ProductionData[[#This Row],[Good Units]]</f>
        <v>19.519450800915333</v>
      </c>
      <c r="W724" s="11">
        <f>ProductionData[[#This Row],[Good Units]]/ProductionData[[#This Row],[Operating Minutes]]</f>
        <v>1.0045977011494254</v>
      </c>
    </row>
    <row r="725" spans="1:23">
      <c r="A725" s="7">
        <v>46284</v>
      </c>
      <c r="B725" s="8" t="s">
        <v>30</v>
      </c>
      <c r="C725" s="8" t="s">
        <v>27</v>
      </c>
      <c r="D725" s="8" t="s">
        <v>21</v>
      </c>
      <c r="E725" s="8" t="s">
        <v>24</v>
      </c>
      <c r="F725" s="9">
        <v>390</v>
      </c>
      <c r="G725" s="9">
        <v>350</v>
      </c>
      <c r="H725" s="9">
        <v>18</v>
      </c>
      <c r="I725" s="9">
        <f t="shared" si="99"/>
        <v>332</v>
      </c>
      <c r="J725" s="9">
        <v>49</v>
      </c>
      <c r="K725" s="10">
        <f t="shared" si="100"/>
        <v>0.10208333333333333</v>
      </c>
      <c r="L725" s="17">
        <v>120</v>
      </c>
      <c r="M725" s="17">
        <v>30800</v>
      </c>
      <c r="N725" s="17">
        <f t="shared" si="101"/>
        <v>39840</v>
      </c>
      <c r="O725" s="17">
        <f t="shared" si="102"/>
        <v>9040</v>
      </c>
      <c r="P725" s="10">
        <f t="shared" si="103"/>
        <v>0.89743589743589747</v>
      </c>
      <c r="Q725" s="10">
        <f t="shared" si="104"/>
        <v>5.1428571428571428E-2</v>
      </c>
      <c r="R725" s="10">
        <f t="shared" si="105"/>
        <v>0.22690763052208834</v>
      </c>
      <c r="S725" s="18">
        <f t="shared" si="106"/>
        <v>92.771084337349393</v>
      </c>
      <c r="T725" s="8">
        <f>480-ProductionData[[#This Row],[Downtime Minutes]]</f>
        <v>431</v>
      </c>
      <c r="U725" s="11">
        <f t="shared" si="107"/>
        <v>0.81206496519721583</v>
      </c>
      <c r="V725" s="18">
        <f>ProductionData[[#This Row],[Profit]]/ProductionData[[#This Row],[Good Units]]</f>
        <v>27.228915662650603</v>
      </c>
      <c r="W725" s="11">
        <f>ProductionData[[#This Row],[Good Units]]/ProductionData[[#This Row],[Operating Minutes]]</f>
        <v>0.77030162412993042</v>
      </c>
    </row>
    <row r="726" spans="1:23">
      <c r="A726" s="7">
        <v>46284</v>
      </c>
      <c r="B726" s="8" t="s">
        <v>30</v>
      </c>
      <c r="C726" s="8" t="s">
        <v>27</v>
      </c>
      <c r="D726" s="8" t="s">
        <v>23</v>
      </c>
      <c r="E726" s="8" t="s">
        <v>26</v>
      </c>
      <c r="F726" s="9">
        <v>510</v>
      </c>
      <c r="G726" s="9">
        <v>465</v>
      </c>
      <c r="H726" s="9">
        <v>28</v>
      </c>
      <c r="I726" s="9">
        <f t="shared" si="99"/>
        <v>437</v>
      </c>
      <c r="J726" s="9">
        <v>54</v>
      </c>
      <c r="K726" s="10">
        <f t="shared" si="100"/>
        <v>0.1125</v>
      </c>
      <c r="L726" s="17">
        <v>90</v>
      </c>
      <c r="M726" s="17">
        <v>30800</v>
      </c>
      <c r="N726" s="17">
        <f t="shared" si="101"/>
        <v>39330</v>
      </c>
      <c r="O726" s="17">
        <f t="shared" si="102"/>
        <v>8530</v>
      </c>
      <c r="P726" s="10">
        <f t="shared" si="103"/>
        <v>0.91176470588235292</v>
      </c>
      <c r="Q726" s="10">
        <f t="shared" si="104"/>
        <v>6.0215053763440864E-2</v>
      </c>
      <c r="R726" s="10">
        <f t="shared" si="105"/>
        <v>0.21688278667683702</v>
      </c>
      <c r="S726" s="18">
        <f t="shared" si="106"/>
        <v>70.480549199084663</v>
      </c>
      <c r="T726" s="8">
        <f>480-ProductionData[[#This Row],[Downtime Minutes]]</f>
        <v>426</v>
      </c>
      <c r="U726" s="11">
        <f t="shared" si="107"/>
        <v>1.091549295774648</v>
      </c>
      <c r="V726" s="18">
        <f>ProductionData[[#This Row],[Profit]]/ProductionData[[#This Row],[Good Units]]</f>
        <v>19.519450800915333</v>
      </c>
      <c r="W726" s="11">
        <f>ProductionData[[#This Row],[Good Units]]/ProductionData[[#This Row],[Operating Minutes]]</f>
        <v>1.0258215962441315</v>
      </c>
    </row>
    <row r="727" spans="1:23">
      <c r="A727" s="7">
        <v>46284</v>
      </c>
      <c r="B727" s="8" t="s">
        <v>30</v>
      </c>
      <c r="C727" s="8" t="s">
        <v>27</v>
      </c>
      <c r="D727" s="8" t="s">
        <v>25</v>
      </c>
      <c r="E727" s="8" t="s">
        <v>22</v>
      </c>
      <c r="F727" s="9">
        <v>430</v>
      </c>
      <c r="G727" s="9">
        <v>375</v>
      </c>
      <c r="H727" s="9">
        <v>28</v>
      </c>
      <c r="I727" s="9">
        <f t="shared" si="99"/>
        <v>347</v>
      </c>
      <c r="J727" s="9">
        <v>78</v>
      </c>
      <c r="K727" s="10">
        <f t="shared" si="100"/>
        <v>0.16250000000000001</v>
      </c>
      <c r="L727" s="17">
        <v>100</v>
      </c>
      <c r="M727" s="17">
        <v>30800</v>
      </c>
      <c r="N727" s="17">
        <f t="shared" si="101"/>
        <v>34700</v>
      </c>
      <c r="O727" s="17">
        <f t="shared" si="102"/>
        <v>3900</v>
      </c>
      <c r="P727" s="10">
        <f t="shared" si="103"/>
        <v>0.87209302325581395</v>
      </c>
      <c r="Q727" s="10">
        <f t="shared" si="104"/>
        <v>7.4666666666666673E-2</v>
      </c>
      <c r="R727" s="10">
        <f t="shared" si="105"/>
        <v>0.11239193083573487</v>
      </c>
      <c r="S727" s="18">
        <f t="shared" si="106"/>
        <v>88.760806916426517</v>
      </c>
      <c r="T727" s="8">
        <f>480-ProductionData[[#This Row],[Downtime Minutes]]</f>
        <v>402</v>
      </c>
      <c r="U727" s="11">
        <f t="shared" si="107"/>
        <v>0.93283582089552242</v>
      </c>
      <c r="V727" s="18">
        <f>ProductionData[[#This Row],[Profit]]/ProductionData[[#This Row],[Good Units]]</f>
        <v>11.239193083573488</v>
      </c>
      <c r="W727" s="11">
        <f>ProductionData[[#This Row],[Good Units]]/ProductionData[[#This Row],[Operating Minutes]]</f>
        <v>0.86318407960199006</v>
      </c>
    </row>
    <row r="728" spans="1:23">
      <c r="A728" s="7">
        <v>46284</v>
      </c>
      <c r="B728" s="8" t="s">
        <v>30</v>
      </c>
      <c r="C728" s="8" t="s">
        <v>28</v>
      </c>
      <c r="D728" s="8" t="s">
        <v>21</v>
      </c>
      <c r="E728" s="8" t="s">
        <v>26</v>
      </c>
      <c r="F728" s="9">
        <v>520</v>
      </c>
      <c r="G728" s="9">
        <v>490</v>
      </c>
      <c r="H728" s="9">
        <v>10</v>
      </c>
      <c r="I728" s="9">
        <f t="shared" si="99"/>
        <v>480</v>
      </c>
      <c r="J728" s="9">
        <v>11</v>
      </c>
      <c r="K728" s="10">
        <f t="shared" si="100"/>
        <v>2.2916666666666665E-2</v>
      </c>
      <c r="L728" s="17">
        <v>90</v>
      </c>
      <c r="M728" s="17">
        <v>30800</v>
      </c>
      <c r="N728" s="17">
        <f t="shared" si="101"/>
        <v>43200</v>
      </c>
      <c r="O728" s="17">
        <f t="shared" si="102"/>
        <v>12400</v>
      </c>
      <c r="P728" s="10">
        <f t="shared" si="103"/>
        <v>0.94230769230769229</v>
      </c>
      <c r="Q728" s="10">
        <f t="shared" si="104"/>
        <v>2.0408163265306121E-2</v>
      </c>
      <c r="R728" s="10">
        <f t="shared" si="105"/>
        <v>0.28703703703703703</v>
      </c>
      <c r="S728" s="18">
        <f t="shared" si="106"/>
        <v>64.166666666666671</v>
      </c>
      <c r="T728" s="8">
        <f>480-ProductionData[[#This Row],[Downtime Minutes]]</f>
        <v>469</v>
      </c>
      <c r="U728" s="11">
        <f t="shared" si="107"/>
        <v>1.044776119402985</v>
      </c>
      <c r="V728" s="18">
        <f>ProductionData[[#This Row],[Profit]]/ProductionData[[#This Row],[Good Units]]</f>
        <v>25.833333333333332</v>
      </c>
      <c r="W728" s="11">
        <f>ProductionData[[#This Row],[Good Units]]/ProductionData[[#This Row],[Operating Minutes]]</f>
        <v>1.023454157782516</v>
      </c>
    </row>
    <row r="729" spans="1:23">
      <c r="A729" s="7">
        <v>46284</v>
      </c>
      <c r="B729" s="8" t="s">
        <v>30</v>
      </c>
      <c r="C729" s="8" t="s">
        <v>28</v>
      </c>
      <c r="D729" s="8" t="s">
        <v>23</v>
      </c>
      <c r="E729" s="8" t="s">
        <v>22</v>
      </c>
      <c r="F729" s="9">
        <v>440</v>
      </c>
      <c r="G729" s="9">
        <v>422</v>
      </c>
      <c r="H729" s="9">
        <v>21</v>
      </c>
      <c r="I729" s="9">
        <f t="shared" si="99"/>
        <v>401</v>
      </c>
      <c r="J729" s="9">
        <v>44</v>
      </c>
      <c r="K729" s="10">
        <f t="shared" si="100"/>
        <v>9.166666666666666E-2</v>
      </c>
      <c r="L729" s="17">
        <v>100</v>
      </c>
      <c r="M729" s="17">
        <v>30800</v>
      </c>
      <c r="N729" s="17">
        <f t="shared" si="101"/>
        <v>40100</v>
      </c>
      <c r="O729" s="17">
        <f t="shared" si="102"/>
        <v>9300</v>
      </c>
      <c r="P729" s="10">
        <f t="shared" si="103"/>
        <v>0.95909090909090911</v>
      </c>
      <c r="Q729" s="10">
        <f t="shared" si="104"/>
        <v>4.9763033175355451E-2</v>
      </c>
      <c r="R729" s="10">
        <f t="shared" si="105"/>
        <v>0.23192019950124687</v>
      </c>
      <c r="S729" s="18">
        <f t="shared" si="106"/>
        <v>76.807980049875312</v>
      </c>
      <c r="T729" s="8">
        <f>480-ProductionData[[#This Row],[Downtime Minutes]]</f>
        <v>436</v>
      </c>
      <c r="U729" s="11">
        <f t="shared" si="107"/>
        <v>0.9678899082568807</v>
      </c>
      <c r="V729" s="18">
        <f>ProductionData[[#This Row],[Profit]]/ProductionData[[#This Row],[Good Units]]</f>
        <v>23.192019950124688</v>
      </c>
      <c r="W729" s="11">
        <f>ProductionData[[#This Row],[Good Units]]/ProductionData[[#This Row],[Operating Minutes]]</f>
        <v>0.91972477064220182</v>
      </c>
    </row>
    <row r="730" spans="1:23">
      <c r="A730" s="7">
        <v>46284</v>
      </c>
      <c r="B730" s="8" t="s">
        <v>30</v>
      </c>
      <c r="C730" s="8" t="s">
        <v>28</v>
      </c>
      <c r="D730" s="8" t="s">
        <v>25</v>
      </c>
      <c r="E730" s="8" t="s">
        <v>24</v>
      </c>
      <c r="F730" s="9">
        <v>390</v>
      </c>
      <c r="G730" s="9">
        <v>371</v>
      </c>
      <c r="H730" s="9">
        <v>13</v>
      </c>
      <c r="I730" s="9">
        <f t="shared" si="99"/>
        <v>358</v>
      </c>
      <c r="J730" s="9">
        <v>43</v>
      </c>
      <c r="K730" s="10">
        <f t="shared" si="100"/>
        <v>8.9583333333333334E-2</v>
      </c>
      <c r="L730" s="17">
        <v>120</v>
      </c>
      <c r="M730" s="17">
        <v>30800</v>
      </c>
      <c r="N730" s="17">
        <f t="shared" si="101"/>
        <v>42960</v>
      </c>
      <c r="O730" s="17">
        <f t="shared" si="102"/>
        <v>12160</v>
      </c>
      <c r="P730" s="10">
        <f t="shared" si="103"/>
        <v>0.95128205128205123</v>
      </c>
      <c r="Q730" s="10">
        <f t="shared" si="104"/>
        <v>3.5040431266846361E-2</v>
      </c>
      <c r="R730" s="10">
        <f t="shared" si="105"/>
        <v>0.28305400372439476</v>
      </c>
      <c r="S730" s="18">
        <f t="shared" si="106"/>
        <v>86.033519553072622</v>
      </c>
      <c r="T730" s="8">
        <f>480-ProductionData[[#This Row],[Downtime Minutes]]</f>
        <v>437</v>
      </c>
      <c r="U730" s="11">
        <f t="shared" si="107"/>
        <v>0.84897025171624718</v>
      </c>
      <c r="V730" s="18">
        <f>ProductionData[[#This Row],[Profit]]/ProductionData[[#This Row],[Good Units]]</f>
        <v>33.966480446927378</v>
      </c>
      <c r="W730" s="11">
        <f>ProductionData[[#This Row],[Good Units]]/ProductionData[[#This Row],[Operating Minutes]]</f>
        <v>0.81922196796338675</v>
      </c>
    </row>
    <row r="731" spans="1:23">
      <c r="A731" s="7">
        <v>46285</v>
      </c>
      <c r="B731" s="8" t="s">
        <v>30</v>
      </c>
      <c r="C731" s="8" t="s">
        <v>20</v>
      </c>
      <c r="D731" s="8" t="s">
        <v>21</v>
      </c>
      <c r="E731" s="8" t="s">
        <v>24</v>
      </c>
      <c r="F731" s="9">
        <v>410</v>
      </c>
      <c r="G731" s="9">
        <v>384</v>
      </c>
      <c r="H731" s="9">
        <v>11</v>
      </c>
      <c r="I731" s="9">
        <f t="shared" si="99"/>
        <v>373</v>
      </c>
      <c r="J731" s="9">
        <v>32</v>
      </c>
      <c r="K731" s="10">
        <f t="shared" si="100"/>
        <v>6.6666666666666666E-2</v>
      </c>
      <c r="L731" s="17">
        <v>120</v>
      </c>
      <c r="M731" s="17">
        <v>30800</v>
      </c>
      <c r="N731" s="17">
        <f t="shared" si="101"/>
        <v>44760</v>
      </c>
      <c r="O731" s="17">
        <f t="shared" si="102"/>
        <v>13960</v>
      </c>
      <c r="P731" s="10">
        <f t="shared" si="103"/>
        <v>0.93658536585365859</v>
      </c>
      <c r="Q731" s="10">
        <f t="shared" si="104"/>
        <v>2.8645833333333332E-2</v>
      </c>
      <c r="R731" s="10">
        <f t="shared" si="105"/>
        <v>0.31188561215370869</v>
      </c>
      <c r="S731" s="18">
        <f t="shared" si="106"/>
        <v>82.573726541554961</v>
      </c>
      <c r="T731" s="8">
        <f>480-ProductionData[[#This Row],[Downtime Minutes]]</f>
        <v>448</v>
      </c>
      <c r="U731" s="11">
        <f t="shared" si="107"/>
        <v>0.8571428571428571</v>
      </c>
      <c r="V731" s="18">
        <f>ProductionData[[#This Row],[Profit]]/ProductionData[[#This Row],[Good Units]]</f>
        <v>37.426273458445039</v>
      </c>
      <c r="W731" s="11">
        <f>ProductionData[[#This Row],[Good Units]]/ProductionData[[#This Row],[Operating Minutes]]</f>
        <v>0.8325892857142857</v>
      </c>
    </row>
    <row r="732" spans="1:23">
      <c r="A732" s="7">
        <v>46285</v>
      </c>
      <c r="B732" s="8" t="s">
        <v>30</v>
      </c>
      <c r="C732" s="8" t="s">
        <v>20</v>
      </c>
      <c r="D732" s="8" t="s">
        <v>23</v>
      </c>
      <c r="E732" s="8" t="s">
        <v>26</v>
      </c>
      <c r="F732" s="9">
        <v>520</v>
      </c>
      <c r="G732" s="9">
        <v>489</v>
      </c>
      <c r="H732" s="9">
        <v>18</v>
      </c>
      <c r="I732" s="9">
        <f t="shared" si="99"/>
        <v>471</v>
      </c>
      <c r="J732" s="9">
        <v>31</v>
      </c>
      <c r="K732" s="10">
        <f t="shared" si="100"/>
        <v>6.458333333333334E-2</v>
      </c>
      <c r="L732" s="17">
        <v>90</v>
      </c>
      <c r="M732" s="17">
        <v>30800</v>
      </c>
      <c r="N732" s="17">
        <f t="shared" si="101"/>
        <v>42390</v>
      </c>
      <c r="O732" s="17">
        <f t="shared" si="102"/>
        <v>11590</v>
      </c>
      <c r="P732" s="10">
        <f t="shared" si="103"/>
        <v>0.94038461538461537</v>
      </c>
      <c r="Q732" s="10">
        <f t="shared" si="104"/>
        <v>3.6809815950920248E-2</v>
      </c>
      <c r="R732" s="10">
        <f t="shared" si="105"/>
        <v>0.27341354092946452</v>
      </c>
      <c r="S732" s="18">
        <f t="shared" si="106"/>
        <v>65.392781316348191</v>
      </c>
      <c r="T732" s="8">
        <f>480-ProductionData[[#This Row],[Downtime Minutes]]</f>
        <v>449</v>
      </c>
      <c r="U732" s="11">
        <f t="shared" si="107"/>
        <v>1.089086859688196</v>
      </c>
      <c r="V732" s="18">
        <f>ProductionData[[#This Row],[Profit]]/ProductionData[[#This Row],[Good Units]]</f>
        <v>24.607218683651805</v>
      </c>
      <c r="W732" s="11">
        <f>ProductionData[[#This Row],[Good Units]]/ProductionData[[#This Row],[Operating Minutes]]</f>
        <v>1.0489977728285078</v>
      </c>
    </row>
    <row r="733" spans="1:23">
      <c r="A733" s="7">
        <v>46285</v>
      </c>
      <c r="B733" s="8" t="s">
        <v>30</v>
      </c>
      <c r="C733" s="8" t="s">
        <v>20</v>
      </c>
      <c r="D733" s="8" t="s">
        <v>25</v>
      </c>
      <c r="E733" s="8" t="s">
        <v>22</v>
      </c>
      <c r="F733" s="9">
        <v>460</v>
      </c>
      <c r="G733" s="9">
        <v>413</v>
      </c>
      <c r="H733" s="9">
        <v>26</v>
      </c>
      <c r="I733" s="9">
        <f t="shared" si="99"/>
        <v>387</v>
      </c>
      <c r="J733" s="9">
        <v>38</v>
      </c>
      <c r="K733" s="10">
        <f t="shared" si="100"/>
        <v>7.9166666666666663E-2</v>
      </c>
      <c r="L733" s="17">
        <v>100</v>
      </c>
      <c r="M733" s="17">
        <v>30800</v>
      </c>
      <c r="N733" s="17">
        <f t="shared" si="101"/>
        <v>38700</v>
      </c>
      <c r="O733" s="17">
        <f t="shared" si="102"/>
        <v>7900</v>
      </c>
      <c r="P733" s="10">
        <f t="shared" si="103"/>
        <v>0.89782608695652177</v>
      </c>
      <c r="Q733" s="10">
        <f t="shared" si="104"/>
        <v>6.2953995157384993E-2</v>
      </c>
      <c r="R733" s="10">
        <f t="shared" si="105"/>
        <v>0.20413436692506459</v>
      </c>
      <c r="S733" s="18">
        <f t="shared" si="106"/>
        <v>79.586563307493535</v>
      </c>
      <c r="T733" s="8">
        <f>480-ProductionData[[#This Row],[Downtime Minutes]]</f>
        <v>442</v>
      </c>
      <c r="U733" s="11">
        <f t="shared" si="107"/>
        <v>0.93438914027149322</v>
      </c>
      <c r="V733" s="18">
        <f>ProductionData[[#This Row],[Profit]]/ProductionData[[#This Row],[Good Units]]</f>
        <v>20.413436692506458</v>
      </c>
      <c r="W733" s="11">
        <f>ProductionData[[#This Row],[Good Units]]/ProductionData[[#This Row],[Operating Minutes]]</f>
        <v>0.8755656108597285</v>
      </c>
    </row>
    <row r="734" spans="1:23">
      <c r="A734" s="7">
        <v>46285</v>
      </c>
      <c r="B734" s="8" t="s">
        <v>30</v>
      </c>
      <c r="C734" s="8" t="s">
        <v>27</v>
      </c>
      <c r="D734" s="8" t="s">
        <v>21</v>
      </c>
      <c r="E734" s="8" t="s">
        <v>26</v>
      </c>
      <c r="F734" s="9">
        <v>480</v>
      </c>
      <c r="G734" s="9">
        <v>420</v>
      </c>
      <c r="H734" s="9">
        <v>23</v>
      </c>
      <c r="I734" s="9">
        <f t="shared" si="99"/>
        <v>397</v>
      </c>
      <c r="J734" s="9">
        <v>55</v>
      </c>
      <c r="K734" s="10">
        <f t="shared" si="100"/>
        <v>0.11458333333333333</v>
      </c>
      <c r="L734" s="17">
        <v>90</v>
      </c>
      <c r="M734" s="17">
        <v>30800</v>
      </c>
      <c r="N734" s="17">
        <f t="shared" si="101"/>
        <v>35730</v>
      </c>
      <c r="O734" s="17">
        <f t="shared" si="102"/>
        <v>4930</v>
      </c>
      <c r="P734" s="10">
        <f t="shared" si="103"/>
        <v>0.875</v>
      </c>
      <c r="Q734" s="10">
        <f t="shared" si="104"/>
        <v>5.4761904761904762E-2</v>
      </c>
      <c r="R734" s="10">
        <f t="shared" si="105"/>
        <v>0.13797928911279037</v>
      </c>
      <c r="S734" s="18">
        <f t="shared" si="106"/>
        <v>77.581863979848862</v>
      </c>
      <c r="T734" s="8">
        <f>480-ProductionData[[#This Row],[Downtime Minutes]]</f>
        <v>425</v>
      </c>
      <c r="U734" s="11">
        <f t="shared" si="107"/>
        <v>0.9882352941176471</v>
      </c>
      <c r="V734" s="18">
        <f>ProductionData[[#This Row],[Profit]]/ProductionData[[#This Row],[Good Units]]</f>
        <v>12.418136020151133</v>
      </c>
      <c r="W734" s="11">
        <f>ProductionData[[#This Row],[Good Units]]/ProductionData[[#This Row],[Operating Minutes]]</f>
        <v>0.9341176470588235</v>
      </c>
    </row>
    <row r="735" spans="1:23">
      <c r="A735" s="7">
        <v>46285</v>
      </c>
      <c r="B735" s="8" t="s">
        <v>30</v>
      </c>
      <c r="C735" s="8" t="s">
        <v>27</v>
      </c>
      <c r="D735" s="8" t="s">
        <v>23</v>
      </c>
      <c r="E735" s="8" t="s">
        <v>22</v>
      </c>
      <c r="F735" s="9">
        <v>460</v>
      </c>
      <c r="G735" s="9">
        <v>414</v>
      </c>
      <c r="H735" s="9">
        <v>29</v>
      </c>
      <c r="I735" s="9">
        <f t="shared" si="99"/>
        <v>385</v>
      </c>
      <c r="J735" s="9">
        <v>56</v>
      </c>
      <c r="K735" s="10">
        <f t="shared" si="100"/>
        <v>0.11666666666666667</v>
      </c>
      <c r="L735" s="17">
        <v>100</v>
      </c>
      <c r="M735" s="17">
        <v>30800</v>
      </c>
      <c r="N735" s="17">
        <f t="shared" si="101"/>
        <v>38500</v>
      </c>
      <c r="O735" s="17">
        <f t="shared" si="102"/>
        <v>7700</v>
      </c>
      <c r="P735" s="10">
        <f t="shared" si="103"/>
        <v>0.9</v>
      </c>
      <c r="Q735" s="10">
        <f t="shared" si="104"/>
        <v>7.0048309178743967E-2</v>
      </c>
      <c r="R735" s="10">
        <f t="shared" si="105"/>
        <v>0.2</v>
      </c>
      <c r="S735" s="18">
        <f t="shared" si="106"/>
        <v>80</v>
      </c>
      <c r="T735" s="8">
        <f>480-ProductionData[[#This Row],[Downtime Minutes]]</f>
        <v>424</v>
      </c>
      <c r="U735" s="11">
        <f t="shared" si="107"/>
        <v>0.97641509433962259</v>
      </c>
      <c r="V735" s="18">
        <f>ProductionData[[#This Row],[Profit]]/ProductionData[[#This Row],[Good Units]]</f>
        <v>20</v>
      </c>
      <c r="W735" s="11">
        <f>ProductionData[[#This Row],[Good Units]]/ProductionData[[#This Row],[Operating Minutes]]</f>
        <v>0.90801886792452835</v>
      </c>
    </row>
    <row r="736" spans="1:23">
      <c r="A736" s="7">
        <v>46285</v>
      </c>
      <c r="B736" s="8" t="s">
        <v>30</v>
      </c>
      <c r="C736" s="8" t="s">
        <v>27</v>
      </c>
      <c r="D736" s="8" t="s">
        <v>25</v>
      </c>
      <c r="E736" s="8" t="s">
        <v>24</v>
      </c>
      <c r="F736" s="9">
        <v>400</v>
      </c>
      <c r="G736" s="9">
        <v>333</v>
      </c>
      <c r="H736" s="9">
        <v>21</v>
      </c>
      <c r="I736" s="9">
        <f t="shared" si="99"/>
        <v>312</v>
      </c>
      <c r="J736" s="9">
        <v>73</v>
      </c>
      <c r="K736" s="10">
        <f t="shared" si="100"/>
        <v>0.15208333333333332</v>
      </c>
      <c r="L736" s="17">
        <v>120</v>
      </c>
      <c r="M736" s="17">
        <v>30800</v>
      </c>
      <c r="N736" s="17">
        <f t="shared" si="101"/>
        <v>37440</v>
      </c>
      <c r="O736" s="17">
        <f t="shared" si="102"/>
        <v>6640</v>
      </c>
      <c r="P736" s="10">
        <f t="shared" si="103"/>
        <v>0.83250000000000002</v>
      </c>
      <c r="Q736" s="10">
        <f t="shared" si="104"/>
        <v>6.3063063063063057E-2</v>
      </c>
      <c r="R736" s="10">
        <f t="shared" si="105"/>
        <v>0.17735042735042736</v>
      </c>
      <c r="S736" s="18">
        <f t="shared" si="106"/>
        <v>98.717948717948715</v>
      </c>
      <c r="T736" s="8">
        <f>480-ProductionData[[#This Row],[Downtime Minutes]]</f>
        <v>407</v>
      </c>
      <c r="U736" s="11">
        <f t="shared" si="107"/>
        <v>0.81818181818181823</v>
      </c>
      <c r="V736" s="18">
        <f>ProductionData[[#This Row],[Profit]]/ProductionData[[#This Row],[Good Units]]</f>
        <v>21.282051282051281</v>
      </c>
      <c r="W736" s="11">
        <f>ProductionData[[#This Row],[Good Units]]/ProductionData[[#This Row],[Operating Minutes]]</f>
        <v>0.7665847665847666</v>
      </c>
    </row>
    <row r="737" spans="1:23">
      <c r="A737" s="7">
        <v>46285</v>
      </c>
      <c r="B737" s="8" t="s">
        <v>30</v>
      </c>
      <c r="C737" s="8" t="s">
        <v>28</v>
      </c>
      <c r="D737" s="8" t="s">
        <v>21</v>
      </c>
      <c r="E737" s="8" t="s">
        <v>22</v>
      </c>
      <c r="F737" s="9">
        <v>430</v>
      </c>
      <c r="G737" s="9">
        <v>428</v>
      </c>
      <c r="H737" s="9">
        <v>17</v>
      </c>
      <c r="I737" s="9">
        <f t="shared" si="99"/>
        <v>411</v>
      </c>
      <c r="J737" s="9">
        <v>34</v>
      </c>
      <c r="K737" s="10">
        <f t="shared" si="100"/>
        <v>7.0833333333333331E-2</v>
      </c>
      <c r="L737" s="17">
        <v>100</v>
      </c>
      <c r="M737" s="17">
        <v>30800</v>
      </c>
      <c r="N737" s="17">
        <f t="shared" si="101"/>
        <v>41100</v>
      </c>
      <c r="O737" s="17">
        <f t="shared" si="102"/>
        <v>10300</v>
      </c>
      <c r="P737" s="10">
        <f t="shared" si="103"/>
        <v>0.99534883720930234</v>
      </c>
      <c r="Q737" s="10">
        <f t="shared" si="104"/>
        <v>3.9719626168224297E-2</v>
      </c>
      <c r="R737" s="10">
        <f t="shared" si="105"/>
        <v>0.25060827250608275</v>
      </c>
      <c r="S737" s="18">
        <f t="shared" si="106"/>
        <v>74.93917274939173</v>
      </c>
      <c r="T737" s="8">
        <f>480-ProductionData[[#This Row],[Downtime Minutes]]</f>
        <v>446</v>
      </c>
      <c r="U737" s="11">
        <f t="shared" si="107"/>
        <v>0.95964125560538116</v>
      </c>
      <c r="V737" s="18">
        <f>ProductionData[[#This Row],[Profit]]/ProductionData[[#This Row],[Good Units]]</f>
        <v>25.060827250608273</v>
      </c>
      <c r="W737" s="11">
        <f>ProductionData[[#This Row],[Good Units]]/ProductionData[[#This Row],[Operating Minutes]]</f>
        <v>0.92152466367713004</v>
      </c>
    </row>
    <row r="738" spans="1:23">
      <c r="A738" s="7">
        <v>46285</v>
      </c>
      <c r="B738" s="8" t="s">
        <v>30</v>
      </c>
      <c r="C738" s="8" t="s">
        <v>28</v>
      </c>
      <c r="D738" s="8" t="s">
        <v>23</v>
      </c>
      <c r="E738" s="8" t="s">
        <v>24</v>
      </c>
      <c r="F738" s="9">
        <v>390</v>
      </c>
      <c r="G738" s="9">
        <v>378</v>
      </c>
      <c r="H738" s="9">
        <v>13</v>
      </c>
      <c r="I738" s="9">
        <f t="shared" si="99"/>
        <v>365</v>
      </c>
      <c r="J738" s="9">
        <v>39</v>
      </c>
      <c r="K738" s="10">
        <f t="shared" si="100"/>
        <v>8.1250000000000003E-2</v>
      </c>
      <c r="L738" s="17">
        <v>120</v>
      </c>
      <c r="M738" s="17">
        <v>30800</v>
      </c>
      <c r="N738" s="17">
        <f t="shared" si="101"/>
        <v>43800</v>
      </c>
      <c r="O738" s="17">
        <f t="shared" si="102"/>
        <v>13000</v>
      </c>
      <c r="P738" s="10">
        <f t="shared" si="103"/>
        <v>0.96923076923076923</v>
      </c>
      <c r="Q738" s="10">
        <f t="shared" si="104"/>
        <v>3.439153439153439E-2</v>
      </c>
      <c r="R738" s="10">
        <f t="shared" si="105"/>
        <v>0.29680365296803651</v>
      </c>
      <c r="S738" s="18">
        <f t="shared" si="106"/>
        <v>84.38356164383562</v>
      </c>
      <c r="T738" s="8">
        <f>480-ProductionData[[#This Row],[Downtime Minutes]]</f>
        <v>441</v>
      </c>
      <c r="U738" s="11">
        <f t="shared" si="107"/>
        <v>0.8571428571428571</v>
      </c>
      <c r="V738" s="18">
        <f>ProductionData[[#This Row],[Profit]]/ProductionData[[#This Row],[Good Units]]</f>
        <v>35.61643835616438</v>
      </c>
      <c r="W738" s="11">
        <f>ProductionData[[#This Row],[Good Units]]/ProductionData[[#This Row],[Operating Minutes]]</f>
        <v>0.82766439909297052</v>
      </c>
    </row>
    <row r="739" spans="1:23">
      <c r="A739" s="7">
        <v>46285</v>
      </c>
      <c r="B739" s="8" t="s">
        <v>30</v>
      </c>
      <c r="C739" s="8" t="s">
        <v>28</v>
      </c>
      <c r="D739" s="8" t="s">
        <v>25</v>
      </c>
      <c r="E739" s="8" t="s">
        <v>26</v>
      </c>
      <c r="F739" s="9">
        <v>490</v>
      </c>
      <c r="G739" s="9">
        <v>468</v>
      </c>
      <c r="H739" s="9">
        <v>21</v>
      </c>
      <c r="I739" s="9">
        <f t="shared" si="99"/>
        <v>447</v>
      </c>
      <c r="J739" s="9">
        <v>32</v>
      </c>
      <c r="K739" s="10">
        <f t="shared" si="100"/>
        <v>6.6666666666666666E-2</v>
      </c>
      <c r="L739" s="17">
        <v>90</v>
      </c>
      <c r="M739" s="17">
        <v>30800</v>
      </c>
      <c r="N739" s="17">
        <f t="shared" si="101"/>
        <v>40230</v>
      </c>
      <c r="O739" s="17">
        <f t="shared" si="102"/>
        <v>9430</v>
      </c>
      <c r="P739" s="10">
        <f t="shared" si="103"/>
        <v>0.95510204081632655</v>
      </c>
      <c r="Q739" s="10">
        <f t="shared" si="104"/>
        <v>4.4871794871794872E-2</v>
      </c>
      <c r="R739" s="10">
        <f t="shared" si="105"/>
        <v>0.23440218742232166</v>
      </c>
      <c r="S739" s="18">
        <f t="shared" si="106"/>
        <v>68.903803131991054</v>
      </c>
      <c r="T739" s="8">
        <f>480-ProductionData[[#This Row],[Downtime Minutes]]</f>
        <v>448</v>
      </c>
      <c r="U739" s="11">
        <f t="shared" si="107"/>
        <v>1.0446428571428572</v>
      </c>
      <c r="V739" s="18">
        <f>ProductionData[[#This Row],[Profit]]/ProductionData[[#This Row],[Good Units]]</f>
        <v>21.096196868008949</v>
      </c>
      <c r="W739" s="11">
        <f>ProductionData[[#This Row],[Good Units]]/ProductionData[[#This Row],[Operating Minutes]]</f>
        <v>0.9977678571428571</v>
      </c>
    </row>
    <row r="740" spans="1:23">
      <c r="A740" s="7">
        <v>46286</v>
      </c>
      <c r="B740" s="8" t="s">
        <v>30</v>
      </c>
      <c r="C740" s="8" t="s">
        <v>20</v>
      </c>
      <c r="D740" s="8" t="s">
        <v>21</v>
      </c>
      <c r="E740" s="8" t="s">
        <v>26</v>
      </c>
      <c r="F740" s="9">
        <v>490</v>
      </c>
      <c r="G740" s="9">
        <v>461</v>
      </c>
      <c r="H740" s="9">
        <v>15</v>
      </c>
      <c r="I740" s="9">
        <f t="shared" si="99"/>
        <v>446</v>
      </c>
      <c r="J740" s="9">
        <v>32</v>
      </c>
      <c r="K740" s="10">
        <f t="shared" si="100"/>
        <v>6.6666666666666666E-2</v>
      </c>
      <c r="L740" s="17">
        <v>90</v>
      </c>
      <c r="M740" s="17">
        <v>30800</v>
      </c>
      <c r="N740" s="17">
        <f t="shared" si="101"/>
        <v>40140</v>
      </c>
      <c r="O740" s="17">
        <f t="shared" si="102"/>
        <v>9340</v>
      </c>
      <c r="P740" s="10">
        <f t="shared" si="103"/>
        <v>0.9408163265306122</v>
      </c>
      <c r="Q740" s="10">
        <f t="shared" si="104"/>
        <v>3.2537960954446853E-2</v>
      </c>
      <c r="R740" s="10">
        <f t="shared" si="105"/>
        <v>0.23268560039860489</v>
      </c>
      <c r="S740" s="18">
        <f t="shared" si="106"/>
        <v>69.058295964125563</v>
      </c>
      <c r="T740" s="8">
        <f>480-ProductionData[[#This Row],[Downtime Minutes]]</f>
        <v>448</v>
      </c>
      <c r="U740" s="11">
        <f t="shared" si="107"/>
        <v>1.0290178571428572</v>
      </c>
      <c r="V740" s="18">
        <f>ProductionData[[#This Row],[Profit]]/ProductionData[[#This Row],[Good Units]]</f>
        <v>20.941704035874441</v>
      </c>
      <c r="W740" s="11">
        <f>ProductionData[[#This Row],[Good Units]]/ProductionData[[#This Row],[Operating Minutes]]</f>
        <v>0.9955357142857143</v>
      </c>
    </row>
    <row r="741" spans="1:23">
      <c r="A741" s="7">
        <v>46286</v>
      </c>
      <c r="B741" s="8" t="s">
        <v>30</v>
      </c>
      <c r="C741" s="8" t="s">
        <v>20</v>
      </c>
      <c r="D741" s="8" t="s">
        <v>23</v>
      </c>
      <c r="E741" s="8" t="s">
        <v>22</v>
      </c>
      <c r="F741" s="9">
        <v>450</v>
      </c>
      <c r="G741" s="9">
        <v>411</v>
      </c>
      <c r="H741" s="9">
        <v>23</v>
      </c>
      <c r="I741" s="9">
        <f t="shared" si="99"/>
        <v>388</v>
      </c>
      <c r="J741" s="9">
        <v>41</v>
      </c>
      <c r="K741" s="10">
        <f t="shared" si="100"/>
        <v>8.5416666666666669E-2</v>
      </c>
      <c r="L741" s="17">
        <v>100</v>
      </c>
      <c r="M741" s="17">
        <v>30800</v>
      </c>
      <c r="N741" s="17">
        <f t="shared" si="101"/>
        <v>38800</v>
      </c>
      <c r="O741" s="17">
        <f t="shared" si="102"/>
        <v>8000</v>
      </c>
      <c r="P741" s="10">
        <f t="shared" si="103"/>
        <v>0.91333333333333333</v>
      </c>
      <c r="Q741" s="10">
        <f t="shared" si="104"/>
        <v>5.5961070559610707E-2</v>
      </c>
      <c r="R741" s="10">
        <f t="shared" si="105"/>
        <v>0.20618556701030927</v>
      </c>
      <c r="S741" s="18">
        <f t="shared" si="106"/>
        <v>79.381443298969074</v>
      </c>
      <c r="T741" s="8">
        <f>480-ProductionData[[#This Row],[Downtime Minutes]]</f>
        <v>439</v>
      </c>
      <c r="U741" s="11">
        <f t="shared" si="107"/>
        <v>0.9362186788154897</v>
      </c>
      <c r="V741" s="18">
        <f>ProductionData[[#This Row],[Profit]]/ProductionData[[#This Row],[Good Units]]</f>
        <v>20.618556701030929</v>
      </c>
      <c r="W741" s="11">
        <f>ProductionData[[#This Row],[Good Units]]/ProductionData[[#This Row],[Operating Minutes]]</f>
        <v>0.88382687927107062</v>
      </c>
    </row>
    <row r="742" spans="1:23">
      <c r="A742" s="7">
        <v>46286</v>
      </c>
      <c r="B742" s="8" t="s">
        <v>30</v>
      </c>
      <c r="C742" s="8" t="s">
        <v>20</v>
      </c>
      <c r="D742" s="8" t="s">
        <v>25</v>
      </c>
      <c r="E742" s="8" t="s">
        <v>24</v>
      </c>
      <c r="F742" s="9">
        <v>400</v>
      </c>
      <c r="G742" s="9">
        <v>368</v>
      </c>
      <c r="H742" s="9">
        <v>14</v>
      </c>
      <c r="I742" s="9">
        <f t="shared" si="99"/>
        <v>354</v>
      </c>
      <c r="J742" s="9">
        <v>34</v>
      </c>
      <c r="K742" s="10">
        <f t="shared" si="100"/>
        <v>7.0833333333333331E-2</v>
      </c>
      <c r="L742" s="17">
        <v>120</v>
      </c>
      <c r="M742" s="17">
        <v>30800</v>
      </c>
      <c r="N742" s="17">
        <f t="shared" si="101"/>
        <v>42480</v>
      </c>
      <c r="O742" s="17">
        <f t="shared" si="102"/>
        <v>11680</v>
      </c>
      <c r="P742" s="10">
        <f t="shared" si="103"/>
        <v>0.92</v>
      </c>
      <c r="Q742" s="10">
        <f t="shared" si="104"/>
        <v>3.8043478260869568E-2</v>
      </c>
      <c r="R742" s="10">
        <f t="shared" si="105"/>
        <v>0.27495291902071561</v>
      </c>
      <c r="S742" s="18">
        <f t="shared" si="106"/>
        <v>87.005649717514117</v>
      </c>
      <c r="T742" s="8">
        <f>480-ProductionData[[#This Row],[Downtime Minutes]]</f>
        <v>446</v>
      </c>
      <c r="U742" s="11">
        <f t="shared" si="107"/>
        <v>0.82511210762331844</v>
      </c>
      <c r="V742" s="18">
        <f>ProductionData[[#This Row],[Profit]]/ProductionData[[#This Row],[Good Units]]</f>
        <v>32.994350282485875</v>
      </c>
      <c r="W742" s="11">
        <f>ProductionData[[#This Row],[Good Units]]/ProductionData[[#This Row],[Operating Minutes]]</f>
        <v>0.79372197309417036</v>
      </c>
    </row>
    <row r="743" spans="1:23">
      <c r="A743" s="7">
        <v>46286</v>
      </c>
      <c r="B743" s="8" t="s">
        <v>30</v>
      </c>
      <c r="C743" s="8" t="s">
        <v>27</v>
      </c>
      <c r="D743" s="8" t="s">
        <v>21</v>
      </c>
      <c r="E743" s="8" t="s">
        <v>22</v>
      </c>
      <c r="F743" s="9">
        <v>430</v>
      </c>
      <c r="G743" s="9">
        <v>401</v>
      </c>
      <c r="H743" s="9">
        <v>26</v>
      </c>
      <c r="I743" s="9">
        <f t="shared" si="99"/>
        <v>375</v>
      </c>
      <c r="J743" s="9">
        <v>49</v>
      </c>
      <c r="K743" s="10">
        <f t="shared" si="100"/>
        <v>0.10208333333333333</v>
      </c>
      <c r="L743" s="17">
        <v>100</v>
      </c>
      <c r="M743" s="17">
        <v>30800</v>
      </c>
      <c r="N743" s="17">
        <f t="shared" si="101"/>
        <v>37500</v>
      </c>
      <c r="O743" s="17">
        <f t="shared" si="102"/>
        <v>6700</v>
      </c>
      <c r="P743" s="10">
        <f t="shared" si="103"/>
        <v>0.93255813953488376</v>
      </c>
      <c r="Q743" s="10">
        <f t="shared" si="104"/>
        <v>6.4837905236907731E-2</v>
      </c>
      <c r="R743" s="10">
        <f t="shared" si="105"/>
        <v>0.17866666666666667</v>
      </c>
      <c r="S743" s="18">
        <f t="shared" si="106"/>
        <v>82.13333333333334</v>
      </c>
      <c r="T743" s="8">
        <f>480-ProductionData[[#This Row],[Downtime Minutes]]</f>
        <v>431</v>
      </c>
      <c r="U743" s="11">
        <f t="shared" si="107"/>
        <v>0.93039443155452439</v>
      </c>
      <c r="V743" s="18">
        <f>ProductionData[[#This Row],[Profit]]/ProductionData[[#This Row],[Good Units]]</f>
        <v>17.866666666666667</v>
      </c>
      <c r="W743" s="11">
        <f>ProductionData[[#This Row],[Good Units]]/ProductionData[[#This Row],[Operating Minutes]]</f>
        <v>0.87006960556844548</v>
      </c>
    </row>
    <row r="744" spans="1:23">
      <c r="A744" s="7">
        <v>46286</v>
      </c>
      <c r="B744" s="8" t="s">
        <v>30</v>
      </c>
      <c r="C744" s="8" t="s">
        <v>27</v>
      </c>
      <c r="D744" s="8" t="s">
        <v>23</v>
      </c>
      <c r="E744" s="8" t="s">
        <v>24</v>
      </c>
      <c r="F744" s="9">
        <v>400</v>
      </c>
      <c r="G744" s="9">
        <v>368</v>
      </c>
      <c r="H744" s="9">
        <v>20</v>
      </c>
      <c r="I744" s="9">
        <f t="shared" si="99"/>
        <v>348</v>
      </c>
      <c r="J744" s="9">
        <v>49</v>
      </c>
      <c r="K744" s="10">
        <f t="shared" si="100"/>
        <v>0.10208333333333333</v>
      </c>
      <c r="L744" s="17">
        <v>120</v>
      </c>
      <c r="M744" s="17">
        <v>30800</v>
      </c>
      <c r="N744" s="17">
        <f t="shared" si="101"/>
        <v>41760</v>
      </c>
      <c r="O744" s="17">
        <f t="shared" si="102"/>
        <v>10960</v>
      </c>
      <c r="P744" s="10">
        <f t="shared" si="103"/>
        <v>0.92</v>
      </c>
      <c r="Q744" s="10">
        <f t="shared" si="104"/>
        <v>5.434782608695652E-2</v>
      </c>
      <c r="R744" s="10">
        <f t="shared" si="105"/>
        <v>0.26245210727969348</v>
      </c>
      <c r="S744" s="18">
        <f t="shared" si="106"/>
        <v>88.505747126436788</v>
      </c>
      <c r="T744" s="8">
        <f>480-ProductionData[[#This Row],[Downtime Minutes]]</f>
        <v>431</v>
      </c>
      <c r="U744" s="11">
        <f t="shared" si="107"/>
        <v>0.85382830626450112</v>
      </c>
      <c r="V744" s="18">
        <f>ProductionData[[#This Row],[Profit]]/ProductionData[[#This Row],[Good Units]]</f>
        <v>31.494252873563219</v>
      </c>
      <c r="W744" s="11">
        <f>ProductionData[[#This Row],[Good Units]]/ProductionData[[#This Row],[Operating Minutes]]</f>
        <v>0.80742459396751742</v>
      </c>
    </row>
    <row r="745" spans="1:23">
      <c r="A745" s="7">
        <v>46286</v>
      </c>
      <c r="B745" s="8" t="s">
        <v>30</v>
      </c>
      <c r="C745" s="8" t="s">
        <v>27</v>
      </c>
      <c r="D745" s="8" t="s">
        <v>25</v>
      </c>
      <c r="E745" s="8" t="s">
        <v>26</v>
      </c>
      <c r="F745" s="9">
        <v>500</v>
      </c>
      <c r="G745" s="9">
        <v>424</v>
      </c>
      <c r="H745" s="9">
        <v>24</v>
      </c>
      <c r="I745" s="9">
        <f t="shared" si="99"/>
        <v>400</v>
      </c>
      <c r="J745" s="9">
        <v>63</v>
      </c>
      <c r="K745" s="10">
        <f t="shared" si="100"/>
        <v>0.13125000000000001</v>
      </c>
      <c r="L745" s="17">
        <v>90</v>
      </c>
      <c r="M745" s="17">
        <v>30800</v>
      </c>
      <c r="N745" s="17">
        <f t="shared" si="101"/>
        <v>36000</v>
      </c>
      <c r="O745" s="17">
        <f t="shared" si="102"/>
        <v>5200</v>
      </c>
      <c r="P745" s="10">
        <f t="shared" si="103"/>
        <v>0.84799999999999998</v>
      </c>
      <c r="Q745" s="10">
        <f t="shared" si="104"/>
        <v>5.6603773584905662E-2</v>
      </c>
      <c r="R745" s="10">
        <f t="shared" si="105"/>
        <v>0.14444444444444443</v>
      </c>
      <c r="S745" s="18">
        <f t="shared" si="106"/>
        <v>77</v>
      </c>
      <c r="T745" s="8">
        <f>480-ProductionData[[#This Row],[Downtime Minutes]]</f>
        <v>417</v>
      </c>
      <c r="U745" s="11">
        <f t="shared" si="107"/>
        <v>1.0167865707434052</v>
      </c>
      <c r="V745" s="18">
        <f>ProductionData[[#This Row],[Profit]]/ProductionData[[#This Row],[Good Units]]</f>
        <v>13</v>
      </c>
      <c r="W745" s="11">
        <f>ProductionData[[#This Row],[Good Units]]/ProductionData[[#This Row],[Operating Minutes]]</f>
        <v>0.95923261390887293</v>
      </c>
    </row>
    <row r="746" spans="1:23">
      <c r="A746" s="7">
        <v>46286</v>
      </c>
      <c r="B746" s="8" t="s">
        <v>30</v>
      </c>
      <c r="C746" s="8" t="s">
        <v>28</v>
      </c>
      <c r="D746" s="8" t="s">
        <v>21</v>
      </c>
      <c r="E746" s="8" t="s">
        <v>24</v>
      </c>
      <c r="F746" s="9">
        <v>410</v>
      </c>
      <c r="G746" s="9">
        <v>403</v>
      </c>
      <c r="H746" s="9">
        <v>10</v>
      </c>
      <c r="I746" s="9">
        <f t="shared" si="99"/>
        <v>393</v>
      </c>
      <c r="J746" s="9">
        <v>30</v>
      </c>
      <c r="K746" s="10">
        <f t="shared" si="100"/>
        <v>6.25E-2</v>
      </c>
      <c r="L746" s="17">
        <v>120</v>
      </c>
      <c r="M746" s="17">
        <v>30800</v>
      </c>
      <c r="N746" s="17">
        <f t="shared" si="101"/>
        <v>47160</v>
      </c>
      <c r="O746" s="17">
        <f t="shared" si="102"/>
        <v>16360</v>
      </c>
      <c r="P746" s="10">
        <f t="shared" si="103"/>
        <v>0.98292682926829267</v>
      </c>
      <c r="Q746" s="10">
        <f t="shared" si="104"/>
        <v>2.4813895781637719E-2</v>
      </c>
      <c r="R746" s="10">
        <f t="shared" si="105"/>
        <v>0.3469041560644614</v>
      </c>
      <c r="S746" s="18">
        <f t="shared" si="106"/>
        <v>78.371501272264638</v>
      </c>
      <c r="T746" s="8">
        <f>480-ProductionData[[#This Row],[Downtime Minutes]]</f>
        <v>450</v>
      </c>
      <c r="U746" s="11">
        <f t="shared" si="107"/>
        <v>0.89555555555555555</v>
      </c>
      <c r="V746" s="18">
        <f>ProductionData[[#This Row],[Profit]]/ProductionData[[#This Row],[Good Units]]</f>
        <v>41.628498727735369</v>
      </c>
      <c r="W746" s="11">
        <f>ProductionData[[#This Row],[Good Units]]/ProductionData[[#This Row],[Operating Minutes]]</f>
        <v>0.87333333333333329</v>
      </c>
    </row>
    <row r="747" spans="1:23">
      <c r="A747" s="7">
        <v>46286</v>
      </c>
      <c r="B747" s="8" t="s">
        <v>30</v>
      </c>
      <c r="C747" s="8" t="s">
        <v>28</v>
      </c>
      <c r="D747" s="8" t="s">
        <v>23</v>
      </c>
      <c r="E747" s="8" t="s">
        <v>26</v>
      </c>
      <c r="F747" s="9">
        <v>520</v>
      </c>
      <c r="G747" s="9">
        <v>493</v>
      </c>
      <c r="H747" s="9">
        <v>15</v>
      </c>
      <c r="I747" s="9">
        <f t="shared" si="99"/>
        <v>478</v>
      </c>
      <c r="J747" s="9">
        <v>24</v>
      </c>
      <c r="K747" s="10">
        <f t="shared" si="100"/>
        <v>0.05</v>
      </c>
      <c r="L747" s="17">
        <v>90</v>
      </c>
      <c r="M747" s="17">
        <v>30800</v>
      </c>
      <c r="N747" s="17">
        <f t="shared" si="101"/>
        <v>43020</v>
      </c>
      <c r="O747" s="17">
        <f t="shared" si="102"/>
        <v>12220</v>
      </c>
      <c r="P747" s="10">
        <f t="shared" si="103"/>
        <v>0.94807692307692304</v>
      </c>
      <c r="Q747" s="10">
        <f t="shared" si="104"/>
        <v>3.0425963488843813E-2</v>
      </c>
      <c r="R747" s="10">
        <f t="shared" si="105"/>
        <v>0.28405392840539284</v>
      </c>
      <c r="S747" s="18">
        <f t="shared" si="106"/>
        <v>64.43514644351464</v>
      </c>
      <c r="T747" s="8">
        <f>480-ProductionData[[#This Row],[Downtime Minutes]]</f>
        <v>456</v>
      </c>
      <c r="U747" s="11">
        <f t="shared" si="107"/>
        <v>1.0811403508771931</v>
      </c>
      <c r="V747" s="18">
        <f>ProductionData[[#This Row],[Profit]]/ProductionData[[#This Row],[Good Units]]</f>
        <v>25.564853556485357</v>
      </c>
      <c r="W747" s="11">
        <f>ProductionData[[#This Row],[Good Units]]/ProductionData[[#This Row],[Operating Minutes]]</f>
        <v>1.0482456140350878</v>
      </c>
    </row>
    <row r="748" spans="1:23">
      <c r="A748" s="7">
        <v>46286</v>
      </c>
      <c r="B748" s="8" t="s">
        <v>30</v>
      </c>
      <c r="C748" s="8" t="s">
        <v>28</v>
      </c>
      <c r="D748" s="8" t="s">
        <v>25</v>
      </c>
      <c r="E748" s="8" t="s">
        <v>22</v>
      </c>
      <c r="F748" s="9">
        <v>450</v>
      </c>
      <c r="G748" s="9">
        <v>433</v>
      </c>
      <c r="H748" s="9">
        <v>24</v>
      </c>
      <c r="I748" s="9">
        <f t="shared" si="99"/>
        <v>409</v>
      </c>
      <c r="J748" s="9">
        <v>38</v>
      </c>
      <c r="K748" s="10">
        <f t="shared" si="100"/>
        <v>7.9166666666666663E-2</v>
      </c>
      <c r="L748" s="17">
        <v>100</v>
      </c>
      <c r="M748" s="17">
        <v>30800</v>
      </c>
      <c r="N748" s="17">
        <f t="shared" si="101"/>
        <v>40900</v>
      </c>
      <c r="O748" s="17">
        <f t="shared" si="102"/>
        <v>10100</v>
      </c>
      <c r="P748" s="10">
        <f t="shared" si="103"/>
        <v>0.9622222222222222</v>
      </c>
      <c r="Q748" s="10">
        <f t="shared" si="104"/>
        <v>5.5427251732101619E-2</v>
      </c>
      <c r="R748" s="10">
        <f t="shared" si="105"/>
        <v>0.24694376528117359</v>
      </c>
      <c r="S748" s="18">
        <f t="shared" si="106"/>
        <v>75.30562347188264</v>
      </c>
      <c r="T748" s="8">
        <f>480-ProductionData[[#This Row],[Downtime Minutes]]</f>
        <v>442</v>
      </c>
      <c r="U748" s="11">
        <f t="shared" si="107"/>
        <v>0.97963800904977372</v>
      </c>
      <c r="V748" s="18">
        <f>ProductionData[[#This Row],[Profit]]/ProductionData[[#This Row],[Good Units]]</f>
        <v>24.69437652811736</v>
      </c>
      <c r="W748" s="11">
        <f>ProductionData[[#This Row],[Good Units]]/ProductionData[[#This Row],[Operating Minutes]]</f>
        <v>0.92533936651583715</v>
      </c>
    </row>
    <row r="749" spans="1:23">
      <c r="A749" s="7">
        <v>46287</v>
      </c>
      <c r="B749" s="8" t="s">
        <v>30</v>
      </c>
      <c r="C749" s="8" t="s">
        <v>20</v>
      </c>
      <c r="D749" s="8" t="s">
        <v>21</v>
      </c>
      <c r="E749" s="8" t="s">
        <v>22</v>
      </c>
      <c r="F749" s="9">
        <v>460</v>
      </c>
      <c r="G749" s="9">
        <v>443</v>
      </c>
      <c r="H749" s="9">
        <v>19</v>
      </c>
      <c r="I749" s="9">
        <f t="shared" si="99"/>
        <v>424</v>
      </c>
      <c r="J749" s="9">
        <v>44</v>
      </c>
      <c r="K749" s="10">
        <f t="shared" si="100"/>
        <v>9.166666666666666E-2</v>
      </c>
      <c r="L749" s="17">
        <v>100</v>
      </c>
      <c r="M749" s="17">
        <v>30800</v>
      </c>
      <c r="N749" s="17">
        <f t="shared" si="101"/>
        <v>42400</v>
      </c>
      <c r="O749" s="17">
        <f t="shared" si="102"/>
        <v>11600</v>
      </c>
      <c r="P749" s="10">
        <f t="shared" si="103"/>
        <v>0.96304347826086956</v>
      </c>
      <c r="Q749" s="10">
        <f t="shared" si="104"/>
        <v>4.2889390519187359E-2</v>
      </c>
      <c r="R749" s="10">
        <f t="shared" si="105"/>
        <v>0.27358490566037735</v>
      </c>
      <c r="S749" s="18">
        <f t="shared" si="106"/>
        <v>72.64150943396227</v>
      </c>
      <c r="T749" s="8">
        <f>480-ProductionData[[#This Row],[Downtime Minutes]]</f>
        <v>436</v>
      </c>
      <c r="U749" s="11">
        <f t="shared" si="107"/>
        <v>1.0160550458715596</v>
      </c>
      <c r="V749" s="18">
        <f>ProductionData[[#This Row],[Profit]]/ProductionData[[#This Row],[Good Units]]</f>
        <v>27.358490566037737</v>
      </c>
      <c r="W749" s="11">
        <f>ProductionData[[#This Row],[Good Units]]/ProductionData[[#This Row],[Operating Minutes]]</f>
        <v>0.97247706422018354</v>
      </c>
    </row>
    <row r="750" spans="1:23">
      <c r="A750" s="7">
        <v>46287</v>
      </c>
      <c r="B750" s="8" t="s">
        <v>30</v>
      </c>
      <c r="C750" s="8" t="s">
        <v>20</v>
      </c>
      <c r="D750" s="8" t="s">
        <v>23</v>
      </c>
      <c r="E750" s="8" t="s">
        <v>24</v>
      </c>
      <c r="F750" s="9">
        <v>400</v>
      </c>
      <c r="G750" s="9">
        <v>386</v>
      </c>
      <c r="H750" s="9">
        <v>15</v>
      </c>
      <c r="I750" s="9">
        <f t="shared" si="99"/>
        <v>371</v>
      </c>
      <c r="J750" s="9">
        <v>42</v>
      </c>
      <c r="K750" s="10">
        <f t="shared" si="100"/>
        <v>8.7499999999999994E-2</v>
      </c>
      <c r="L750" s="17">
        <v>120</v>
      </c>
      <c r="M750" s="17">
        <v>30800</v>
      </c>
      <c r="N750" s="17">
        <f t="shared" si="101"/>
        <v>44520</v>
      </c>
      <c r="O750" s="17">
        <f t="shared" si="102"/>
        <v>13720</v>
      </c>
      <c r="P750" s="10">
        <f t="shared" si="103"/>
        <v>0.96499999999999997</v>
      </c>
      <c r="Q750" s="10">
        <f t="shared" si="104"/>
        <v>3.8860103626943004E-2</v>
      </c>
      <c r="R750" s="10">
        <f t="shared" si="105"/>
        <v>0.3081761006289308</v>
      </c>
      <c r="S750" s="18">
        <f t="shared" si="106"/>
        <v>83.018867924528308</v>
      </c>
      <c r="T750" s="8">
        <f>480-ProductionData[[#This Row],[Downtime Minutes]]</f>
        <v>438</v>
      </c>
      <c r="U750" s="11">
        <f t="shared" si="107"/>
        <v>0.88127853881278539</v>
      </c>
      <c r="V750" s="18">
        <f>ProductionData[[#This Row],[Profit]]/ProductionData[[#This Row],[Good Units]]</f>
        <v>36.981132075471699</v>
      </c>
      <c r="W750" s="11">
        <f>ProductionData[[#This Row],[Good Units]]/ProductionData[[#This Row],[Operating Minutes]]</f>
        <v>0.84703196347031962</v>
      </c>
    </row>
    <row r="751" spans="1:23">
      <c r="A751" s="7">
        <v>46287</v>
      </c>
      <c r="B751" s="8" t="s">
        <v>30</v>
      </c>
      <c r="C751" s="8" t="s">
        <v>20</v>
      </c>
      <c r="D751" s="8" t="s">
        <v>25</v>
      </c>
      <c r="E751" s="8" t="s">
        <v>26</v>
      </c>
      <c r="F751" s="9">
        <v>490</v>
      </c>
      <c r="G751" s="9">
        <v>447</v>
      </c>
      <c r="H751" s="9">
        <v>22</v>
      </c>
      <c r="I751" s="9">
        <f t="shared" si="99"/>
        <v>425</v>
      </c>
      <c r="J751" s="9">
        <v>49</v>
      </c>
      <c r="K751" s="10">
        <f t="shared" si="100"/>
        <v>0.10208333333333333</v>
      </c>
      <c r="L751" s="17">
        <v>90</v>
      </c>
      <c r="M751" s="17">
        <v>30800</v>
      </c>
      <c r="N751" s="17">
        <f t="shared" si="101"/>
        <v>38250</v>
      </c>
      <c r="O751" s="17">
        <f t="shared" si="102"/>
        <v>7450</v>
      </c>
      <c r="P751" s="10">
        <f t="shared" si="103"/>
        <v>0.91224489795918362</v>
      </c>
      <c r="Q751" s="10">
        <f t="shared" si="104"/>
        <v>4.9217002237136466E-2</v>
      </c>
      <c r="R751" s="10">
        <f t="shared" si="105"/>
        <v>0.19477124183006536</v>
      </c>
      <c r="S751" s="18">
        <f t="shared" si="106"/>
        <v>72.470588235294116</v>
      </c>
      <c r="T751" s="8">
        <f>480-ProductionData[[#This Row],[Downtime Minutes]]</f>
        <v>431</v>
      </c>
      <c r="U751" s="11">
        <f t="shared" si="107"/>
        <v>1.037122969837587</v>
      </c>
      <c r="V751" s="18">
        <f>ProductionData[[#This Row],[Profit]]/ProductionData[[#This Row],[Good Units]]</f>
        <v>17.529411764705884</v>
      </c>
      <c r="W751" s="11">
        <f>ProductionData[[#This Row],[Good Units]]/ProductionData[[#This Row],[Operating Minutes]]</f>
        <v>0.9860788863109049</v>
      </c>
    </row>
    <row r="752" spans="1:23">
      <c r="A752" s="7">
        <v>46287</v>
      </c>
      <c r="B752" s="8" t="s">
        <v>30</v>
      </c>
      <c r="C752" s="8" t="s">
        <v>27</v>
      </c>
      <c r="D752" s="8" t="s">
        <v>21</v>
      </c>
      <c r="E752" s="8" t="s">
        <v>24</v>
      </c>
      <c r="F752" s="9">
        <v>410</v>
      </c>
      <c r="G752" s="9">
        <v>363</v>
      </c>
      <c r="H752" s="9">
        <v>18</v>
      </c>
      <c r="I752" s="9">
        <f t="shared" si="99"/>
        <v>345</v>
      </c>
      <c r="J752" s="9">
        <v>46</v>
      </c>
      <c r="K752" s="10">
        <f t="shared" si="100"/>
        <v>9.583333333333334E-2</v>
      </c>
      <c r="L752" s="17">
        <v>120</v>
      </c>
      <c r="M752" s="17">
        <v>30800</v>
      </c>
      <c r="N752" s="17">
        <f t="shared" si="101"/>
        <v>41400</v>
      </c>
      <c r="O752" s="17">
        <f t="shared" si="102"/>
        <v>10600</v>
      </c>
      <c r="P752" s="10">
        <f t="shared" si="103"/>
        <v>0.88536585365853659</v>
      </c>
      <c r="Q752" s="10">
        <f t="shared" si="104"/>
        <v>4.9586776859504134E-2</v>
      </c>
      <c r="R752" s="10">
        <f t="shared" si="105"/>
        <v>0.2560386473429952</v>
      </c>
      <c r="S752" s="18">
        <f t="shared" si="106"/>
        <v>89.275362318840578</v>
      </c>
      <c r="T752" s="8">
        <f>480-ProductionData[[#This Row],[Downtime Minutes]]</f>
        <v>434</v>
      </c>
      <c r="U752" s="11">
        <f t="shared" si="107"/>
        <v>0.83640552995391704</v>
      </c>
      <c r="V752" s="18">
        <f>ProductionData[[#This Row],[Profit]]/ProductionData[[#This Row],[Good Units]]</f>
        <v>30.724637681159422</v>
      </c>
      <c r="W752" s="11">
        <f>ProductionData[[#This Row],[Good Units]]/ProductionData[[#This Row],[Operating Minutes]]</f>
        <v>0.79493087557603692</v>
      </c>
    </row>
    <row r="753" spans="1:23">
      <c r="A753" s="7">
        <v>46287</v>
      </c>
      <c r="B753" s="8" t="s">
        <v>30</v>
      </c>
      <c r="C753" s="8" t="s">
        <v>27</v>
      </c>
      <c r="D753" s="8" t="s">
        <v>23</v>
      </c>
      <c r="E753" s="8" t="s">
        <v>26</v>
      </c>
      <c r="F753" s="9">
        <v>480</v>
      </c>
      <c r="G753" s="9">
        <v>425</v>
      </c>
      <c r="H753" s="9">
        <v>25</v>
      </c>
      <c r="I753" s="9">
        <f t="shared" si="99"/>
        <v>400</v>
      </c>
      <c r="J753" s="9">
        <v>47</v>
      </c>
      <c r="K753" s="10">
        <f t="shared" si="100"/>
        <v>9.7916666666666666E-2</v>
      </c>
      <c r="L753" s="17">
        <v>90</v>
      </c>
      <c r="M753" s="17">
        <v>30800</v>
      </c>
      <c r="N753" s="17">
        <f t="shared" si="101"/>
        <v>36000</v>
      </c>
      <c r="O753" s="17">
        <f t="shared" si="102"/>
        <v>5200</v>
      </c>
      <c r="P753" s="10">
        <f t="shared" si="103"/>
        <v>0.88541666666666663</v>
      </c>
      <c r="Q753" s="10">
        <f t="shared" si="104"/>
        <v>5.8823529411764705E-2</v>
      </c>
      <c r="R753" s="10">
        <f t="shared" si="105"/>
        <v>0.14444444444444443</v>
      </c>
      <c r="S753" s="18">
        <f t="shared" si="106"/>
        <v>77</v>
      </c>
      <c r="T753" s="8">
        <f>480-ProductionData[[#This Row],[Downtime Minutes]]</f>
        <v>433</v>
      </c>
      <c r="U753" s="11">
        <f t="shared" si="107"/>
        <v>0.98152424942263283</v>
      </c>
      <c r="V753" s="18">
        <f>ProductionData[[#This Row],[Profit]]/ProductionData[[#This Row],[Good Units]]</f>
        <v>13</v>
      </c>
      <c r="W753" s="11">
        <f>ProductionData[[#This Row],[Good Units]]/ProductionData[[#This Row],[Operating Minutes]]</f>
        <v>0.92378752886836024</v>
      </c>
    </row>
    <row r="754" spans="1:23">
      <c r="A754" s="7">
        <v>46287</v>
      </c>
      <c r="B754" s="8" t="s">
        <v>30</v>
      </c>
      <c r="C754" s="8" t="s">
        <v>27</v>
      </c>
      <c r="D754" s="8" t="s">
        <v>25</v>
      </c>
      <c r="E754" s="8" t="s">
        <v>22</v>
      </c>
      <c r="F754" s="9">
        <v>460</v>
      </c>
      <c r="G754" s="9">
        <v>393</v>
      </c>
      <c r="H754" s="9">
        <v>28</v>
      </c>
      <c r="I754" s="9">
        <f t="shared" si="99"/>
        <v>365</v>
      </c>
      <c r="J754" s="9">
        <v>63</v>
      </c>
      <c r="K754" s="10">
        <f t="shared" si="100"/>
        <v>0.13125000000000001</v>
      </c>
      <c r="L754" s="17">
        <v>100</v>
      </c>
      <c r="M754" s="17">
        <v>30800</v>
      </c>
      <c r="N754" s="17">
        <f t="shared" si="101"/>
        <v>36500</v>
      </c>
      <c r="O754" s="17">
        <f t="shared" si="102"/>
        <v>5700</v>
      </c>
      <c r="P754" s="10">
        <f t="shared" si="103"/>
        <v>0.85434782608695647</v>
      </c>
      <c r="Q754" s="10">
        <f t="shared" si="104"/>
        <v>7.124681933842239E-2</v>
      </c>
      <c r="R754" s="10">
        <f t="shared" si="105"/>
        <v>0.15616438356164383</v>
      </c>
      <c r="S754" s="18">
        <f t="shared" si="106"/>
        <v>84.38356164383562</v>
      </c>
      <c r="T754" s="8">
        <f>480-ProductionData[[#This Row],[Downtime Minutes]]</f>
        <v>417</v>
      </c>
      <c r="U754" s="11">
        <f t="shared" si="107"/>
        <v>0.94244604316546765</v>
      </c>
      <c r="V754" s="18">
        <f>ProductionData[[#This Row],[Profit]]/ProductionData[[#This Row],[Good Units]]</f>
        <v>15.616438356164384</v>
      </c>
      <c r="W754" s="11">
        <f>ProductionData[[#This Row],[Good Units]]/ProductionData[[#This Row],[Operating Minutes]]</f>
        <v>0.87529976019184652</v>
      </c>
    </row>
    <row r="755" spans="1:23">
      <c r="A755" s="7">
        <v>46287</v>
      </c>
      <c r="B755" s="8" t="s">
        <v>30</v>
      </c>
      <c r="C755" s="8" t="s">
        <v>28</v>
      </c>
      <c r="D755" s="8" t="s">
        <v>21</v>
      </c>
      <c r="E755" s="8" t="s">
        <v>26</v>
      </c>
      <c r="F755" s="9">
        <v>510</v>
      </c>
      <c r="G755" s="9">
        <v>496</v>
      </c>
      <c r="H755" s="9">
        <v>16</v>
      </c>
      <c r="I755" s="9">
        <f t="shared" si="99"/>
        <v>480</v>
      </c>
      <c r="J755" s="9">
        <v>23</v>
      </c>
      <c r="K755" s="10">
        <f t="shared" si="100"/>
        <v>4.791666666666667E-2</v>
      </c>
      <c r="L755" s="17">
        <v>90</v>
      </c>
      <c r="M755" s="17">
        <v>30800</v>
      </c>
      <c r="N755" s="17">
        <f t="shared" si="101"/>
        <v>43200</v>
      </c>
      <c r="O755" s="17">
        <f t="shared" si="102"/>
        <v>12400</v>
      </c>
      <c r="P755" s="10">
        <f t="shared" si="103"/>
        <v>0.97254901960784312</v>
      </c>
      <c r="Q755" s="10">
        <f t="shared" si="104"/>
        <v>3.2258064516129031E-2</v>
      </c>
      <c r="R755" s="10">
        <f t="shared" si="105"/>
        <v>0.28703703703703703</v>
      </c>
      <c r="S755" s="18">
        <f t="shared" si="106"/>
        <v>64.166666666666671</v>
      </c>
      <c r="T755" s="8">
        <f>480-ProductionData[[#This Row],[Downtime Minutes]]</f>
        <v>457</v>
      </c>
      <c r="U755" s="11">
        <f t="shared" si="107"/>
        <v>1.0853391684901532</v>
      </c>
      <c r="V755" s="18">
        <f>ProductionData[[#This Row],[Profit]]/ProductionData[[#This Row],[Good Units]]</f>
        <v>25.833333333333332</v>
      </c>
      <c r="W755" s="11">
        <f>ProductionData[[#This Row],[Good Units]]/ProductionData[[#This Row],[Operating Minutes]]</f>
        <v>1.0503282275711159</v>
      </c>
    </row>
    <row r="756" spans="1:23">
      <c r="A756" s="7">
        <v>46287</v>
      </c>
      <c r="B756" s="8" t="s">
        <v>30</v>
      </c>
      <c r="C756" s="8" t="s">
        <v>28</v>
      </c>
      <c r="D756" s="8" t="s">
        <v>23</v>
      </c>
      <c r="E756" s="8" t="s">
        <v>22</v>
      </c>
      <c r="F756" s="9">
        <v>470</v>
      </c>
      <c r="G756" s="9">
        <v>441</v>
      </c>
      <c r="H756" s="9">
        <v>22</v>
      </c>
      <c r="I756" s="9">
        <f t="shared" si="99"/>
        <v>419</v>
      </c>
      <c r="J756" s="9">
        <v>38</v>
      </c>
      <c r="K756" s="10">
        <f t="shared" si="100"/>
        <v>7.9166666666666663E-2</v>
      </c>
      <c r="L756" s="17">
        <v>100</v>
      </c>
      <c r="M756" s="17">
        <v>30800</v>
      </c>
      <c r="N756" s="17">
        <f t="shared" si="101"/>
        <v>41900</v>
      </c>
      <c r="O756" s="17">
        <f t="shared" si="102"/>
        <v>11100</v>
      </c>
      <c r="P756" s="10">
        <f t="shared" si="103"/>
        <v>0.9382978723404255</v>
      </c>
      <c r="Q756" s="10">
        <f t="shared" si="104"/>
        <v>4.9886621315192746E-2</v>
      </c>
      <c r="R756" s="10">
        <f t="shared" si="105"/>
        <v>0.2649164677804296</v>
      </c>
      <c r="S756" s="18">
        <f t="shared" si="106"/>
        <v>73.508353221957037</v>
      </c>
      <c r="T756" s="8">
        <f>480-ProductionData[[#This Row],[Downtime Minutes]]</f>
        <v>442</v>
      </c>
      <c r="U756" s="11">
        <f t="shared" si="107"/>
        <v>0.99773755656108598</v>
      </c>
      <c r="V756" s="18">
        <f>ProductionData[[#This Row],[Profit]]/ProductionData[[#This Row],[Good Units]]</f>
        <v>26.491646778042959</v>
      </c>
      <c r="W756" s="11">
        <f>ProductionData[[#This Row],[Good Units]]/ProductionData[[#This Row],[Operating Minutes]]</f>
        <v>0.94796380090497734</v>
      </c>
    </row>
    <row r="757" spans="1:23">
      <c r="A757" s="7">
        <v>46287</v>
      </c>
      <c r="B757" s="8" t="s">
        <v>30</v>
      </c>
      <c r="C757" s="8" t="s">
        <v>28</v>
      </c>
      <c r="D757" s="8" t="s">
        <v>25</v>
      </c>
      <c r="E757" s="8" t="s">
        <v>24</v>
      </c>
      <c r="F757" s="9">
        <v>410</v>
      </c>
      <c r="G757" s="9">
        <v>380</v>
      </c>
      <c r="H757" s="9">
        <v>12</v>
      </c>
      <c r="I757" s="9">
        <f t="shared" si="99"/>
        <v>368</v>
      </c>
      <c r="J757" s="9">
        <v>24</v>
      </c>
      <c r="K757" s="10">
        <f t="shared" si="100"/>
        <v>0.05</v>
      </c>
      <c r="L757" s="17">
        <v>120</v>
      </c>
      <c r="M757" s="17">
        <v>30800</v>
      </c>
      <c r="N757" s="17">
        <f t="shared" si="101"/>
        <v>44160</v>
      </c>
      <c r="O757" s="17">
        <f t="shared" si="102"/>
        <v>13360</v>
      </c>
      <c r="P757" s="10">
        <f t="shared" si="103"/>
        <v>0.92682926829268297</v>
      </c>
      <c r="Q757" s="10">
        <f t="shared" si="104"/>
        <v>3.1578947368421054E-2</v>
      </c>
      <c r="R757" s="10">
        <f t="shared" si="105"/>
        <v>0.30253623188405798</v>
      </c>
      <c r="S757" s="18">
        <f t="shared" si="106"/>
        <v>83.695652173913047</v>
      </c>
      <c r="T757" s="8">
        <f>480-ProductionData[[#This Row],[Downtime Minutes]]</f>
        <v>456</v>
      </c>
      <c r="U757" s="11">
        <f t="shared" si="107"/>
        <v>0.83333333333333337</v>
      </c>
      <c r="V757" s="18">
        <f>ProductionData[[#This Row],[Profit]]/ProductionData[[#This Row],[Good Units]]</f>
        <v>36.304347826086953</v>
      </c>
      <c r="W757" s="11">
        <f>ProductionData[[#This Row],[Good Units]]/ProductionData[[#This Row],[Operating Minutes]]</f>
        <v>0.80701754385964908</v>
      </c>
    </row>
    <row r="758" spans="1:23">
      <c r="A758" s="7">
        <v>46288</v>
      </c>
      <c r="B758" s="8" t="s">
        <v>30</v>
      </c>
      <c r="C758" s="8" t="s">
        <v>20</v>
      </c>
      <c r="D758" s="8" t="s">
        <v>21</v>
      </c>
      <c r="E758" s="8" t="s">
        <v>24</v>
      </c>
      <c r="F758" s="9">
        <v>390</v>
      </c>
      <c r="G758" s="9">
        <v>365</v>
      </c>
      <c r="H758" s="9">
        <v>10</v>
      </c>
      <c r="I758" s="9">
        <f t="shared" si="99"/>
        <v>355</v>
      </c>
      <c r="J758" s="9">
        <v>36</v>
      </c>
      <c r="K758" s="10">
        <f t="shared" si="100"/>
        <v>7.4999999999999997E-2</v>
      </c>
      <c r="L758" s="17">
        <v>120</v>
      </c>
      <c r="M758" s="17">
        <v>30800</v>
      </c>
      <c r="N758" s="17">
        <f t="shared" si="101"/>
        <v>42600</v>
      </c>
      <c r="O758" s="17">
        <f t="shared" si="102"/>
        <v>11800</v>
      </c>
      <c r="P758" s="10">
        <f t="shared" si="103"/>
        <v>0.9358974358974359</v>
      </c>
      <c r="Q758" s="10">
        <f t="shared" si="104"/>
        <v>2.7397260273972601E-2</v>
      </c>
      <c r="R758" s="10">
        <f t="shared" si="105"/>
        <v>0.27699530516431925</v>
      </c>
      <c r="S758" s="18">
        <f t="shared" si="106"/>
        <v>86.760563380281695</v>
      </c>
      <c r="T758" s="8">
        <f>480-ProductionData[[#This Row],[Downtime Minutes]]</f>
        <v>444</v>
      </c>
      <c r="U758" s="11">
        <f t="shared" si="107"/>
        <v>0.82207207207207211</v>
      </c>
      <c r="V758" s="18">
        <f>ProductionData[[#This Row],[Profit]]/ProductionData[[#This Row],[Good Units]]</f>
        <v>33.239436619718312</v>
      </c>
      <c r="W758" s="11">
        <f>ProductionData[[#This Row],[Good Units]]/ProductionData[[#This Row],[Operating Minutes]]</f>
        <v>0.7995495495495496</v>
      </c>
    </row>
    <row r="759" spans="1:23">
      <c r="A759" s="7">
        <v>46288</v>
      </c>
      <c r="B759" s="8" t="s">
        <v>30</v>
      </c>
      <c r="C759" s="8" t="s">
        <v>20</v>
      </c>
      <c r="D759" s="8" t="s">
        <v>23</v>
      </c>
      <c r="E759" s="8" t="s">
        <v>26</v>
      </c>
      <c r="F759" s="9">
        <v>490</v>
      </c>
      <c r="G759" s="9">
        <v>474</v>
      </c>
      <c r="H759" s="9">
        <v>15</v>
      </c>
      <c r="I759" s="9">
        <f t="shared" si="99"/>
        <v>459</v>
      </c>
      <c r="J759" s="9">
        <v>22</v>
      </c>
      <c r="K759" s="10">
        <f t="shared" si="100"/>
        <v>4.583333333333333E-2</v>
      </c>
      <c r="L759" s="17">
        <v>90</v>
      </c>
      <c r="M759" s="17">
        <v>30800</v>
      </c>
      <c r="N759" s="17">
        <f t="shared" si="101"/>
        <v>41310</v>
      </c>
      <c r="O759" s="17">
        <f t="shared" si="102"/>
        <v>10510</v>
      </c>
      <c r="P759" s="10">
        <f t="shared" si="103"/>
        <v>0.96734693877551026</v>
      </c>
      <c r="Q759" s="10">
        <f t="shared" si="104"/>
        <v>3.1645569620253167E-2</v>
      </c>
      <c r="R759" s="10">
        <f t="shared" si="105"/>
        <v>0.25441781650931977</v>
      </c>
      <c r="S759" s="18">
        <f t="shared" si="106"/>
        <v>67.102396514161214</v>
      </c>
      <c r="T759" s="8">
        <f>480-ProductionData[[#This Row],[Downtime Minutes]]</f>
        <v>458</v>
      </c>
      <c r="U759" s="11">
        <f t="shared" si="107"/>
        <v>1.034934497816594</v>
      </c>
      <c r="V759" s="18">
        <f>ProductionData[[#This Row],[Profit]]/ProductionData[[#This Row],[Good Units]]</f>
        <v>22.897603485838779</v>
      </c>
      <c r="W759" s="11">
        <f>ProductionData[[#This Row],[Good Units]]/ProductionData[[#This Row],[Operating Minutes]]</f>
        <v>1.0021834061135371</v>
      </c>
    </row>
    <row r="760" spans="1:23">
      <c r="A760" s="7">
        <v>46288</v>
      </c>
      <c r="B760" s="8" t="s">
        <v>30</v>
      </c>
      <c r="C760" s="8" t="s">
        <v>20</v>
      </c>
      <c r="D760" s="8" t="s">
        <v>25</v>
      </c>
      <c r="E760" s="8" t="s">
        <v>22</v>
      </c>
      <c r="F760" s="9">
        <v>440</v>
      </c>
      <c r="G760" s="9">
        <v>415</v>
      </c>
      <c r="H760" s="9">
        <v>22</v>
      </c>
      <c r="I760" s="9">
        <f t="shared" si="99"/>
        <v>393</v>
      </c>
      <c r="J760" s="9">
        <v>37</v>
      </c>
      <c r="K760" s="10">
        <f t="shared" si="100"/>
        <v>7.7083333333333337E-2</v>
      </c>
      <c r="L760" s="17">
        <v>100</v>
      </c>
      <c r="M760" s="17">
        <v>30800</v>
      </c>
      <c r="N760" s="17">
        <f t="shared" si="101"/>
        <v>39300</v>
      </c>
      <c r="O760" s="17">
        <f t="shared" si="102"/>
        <v>8500</v>
      </c>
      <c r="P760" s="10">
        <f t="shared" si="103"/>
        <v>0.94318181818181823</v>
      </c>
      <c r="Q760" s="10">
        <f t="shared" si="104"/>
        <v>5.3012048192771083E-2</v>
      </c>
      <c r="R760" s="10">
        <f t="shared" si="105"/>
        <v>0.21628498727735368</v>
      </c>
      <c r="S760" s="18">
        <f t="shared" si="106"/>
        <v>78.371501272264638</v>
      </c>
      <c r="T760" s="8">
        <f>480-ProductionData[[#This Row],[Downtime Minutes]]</f>
        <v>443</v>
      </c>
      <c r="U760" s="11">
        <f t="shared" si="107"/>
        <v>0.93679458239277658</v>
      </c>
      <c r="V760" s="18">
        <f>ProductionData[[#This Row],[Profit]]/ProductionData[[#This Row],[Good Units]]</f>
        <v>21.628498727735369</v>
      </c>
      <c r="W760" s="11">
        <f>ProductionData[[#This Row],[Good Units]]/ProductionData[[#This Row],[Operating Minutes]]</f>
        <v>0.88713318284424381</v>
      </c>
    </row>
    <row r="761" spans="1:23">
      <c r="A761" s="7">
        <v>46288</v>
      </c>
      <c r="B761" s="8" t="s">
        <v>30</v>
      </c>
      <c r="C761" s="8" t="s">
        <v>27</v>
      </c>
      <c r="D761" s="8" t="s">
        <v>21</v>
      </c>
      <c r="E761" s="8" t="s">
        <v>26</v>
      </c>
      <c r="F761" s="9">
        <v>500</v>
      </c>
      <c r="G761" s="9">
        <v>444</v>
      </c>
      <c r="H761" s="9">
        <v>24</v>
      </c>
      <c r="I761" s="9">
        <f t="shared" si="99"/>
        <v>420</v>
      </c>
      <c r="J761" s="9">
        <v>49</v>
      </c>
      <c r="K761" s="10">
        <f t="shared" si="100"/>
        <v>0.10208333333333333</v>
      </c>
      <c r="L761" s="17">
        <v>90</v>
      </c>
      <c r="M761" s="17">
        <v>30800</v>
      </c>
      <c r="N761" s="17">
        <f t="shared" si="101"/>
        <v>37800</v>
      </c>
      <c r="O761" s="17">
        <f t="shared" si="102"/>
        <v>7000</v>
      </c>
      <c r="P761" s="10">
        <f t="shared" si="103"/>
        <v>0.88800000000000001</v>
      </c>
      <c r="Q761" s="10">
        <f t="shared" si="104"/>
        <v>5.4054054054054057E-2</v>
      </c>
      <c r="R761" s="10">
        <f t="shared" si="105"/>
        <v>0.18518518518518517</v>
      </c>
      <c r="S761" s="18">
        <f t="shared" si="106"/>
        <v>73.333333333333329</v>
      </c>
      <c r="T761" s="8">
        <f>480-ProductionData[[#This Row],[Downtime Minutes]]</f>
        <v>431</v>
      </c>
      <c r="U761" s="11">
        <f t="shared" si="107"/>
        <v>1.0301624129930393</v>
      </c>
      <c r="V761" s="18">
        <f>ProductionData[[#This Row],[Profit]]/ProductionData[[#This Row],[Good Units]]</f>
        <v>16.666666666666668</v>
      </c>
      <c r="W761" s="11">
        <f>ProductionData[[#This Row],[Good Units]]/ProductionData[[#This Row],[Operating Minutes]]</f>
        <v>0.97447795823665895</v>
      </c>
    </row>
    <row r="762" spans="1:23">
      <c r="A762" s="7">
        <v>46288</v>
      </c>
      <c r="B762" s="8" t="s">
        <v>30</v>
      </c>
      <c r="C762" s="8" t="s">
        <v>27</v>
      </c>
      <c r="D762" s="8" t="s">
        <v>23</v>
      </c>
      <c r="E762" s="8" t="s">
        <v>22</v>
      </c>
      <c r="F762" s="9">
        <v>450</v>
      </c>
      <c r="G762" s="9">
        <v>410</v>
      </c>
      <c r="H762" s="9">
        <v>25</v>
      </c>
      <c r="I762" s="9">
        <f t="shared" si="99"/>
        <v>385</v>
      </c>
      <c r="J762" s="9">
        <v>67</v>
      </c>
      <c r="K762" s="10">
        <f t="shared" si="100"/>
        <v>0.13958333333333334</v>
      </c>
      <c r="L762" s="17">
        <v>100</v>
      </c>
      <c r="M762" s="17">
        <v>30800</v>
      </c>
      <c r="N762" s="17">
        <f t="shared" si="101"/>
        <v>38500</v>
      </c>
      <c r="O762" s="17">
        <f t="shared" si="102"/>
        <v>7700</v>
      </c>
      <c r="P762" s="10">
        <f t="shared" si="103"/>
        <v>0.91111111111111109</v>
      </c>
      <c r="Q762" s="10">
        <f t="shared" si="104"/>
        <v>6.097560975609756E-2</v>
      </c>
      <c r="R762" s="10">
        <f t="shared" si="105"/>
        <v>0.2</v>
      </c>
      <c r="S762" s="18">
        <f t="shared" si="106"/>
        <v>80</v>
      </c>
      <c r="T762" s="8">
        <f>480-ProductionData[[#This Row],[Downtime Minutes]]</f>
        <v>413</v>
      </c>
      <c r="U762" s="11">
        <f t="shared" si="107"/>
        <v>0.99273607748184023</v>
      </c>
      <c r="V762" s="18">
        <f>ProductionData[[#This Row],[Profit]]/ProductionData[[#This Row],[Good Units]]</f>
        <v>20</v>
      </c>
      <c r="W762" s="11">
        <f>ProductionData[[#This Row],[Good Units]]/ProductionData[[#This Row],[Operating Minutes]]</f>
        <v>0.93220338983050843</v>
      </c>
    </row>
    <row r="763" spans="1:23">
      <c r="A763" s="7">
        <v>46288</v>
      </c>
      <c r="B763" s="8" t="s">
        <v>30</v>
      </c>
      <c r="C763" s="8" t="s">
        <v>27</v>
      </c>
      <c r="D763" s="8" t="s">
        <v>25</v>
      </c>
      <c r="E763" s="8" t="s">
        <v>24</v>
      </c>
      <c r="F763" s="9">
        <v>400</v>
      </c>
      <c r="G763" s="9">
        <v>344</v>
      </c>
      <c r="H763" s="9">
        <v>23</v>
      </c>
      <c r="I763" s="9">
        <f t="shared" si="99"/>
        <v>321</v>
      </c>
      <c r="J763" s="9">
        <v>61</v>
      </c>
      <c r="K763" s="10">
        <f t="shared" si="100"/>
        <v>0.12708333333333333</v>
      </c>
      <c r="L763" s="17">
        <v>120</v>
      </c>
      <c r="M763" s="17">
        <v>30800</v>
      </c>
      <c r="N763" s="17">
        <f t="shared" si="101"/>
        <v>38520</v>
      </c>
      <c r="O763" s="17">
        <f t="shared" si="102"/>
        <v>7720</v>
      </c>
      <c r="P763" s="10">
        <f t="shared" si="103"/>
        <v>0.86</v>
      </c>
      <c r="Q763" s="10">
        <f t="shared" si="104"/>
        <v>6.6860465116279064E-2</v>
      </c>
      <c r="R763" s="10">
        <f t="shared" si="105"/>
        <v>0.20041536863966772</v>
      </c>
      <c r="S763" s="18">
        <f t="shared" si="106"/>
        <v>95.950155763239877</v>
      </c>
      <c r="T763" s="8">
        <f>480-ProductionData[[#This Row],[Downtime Minutes]]</f>
        <v>419</v>
      </c>
      <c r="U763" s="11">
        <f t="shared" si="107"/>
        <v>0.82100238663484482</v>
      </c>
      <c r="V763" s="18">
        <f>ProductionData[[#This Row],[Profit]]/ProductionData[[#This Row],[Good Units]]</f>
        <v>24.049844236760123</v>
      </c>
      <c r="W763" s="11">
        <f>ProductionData[[#This Row],[Good Units]]/ProductionData[[#This Row],[Operating Minutes]]</f>
        <v>0.76610978520286399</v>
      </c>
    </row>
    <row r="764" spans="1:23">
      <c r="A764" s="7">
        <v>46288</v>
      </c>
      <c r="B764" s="8" t="s">
        <v>30</v>
      </c>
      <c r="C764" s="8" t="s">
        <v>28</v>
      </c>
      <c r="D764" s="8" t="s">
        <v>21</v>
      </c>
      <c r="E764" s="8" t="s">
        <v>22</v>
      </c>
      <c r="F764" s="9">
        <v>430</v>
      </c>
      <c r="G764" s="9">
        <v>411</v>
      </c>
      <c r="H764" s="9">
        <v>15</v>
      </c>
      <c r="I764" s="9">
        <f t="shared" si="99"/>
        <v>396</v>
      </c>
      <c r="J764" s="9">
        <v>15</v>
      </c>
      <c r="K764" s="10">
        <f t="shared" si="100"/>
        <v>3.125E-2</v>
      </c>
      <c r="L764" s="17">
        <v>100</v>
      </c>
      <c r="M764" s="17">
        <v>30800</v>
      </c>
      <c r="N764" s="17">
        <f t="shared" si="101"/>
        <v>39600</v>
      </c>
      <c r="O764" s="17">
        <f t="shared" si="102"/>
        <v>8800</v>
      </c>
      <c r="P764" s="10">
        <f t="shared" si="103"/>
        <v>0.95581395348837206</v>
      </c>
      <c r="Q764" s="10">
        <f t="shared" si="104"/>
        <v>3.6496350364963501E-2</v>
      </c>
      <c r="R764" s="10">
        <f t="shared" si="105"/>
        <v>0.22222222222222221</v>
      </c>
      <c r="S764" s="18">
        <f t="shared" si="106"/>
        <v>77.777777777777771</v>
      </c>
      <c r="T764" s="8">
        <f>480-ProductionData[[#This Row],[Downtime Minutes]]</f>
        <v>465</v>
      </c>
      <c r="U764" s="11">
        <f t="shared" si="107"/>
        <v>0.88387096774193552</v>
      </c>
      <c r="V764" s="18">
        <f>ProductionData[[#This Row],[Profit]]/ProductionData[[#This Row],[Good Units]]</f>
        <v>22.222222222222221</v>
      </c>
      <c r="W764" s="11">
        <f>ProductionData[[#This Row],[Good Units]]/ProductionData[[#This Row],[Operating Minutes]]</f>
        <v>0.85161290322580641</v>
      </c>
    </row>
    <row r="765" spans="1:23">
      <c r="A765" s="7">
        <v>46288</v>
      </c>
      <c r="B765" s="8" t="s">
        <v>30</v>
      </c>
      <c r="C765" s="8" t="s">
        <v>28</v>
      </c>
      <c r="D765" s="8" t="s">
        <v>23</v>
      </c>
      <c r="E765" s="8" t="s">
        <v>24</v>
      </c>
      <c r="F765" s="9">
        <v>410</v>
      </c>
      <c r="G765" s="9">
        <v>396</v>
      </c>
      <c r="H765" s="9">
        <v>8</v>
      </c>
      <c r="I765" s="9">
        <f t="shared" si="99"/>
        <v>388</v>
      </c>
      <c r="J765" s="9">
        <v>17</v>
      </c>
      <c r="K765" s="10">
        <f t="shared" si="100"/>
        <v>3.5416666666666666E-2</v>
      </c>
      <c r="L765" s="17">
        <v>120</v>
      </c>
      <c r="M765" s="17">
        <v>30800</v>
      </c>
      <c r="N765" s="17">
        <f t="shared" si="101"/>
        <v>46560</v>
      </c>
      <c r="O765" s="17">
        <f t="shared" si="102"/>
        <v>15760</v>
      </c>
      <c r="P765" s="10">
        <f t="shared" si="103"/>
        <v>0.96585365853658534</v>
      </c>
      <c r="Q765" s="10">
        <f t="shared" si="104"/>
        <v>2.0202020202020204E-2</v>
      </c>
      <c r="R765" s="10">
        <f t="shared" si="105"/>
        <v>0.33848797250859108</v>
      </c>
      <c r="S765" s="18">
        <f t="shared" si="106"/>
        <v>79.381443298969074</v>
      </c>
      <c r="T765" s="8">
        <f>480-ProductionData[[#This Row],[Downtime Minutes]]</f>
        <v>463</v>
      </c>
      <c r="U765" s="11">
        <f t="shared" si="107"/>
        <v>0.85529157667386613</v>
      </c>
      <c r="V765" s="18">
        <f>ProductionData[[#This Row],[Profit]]/ProductionData[[#This Row],[Good Units]]</f>
        <v>40.618556701030926</v>
      </c>
      <c r="W765" s="11">
        <f>ProductionData[[#This Row],[Good Units]]/ProductionData[[#This Row],[Operating Minutes]]</f>
        <v>0.83801295896328298</v>
      </c>
    </row>
    <row r="766" spans="1:23">
      <c r="A766" s="7">
        <v>46288</v>
      </c>
      <c r="B766" s="8" t="s">
        <v>30</v>
      </c>
      <c r="C766" s="8" t="s">
        <v>28</v>
      </c>
      <c r="D766" s="8" t="s">
        <v>25</v>
      </c>
      <c r="E766" s="8" t="s">
        <v>26</v>
      </c>
      <c r="F766" s="9">
        <v>510</v>
      </c>
      <c r="G766" s="9">
        <v>468</v>
      </c>
      <c r="H766" s="9">
        <v>21</v>
      </c>
      <c r="I766" s="9">
        <f t="shared" si="99"/>
        <v>447</v>
      </c>
      <c r="J766" s="9">
        <v>27</v>
      </c>
      <c r="K766" s="10">
        <f t="shared" si="100"/>
        <v>5.6250000000000001E-2</v>
      </c>
      <c r="L766" s="17">
        <v>90</v>
      </c>
      <c r="M766" s="17">
        <v>30800</v>
      </c>
      <c r="N766" s="17">
        <f t="shared" si="101"/>
        <v>40230</v>
      </c>
      <c r="O766" s="17">
        <f t="shared" si="102"/>
        <v>9430</v>
      </c>
      <c r="P766" s="10">
        <f t="shared" si="103"/>
        <v>0.91764705882352937</v>
      </c>
      <c r="Q766" s="10">
        <f t="shared" si="104"/>
        <v>4.4871794871794872E-2</v>
      </c>
      <c r="R766" s="10">
        <f t="shared" si="105"/>
        <v>0.23440218742232166</v>
      </c>
      <c r="S766" s="18">
        <f t="shared" si="106"/>
        <v>68.903803131991054</v>
      </c>
      <c r="T766" s="8">
        <f>480-ProductionData[[#This Row],[Downtime Minutes]]</f>
        <v>453</v>
      </c>
      <c r="U766" s="11">
        <f t="shared" si="107"/>
        <v>1.0331125827814569</v>
      </c>
      <c r="V766" s="18">
        <f>ProductionData[[#This Row],[Profit]]/ProductionData[[#This Row],[Good Units]]</f>
        <v>21.096196868008949</v>
      </c>
      <c r="W766" s="11">
        <f>ProductionData[[#This Row],[Good Units]]/ProductionData[[#This Row],[Operating Minutes]]</f>
        <v>0.98675496688741726</v>
      </c>
    </row>
    <row r="767" spans="1:23">
      <c r="A767" s="7">
        <v>46289</v>
      </c>
      <c r="B767" s="8" t="s">
        <v>30</v>
      </c>
      <c r="C767" s="8" t="s">
        <v>20</v>
      </c>
      <c r="D767" s="8" t="s">
        <v>21</v>
      </c>
      <c r="E767" s="8" t="s">
        <v>26</v>
      </c>
      <c r="F767" s="9">
        <v>480</v>
      </c>
      <c r="G767" s="9">
        <v>459</v>
      </c>
      <c r="H767" s="9">
        <v>13</v>
      </c>
      <c r="I767" s="9">
        <f t="shared" si="99"/>
        <v>446</v>
      </c>
      <c r="J767" s="9">
        <v>15</v>
      </c>
      <c r="K767" s="10">
        <f t="shared" si="100"/>
        <v>3.125E-2</v>
      </c>
      <c r="L767" s="17">
        <v>90</v>
      </c>
      <c r="M767" s="17">
        <v>30800</v>
      </c>
      <c r="N767" s="17">
        <f t="shared" si="101"/>
        <v>40140</v>
      </c>
      <c r="O767" s="17">
        <f t="shared" si="102"/>
        <v>9340</v>
      </c>
      <c r="P767" s="10">
        <f t="shared" si="103"/>
        <v>0.95625000000000004</v>
      </c>
      <c r="Q767" s="10">
        <f t="shared" si="104"/>
        <v>2.8322440087145968E-2</v>
      </c>
      <c r="R767" s="10">
        <f t="shared" si="105"/>
        <v>0.23268560039860489</v>
      </c>
      <c r="S767" s="18">
        <f t="shared" si="106"/>
        <v>69.058295964125563</v>
      </c>
      <c r="T767" s="8">
        <f>480-ProductionData[[#This Row],[Downtime Minutes]]</f>
        <v>465</v>
      </c>
      <c r="U767" s="11">
        <f t="shared" si="107"/>
        <v>0.98709677419354835</v>
      </c>
      <c r="V767" s="18">
        <f>ProductionData[[#This Row],[Profit]]/ProductionData[[#This Row],[Good Units]]</f>
        <v>20.941704035874441</v>
      </c>
      <c r="W767" s="11">
        <f>ProductionData[[#This Row],[Good Units]]/ProductionData[[#This Row],[Operating Minutes]]</f>
        <v>0.95913978494623653</v>
      </c>
    </row>
    <row r="768" spans="1:23">
      <c r="A768" s="7">
        <v>46289</v>
      </c>
      <c r="B768" s="8" t="s">
        <v>30</v>
      </c>
      <c r="C768" s="8" t="s">
        <v>20</v>
      </c>
      <c r="D768" s="8" t="s">
        <v>23</v>
      </c>
      <c r="E768" s="8" t="s">
        <v>22</v>
      </c>
      <c r="F768" s="9">
        <v>440</v>
      </c>
      <c r="G768" s="9">
        <v>411</v>
      </c>
      <c r="H768" s="9">
        <v>22</v>
      </c>
      <c r="I768" s="9">
        <f t="shared" si="99"/>
        <v>389</v>
      </c>
      <c r="J768" s="9">
        <v>49</v>
      </c>
      <c r="K768" s="10">
        <f t="shared" si="100"/>
        <v>0.10208333333333333</v>
      </c>
      <c r="L768" s="17">
        <v>100</v>
      </c>
      <c r="M768" s="17">
        <v>30800</v>
      </c>
      <c r="N768" s="17">
        <f t="shared" si="101"/>
        <v>38900</v>
      </c>
      <c r="O768" s="17">
        <f t="shared" si="102"/>
        <v>8100</v>
      </c>
      <c r="P768" s="10">
        <f t="shared" si="103"/>
        <v>0.93409090909090908</v>
      </c>
      <c r="Q768" s="10">
        <f t="shared" si="104"/>
        <v>5.3527980535279802E-2</v>
      </c>
      <c r="R768" s="10">
        <f t="shared" si="105"/>
        <v>0.20822622107969152</v>
      </c>
      <c r="S768" s="18">
        <f t="shared" si="106"/>
        <v>79.177377892030847</v>
      </c>
      <c r="T768" s="8">
        <f>480-ProductionData[[#This Row],[Downtime Minutes]]</f>
        <v>431</v>
      </c>
      <c r="U768" s="11">
        <f t="shared" si="107"/>
        <v>0.95359628770301619</v>
      </c>
      <c r="V768" s="18">
        <f>ProductionData[[#This Row],[Profit]]/ProductionData[[#This Row],[Good Units]]</f>
        <v>20.822622107969153</v>
      </c>
      <c r="W768" s="11">
        <f>ProductionData[[#This Row],[Good Units]]/ProductionData[[#This Row],[Operating Minutes]]</f>
        <v>0.90255220417633408</v>
      </c>
    </row>
    <row r="769" spans="1:23">
      <c r="A769" s="7">
        <v>46289</v>
      </c>
      <c r="B769" s="8" t="s">
        <v>30</v>
      </c>
      <c r="C769" s="8" t="s">
        <v>20</v>
      </c>
      <c r="D769" s="8" t="s">
        <v>25</v>
      </c>
      <c r="E769" s="8" t="s">
        <v>24</v>
      </c>
      <c r="F769" s="9">
        <v>390</v>
      </c>
      <c r="G769" s="9">
        <v>366</v>
      </c>
      <c r="H769" s="9">
        <v>18</v>
      </c>
      <c r="I769" s="9">
        <f t="shared" si="99"/>
        <v>348</v>
      </c>
      <c r="J769" s="9">
        <v>41</v>
      </c>
      <c r="K769" s="10">
        <f t="shared" si="100"/>
        <v>8.5416666666666669E-2</v>
      </c>
      <c r="L769" s="17">
        <v>120</v>
      </c>
      <c r="M769" s="17">
        <v>30800</v>
      </c>
      <c r="N769" s="17">
        <f t="shared" si="101"/>
        <v>41760</v>
      </c>
      <c r="O769" s="17">
        <f t="shared" si="102"/>
        <v>10960</v>
      </c>
      <c r="P769" s="10">
        <f t="shared" si="103"/>
        <v>0.93846153846153846</v>
      </c>
      <c r="Q769" s="10">
        <f t="shared" si="104"/>
        <v>4.9180327868852458E-2</v>
      </c>
      <c r="R769" s="10">
        <f t="shared" si="105"/>
        <v>0.26245210727969348</v>
      </c>
      <c r="S769" s="18">
        <f t="shared" si="106"/>
        <v>88.505747126436788</v>
      </c>
      <c r="T769" s="8">
        <f>480-ProductionData[[#This Row],[Downtime Minutes]]</f>
        <v>439</v>
      </c>
      <c r="U769" s="11">
        <f t="shared" si="107"/>
        <v>0.83371298405466976</v>
      </c>
      <c r="V769" s="18">
        <f>ProductionData[[#This Row],[Profit]]/ProductionData[[#This Row],[Good Units]]</f>
        <v>31.494252873563219</v>
      </c>
      <c r="W769" s="11">
        <f>ProductionData[[#This Row],[Good Units]]/ProductionData[[#This Row],[Operating Minutes]]</f>
        <v>0.79271070615034167</v>
      </c>
    </row>
    <row r="770" spans="1:23">
      <c r="A770" s="7">
        <v>46289</v>
      </c>
      <c r="B770" s="8" t="s">
        <v>30</v>
      </c>
      <c r="C770" s="8" t="s">
        <v>27</v>
      </c>
      <c r="D770" s="8" t="s">
        <v>21</v>
      </c>
      <c r="E770" s="8" t="s">
        <v>22</v>
      </c>
      <c r="F770" s="9">
        <v>440</v>
      </c>
      <c r="G770" s="9">
        <v>390</v>
      </c>
      <c r="H770" s="9">
        <v>27</v>
      </c>
      <c r="I770" s="9">
        <f t="shared" ref="I770:I833" si="108">G770-H770</f>
        <v>363</v>
      </c>
      <c r="J770" s="9">
        <v>53</v>
      </c>
      <c r="K770" s="10">
        <f t="shared" ref="K770:K833" si="109">J770/480</f>
        <v>0.11041666666666666</v>
      </c>
      <c r="L770" s="17">
        <v>100</v>
      </c>
      <c r="M770" s="17">
        <v>30800</v>
      </c>
      <c r="N770" s="17">
        <f t="shared" ref="N770:N833" si="110">I770*L770</f>
        <v>36300</v>
      </c>
      <c r="O770" s="17">
        <f t="shared" ref="O770:O833" si="111">N770-M770</f>
        <v>5500</v>
      </c>
      <c r="P770" s="10">
        <f t="shared" ref="P770:P833" si="112">G770/F770</f>
        <v>0.88636363636363635</v>
      </c>
      <c r="Q770" s="10">
        <f t="shared" ref="Q770:Q833" si="113">H770/G770</f>
        <v>6.9230769230769235E-2</v>
      </c>
      <c r="R770" s="10">
        <f t="shared" ref="R770:R833" si="114">O770/N770</f>
        <v>0.15151515151515152</v>
      </c>
      <c r="S770" s="18">
        <f t="shared" ref="S770:S833" si="115">M770/I770</f>
        <v>84.848484848484844</v>
      </c>
      <c r="T770" s="8">
        <f>480-ProductionData[[#This Row],[Downtime Minutes]]</f>
        <v>427</v>
      </c>
      <c r="U770" s="11">
        <f t="shared" ref="U770:U833" si="116">G770/T770</f>
        <v>0.9133489461358314</v>
      </c>
      <c r="V770" s="18">
        <f>ProductionData[[#This Row],[Profit]]/ProductionData[[#This Row],[Good Units]]</f>
        <v>15.151515151515152</v>
      </c>
      <c r="W770" s="11">
        <f>ProductionData[[#This Row],[Good Units]]/ProductionData[[#This Row],[Operating Minutes]]</f>
        <v>0.85011709601873531</v>
      </c>
    </row>
    <row r="771" spans="1:23">
      <c r="A771" s="7">
        <v>46289</v>
      </c>
      <c r="B771" s="8" t="s">
        <v>30</v>
      </c>
      <c r="C771" s="8" t="s">
        <v>27</v>
      </c>
      <c r="D771" s="8" t="s">
        <v>23</v>
      </c>
      <c r="E771" s="8" t="s">
        <v>24</v>
      </c>
      <c r="F771" s="9">
        <v>390</v>
      </c>
      <c r="G771" s="9">
        <v>355</v>
      </c>
      <c r="H771" s="9">
        <v>16</v>
      </c>
      <c r="I771" s="9">
        <f t="shared" si="108"/>
        <v>339</v>
      </c>
      <c r="J771" s="9">
        <v>66</v>
      </c>
      <c r="K771" s="10">
        <f t="shared" si="109"/>
        <v>0.13750000000000001</v>
      </c>
      <c r="L771" s="17">
        <v>120</v>
      </c>
      <c r="M771" s="17">
        <v>30800</v>
      </c>
      <c r="N771" s="17">
        <f t="shared" si="110"/>
        <v>40680</v>
      </c>
      <c r="O771" s="17">
        <f t="shared" si="111"/>
        <v>9880</v>
      </c>
      <c r="P771" s="10">
        <f t="shared" si="112"/>
        <v>0.91025641025641024</v>
      </c>
      <c r="Q771" s="10">
        <f t="shared" si="113"/>
        <v>4.507042253521127E-2</v>
      </c>
      <c r="R771" s="10">
        <f t="shared" si="114"/>
        <v>0.24287118977384464</v>
      </c>
      <c r="S771" s="18">
        <f t="shared" si="115"/>
        <v>90.855457227138643</v>
      </c>
      <c r="T771" s="8">
        <f>480-ProductionData[[#This Row],[Downtime Minutes]]</f>
        <v>414</v>
      </c>
      <c r="U771" s="11">
        <f t="shared" si="116"/>
        <v>0.85748792270531404</v>
      </c>
      <c r="V771" s="18">
        <f>ProductionData[[#This Row],[Profit]]/ProductionData[[#This Row],[Good Units]]</f>
        <v>29.144542772861357</v>
      </c>
      <c r="W771" s="11">
        <f>ProductionData[[#This Row],[Good Units]]/ProductionData[[#This Row],[Operating Minutes]]</f>
        <v>0.8188405797101449</v>
      </c>
    </row>
    <row r="772" spans="1:23">
      <c r="A772" s="7">
        <v>46289</v>
      </c>
      <c r="B772" s="8" t="s">
        <v>30</v>
      </c>
      <c r="C772" s="8" t="s">
        <v>27</v>
      </c>
      <c r="D772" s="8" t="s">
        <v>25</v>
      </c>
      <c r="E772" s="8" t="s">
        <v>26</v>
      </c>
      <c r="F772" s="9">
        <v>500</v>
      </c>
      <c r="G772" s="9">
        <v>423</v>
      </c>
      <c r="H772" s="9">
        <v>26</v>
      </c>
      <c r="I772" s="9">
        <f t="shared" si="108"/>
        <v>397</v>
      </c>
      <c r="J772" s="9">
        <v>64</v>
      </c>
      <c r="K772" s="10">
        <f t="shared" si="109"/>
        <v>0.13333333333333333</v>
      </c>
      <c r="L772" s="17">
        <v>90</v>
      </c>
      <c r="M772" s="17">
        <v>30800</v>
      </c>
      <c r="N772" s="17">
        <f t="shared" si="110"/>
        <v>35730</v>
      </c>
      <c r="O772" s="17">
        <f t="shared" si="111"/>
        <v>4930</v>
      </c>
      <c r="P772" s="10">
        <f t="shared" si="112"/>
        <v>0.84599999999999997</v>
      </c>
      <c r="Q772" s="10">
        <f t="shared" si="113"/>
        <v>6.1465721040189124E-2</v>
      </c>
      <c r="R772" s="10">
        <f t="shared" si="114"/>
        <v>0.13797928911279037</v>
      </c>
      <c r="S772" s="18">
        <f t="shared" si="115"/>
        <v>77.581863979848862</v>
      </c>
      <c r="T772" s="8">
        <f>480-ProductionData[[#This Row],[Downtime Minutes]]</f>
        <v>416</v>
      </c>
      <c r="U772" s="11">
        <f t="shared" si="116"/>
        <v>1.0168269230769231</v>
      </c>
      <c r="V772" s="18">
        <f>ProductionData[[#This Row],[Profit]]/ProductionData[[#This Row],[Good Units]]</f>
        <v>12.418136020151133</v>
      </c>
      <c r="W772" s="11">
        <f>ProductionData[[#This Row],[Good Units]]/ProductionData[[#This Row],[Operating Minutes]]</f>
        <v>0.95432692307692313</v>
      </c>
    </row>
    <row r="773" spans="1:23">
      <c r="A773" s="7">
        <v>46289</v>
      </c>
      <c r="B773" s="8" t="s">
        <v>30</v>
      </c>
      <c r="C773" s="8" t="s">
        <v>28</v>
      </c>
      <c r="D773" s="8" t="s">
        <v>21</v>
      </c>
      <c r="E773" s="8" t="s">
        <v>24</v>
      </c>
      <c r="F773" s="9">
        <v>400</v>
      </c>
      <c r="G773" s="9">
        <v>394</v>
      </c>
      <c r="H773" s="9">
        <v>10</v>
      </c>
      <c r="I773" s="9">
        <f t="shared" si="108"/>
        <v>384</v>
      </c>
      <c r="J773" s="9">
        <v>29</v>
      </c>
      <c r="K773" s="10">
        <f t="shared" si="109"/>
        <v>6.0416666666666667E-2</v>
      </c>
      <c r="L773" s="17">
        <v>120</v>
      </c>
      <c r="M773" s="17">
        <v>30800</v>
      </c>
      <c r="N773" s="17">
        <f t="shared" si="110"/>
        <v>46080</v>
      </c>
      <c r="O773" s="17">
        <f t="shared" si="111"/>
        <v>15280</v>
      </c>
      <c r="P773" s="10">
        <f t="shared" si="112"/>
        <v>0.98499999999999999</v>
      </c>
      <c r="Q773" s="10">
        <f t="shared" si="113"/>
        <v>2.5380710659898477E-2</v>
      </c>
      <c r="R773" s="10">
        <f t="shared" si="114"/>
        <v>0.33159722222222221</v>
      </c>
      <c r="S773" s="18">
        <f t="shared" si="115"/>
        <v>80.208333333333329</v>
      </c>
      <c r="T773" s="8">
        <f>480-ProductionData[[#This Row],[Downtime Minutes]]</f>
        <v>451</v>
      </c>
      <c r="U773" s="11">
        <f t="shared" si="116"/>
        <v>0.87361419068736146</v>
      </c>
      <c r="V773" s="18">
        <f>ProductionData[[#This Row],[Profit]]/ProductionData[[#This Row],[Good Units]]</f>
        <v>39.791666666666664</v>
      </c>
      <c r="W773" s="11">
        <f>ProductionData[[#This Row],[Good Units]]/ProductionData[[#This Row],[Operating Minutes]]</f>
        <v>0.85144124168514412</v>
      </c>
    </row>
    <row r="774" spans="1:23">
      <c r="A774" s="7">
        <v>46289</v>
      </c>
      <c r="B774" s="8" t="s">
        <v>30</v>
      </c>
      <c r="C774" s="8" t="s">
        <v>28</v>
      </c>
      <c r="D774" s="8" t="s">
        <v>23</v>
      </c>
      <c r="E774" s="8" t="s">
        <v>26</v>
      </c>
      <c r="F774" s="9">
        <v>500</v>
      </c>
      <c r="G774" s="9">
        <v>469</v>
      </c>
      <c r="H774" s="9">
        <v>12</v>
      </c>
      <c r="I774" s="9">
        <f t="shared" si="108"/>
        <v>457</v>
      </c>
      <c r="J774" s="9">
        <v>12</v>
      </c>
      <c r="K774" s="10">
        <f t="shared" si="109"/>
        <v>2.5000000000000001E-2</v>
      </c>
      <c r="L774" s="17">
        <v>90</v>
      </c>
      <c r="M774" s="17">
        <v>30800</v>
      </c>
      <c r="N774" s="17">
        <f t="shared" si="110"/>
        <v>41130</v>
      </c>
      <c r="O774" s="17">
        <f t="shared" si="111"/>
        <v>10330</v>
      </c>
      <c r="P774" s="10">
        <f t="shared" si="112"/>
        <v>0.93799999999999994</v>
      </c>
      <c r="Q774" s="10">
        <f t="shared" si="113"/>
        <v>2.5586353944562899E-2</v>
      </c>
      <c r="R774" s="10">
        <f t="shared" si="114"/>
        <v>0.2511548747872599</v>
      </c>
      <c r="S774" s="18">
        <f t="shared" si="115"/>
        <v>67.396061269146614</v>
      </c>
      <c r="T774" s="8">
        <f>480-ProductionData[[#This Row],[Downtime Minutes]]</f>
        <v>468</v>
      </c>
      <c r="U774" s="11">
        <f t="shared" si="116"/>
        <v>1.0021367521367521</v>
      </c>
      <c r="V774" s="18">
        <f>ProductionData[[#This Row],[Profit]]/ProductionData[[#This Row],[Good Units]]</f>
        <v>22.603938730853393</v>
      </c>
      <c r="W774" s="11">
        <f>ProductionData[[#This Row],[Good Units]]/ProductionData[[#This Row],[Operating Minutes]]</f>
        <v>0.97649572649572647</v>
      </c>
    </row>
    <row r="775" spans="1:23">
      <c r="A775" s="7">
        <v>46289</v>
      </c>
      <c r="B775" s="8" t="s">
        <v>30</v>
      </c>
      <c r="C775" s="8" t="s">
        <v>28</v>
      </c>
      <c r="D775" s="8" t="s">
        <v>25</v>
      </c>
      <c r="E775" s="8" t="s">
        <v>22</v>
      </c>
      <c r="F775" s="9">
        <v>460</v>
      </c>
      <c r="G775" s="9">
        <v>428</v>
      </c>
      <c r="H775" s="9">
        <v>21</v>
      </c>
      <c r="I775" s="9">
        <f t="shared" si="108"/>
        <v>407</v>
      </c>
      <c r="J775" s="9">
        <v>45</v>
      </c>
      <c r="K775" s="10">
        <f t="shared" si="109"/>
        <v>9.375E-2</v>
      </c>
      <c r="L775" s="17">
        <v>100</v>
      </c>
      <c r="M775" s="17">
        <v>30800</v>
      </c>
      <c r="N775" s="17">
        <f t="shared" si="110"/>
        <v>40700</v>
      </c>
      <c r="O775" s="17">
        <f t="shared" si="111"/>
        <v>9900</v>
      </c>
      <c r="P775" s="10">
        <f t="shared" si="112"/>
        <v>0.93043478260869561</v>
      </c>
      <c r="Q775" s="10">
        <f t="shared" si="113"/>
        <v>4.9065420560747662E-2</v>
      </c>
      <c r="R775" s="10">
        <f t="shared" si="114"/>
        <v>0.24324324324324326</v>
      </c>
      <c r="S775" s="18">
        <f t="shared" si="115"/>
        <v>75.675675675675677</v>
      </c>
      <c r="T775" s="8">
        <f>480-ProductionData[[#This Row],[Downtime Minutes]]</f>
        <v>435</v>
      </c>
      <c r="U775" s="11">
        <f t="shared" si="116"/>
        <v>0.98390804597701154</v>
      </c>
      <c r="V775" s="18">
        <f>ProductionData[[#This Row],[Profit]]/ProductionData[[#This Row],[Good Units]]</f>
        <v>24.324324324324323</v>
      </c>
      <c r="W775" s="11">
        <f>ProductionData[[#This Row],[Good Units]]/ProductionData[[#This Row],[Operating Minutes]]</f>
        <v>0.93563218390804592</v>
      </c>
    </row>
    <row r="776" spans="1:23">
      <c r="A776" s="7">
        <v>46290</v>
      </c>
      <c r="B776" s="8" t="s">
        <v>30</v>
      </c>
      <c r="C776" s="8" t="s">
        <v>20</v>
      </c>
      <c r="D776" s="8" t="s">
        <v>21</v>
      </c>
      <c r="E776" s="8" t="s">
        <v>22</v>
      </c>
      <c r="F776" s="9">
        <v>450</v>
      </c>
      <c r="G776" s="9">
        <v>421</v>
      </c>
      <c r="H776" s="9">
        <v>20</v>
      </c>
      <c r="I776" s="9">
        <f t="shared" si="108"/>
        <v>401</v>
      </c>
      <c r="J776" s="9">
        <v>43</v>
      </c>
      <c r="K776" s="10">
        <f t="shared" si="109"/>
        <v>8.9583333333333334E-2</v>
      </c>
      <c r="L776" s="17">
        <v>100</v>
      </c>
      <c r="M776" s="17">
        <v>30800</v>
      </c>
      <c r="N776" s="17">
        <f t="shared" si="110"/>
        <v>40100</v>
      </c>
      <c r="O776" s="17">
        <f t="shared" si="111"/>
        <v>9300</v>
      </c>
      <c r="P776" s="10">
        <f t="shared" si="112"/>
        <v>0.93555555555555558</v>
      </c>
      <c r="Q776" s="10">
        <f t="shared" si="113"/>
        <v>4.7505938242280284E-2</v>
      </c>
      <c r="R776" s="10">
        <f t="shared" si="114"/>
        <v>0.23192019950124687</v>
      </c>
      <c r="S776" s="18">
        <f t="shared" si="115"/>
        <v>76.807980049875312</v>
      </c>
      <c r="T776" s="8">
        <f>480-ProductionData[[#This Row],[Downtime Minutes]]</f>
        <v>437</v>
      </c>
      <c r="U776" s="11">
        <f t="shared" si="116"/>
        <v>0.96338672768878719</v>
      </c>
      <c r="V776" s="18">
        <f>ProductionData[[#This Row],[Profit]]/ProductionData[[#This Row],[Good Units]]</f>
        <v>23.192019950124688</v>
      </c>
      <c r="W776" s="11">
        <f>ProductionData[[#This Row],[Good Units]]/ProductionData[[#This Row],[Operating Minutes]]</f>
        <v>0.91762013729977121</v>
      </c>
    </row>
    <row r="777" spans="1:23">
      <c r="A777" s="7">
        <v>46290</v>
      </c>
      <c r="B777" s="8" t="s">
        <v>30</v>
      </c>
      <c r="C777" s="8" t="s">
        <v>20</v>
      </c>
      <c r="D777" s="8" t="s">
        <v>23</v>
      </c>
      <c r="E777" s="8" t="s">
        <v>24</v>
      </c>
      <c r="F777" s="9">
        <v>390</v>
      </c>
      <c r="G777" s="9">
        <v>373</v>
      </c>
      <c r="H777" s="9">
        <v>13</v>
      </c>
      <c r="I777" s="9">
        <f t="shared" si="108"/>
        <v>360</v>
      </c>
      <c r="J777" s="9">
        <v>33</v>
      </c>
      <c r="K777" s="10">
        <f t="shared" si="109"/>
        <v>6.8750000000000006E-2</v>
      </c>
      <c r="L777" s="17">
        <v>120</v>
      </c>
      <c r="M777" s="17">
        <v>30800</v>
      </c>
      <c r="N777" s="17">
        <f t="shared" si="110"/>
        <v>43200</v>
      </c>
      <c r="O777" s="17">
        <f t="shared" si="111"/>
        <v>12400</v>
      </c>
      <c r="P777" s="10">
        <f t="shared" si="112"/>
        <v>0.95641025641025645</v>
      </c>
      <c r="Q777" s="10">
        <f t="shared" si="113"/>
        <v>3.4852546916890083E-2</v>
      </c>
      <c r="R777" s="10">
        <f t="shared" si="114"/>
        <v>0.28703703703703703</v>
      </c>
      <c r="S777" s="18">
        <f t="shared" si="115"/>
        <v>85.555555555555557</v>
      </c>
      <c r="T777" s="8">
        <f>480-ProductionData[[#This Row],[Downtime Minutes]]</f>
        <v>447</v>
      </c>
      <c r="U777" s="11">
        <f t="shared" si="116"/>
        <v>0.83445190156599558</v>
      </c>
      <c r="V777" s="18">
        <f>ProductionData[[#This Row],[Profit]]/ProductionData[[#This Row],[Good Units]]</f>
        <v>34.444444444444443</v>
      </c>
      <c r="W777" s="11">
        <f>ProductionData[[#This Row],[Good Units]]/ProductionData[[#This Row],[Operating Minutes]]</f>
        <v>0.80536912751677847</v>
      </c>
    </row>
    <row r="778" spans="1:23">
      <c r="A778" s="7">
        <v>46290</v>
      </c>
      <c r="B778" s="8" t="s">
        <v>30</v>
      </c>
      <c r="C778" s="8" t="s">
        <v>20</v>
      </c>
      <c r="D778" s="8" t="s">
        <v>25</v>
      </c>
      <c r="E778" s="8" t="s">
        <v>26</v>
      </c>
      <c r="F778" s="9">
        <v>500</v>
      </c>
      <c r="G778" s="9">
        <v>447</v>
      </c>
      <c r="H778" s="9">
        <v>22</v>
      </c>
      <c r="I778" s="9">
        <f t="shared" si="108"/>
        <v>425</v>
      </c>
      <c r="J778" s="9">
        <v>29</v>
      </c>
      <c r="K778" s="10">
        <f t="shared" si="109"/>
        <v>6.0416666666666667E-2</v>
      </c>
      <c r="L778" s="17">
        <v>90</v>
      </c>
      <c r="M778" s="17">
        <v>30800</v>
      </c>
      <c r="N778" s="17">
        <f t="shared" si="110"/>
        <v>38250</v>
      </c>
      <c r="O778" s="17">
        <f t="shared" si="111"/>
        <v>7450</v>
      </c>
      <c r="P778" s="10">
        <f t="shared" si="112"/>
        <v>0.89400000000000002</v>
      </c>
      <c r="Q778" s="10">
        <f t="shared" si="113"/>
        <v>4.9217002237136466E-2</v>
      </c>
      <c r="R778" s="10">
        <f t="shared" si="114"/>
        <v>0.19477124183006536</v>
      </c>
      <c r="S778" s="18">
        <f t="shared" si="115"/>
        <v>72.470588235294116</v>
      </c>
      <c r="T778" s="8">
        <f>480-ProductionData[[#This Row],[Downtime Minutes]]</f>
        <v>451</v>
      </c>
      <c r="U778" s="11">
        <f t="shared" si="116"/>
        <v>0.99113082039911304</v>
      </c>
      <c r="V778" s="18">
        <f>ProductionData[[#This Row],[Profit]]/ProductionData[[#This Row],[Good Units]]</f>
        <v>17.529411764705884</v>
      </c>
      <c r="W778" s="11">
        <f>ProductionData[[#This Row],[Good Units]]/ProductionData[[#This Row],[Operating Minutes]]</f>
        <v>0.94235033259423506</v>
      </c>
    </row>
    <row r="779" spans="1:23">
      <c r="A779" s="7">
        <v>46290</v>
      </c>
      <c r="B779" s="8" t="s">
        <v>30</v>
      </c>
      <c r="C779" s="8" t="s">
        <v>27</v>
      </c>
      <c r="D779" s="8" t="s">
        <v>21</v>
      </c>
      <c r="E779" s="8" t="s">
        <v>24</v>
      </c>
      <c r="F779" s="9">
        <v>410</v>
      </c>
      <c r="G779" s="9">
        <v>362</v>
      </c>
      <c r="H779" s="9">
        <v>14</v>
      </c>
      <c r="I779" s="9">
        <f t="shared" si="108"/>
        <v>348</v>
      </c>
      <c r="J779" s="9">
        <v>39</v>
      </c>
      <c r="K779" s="10">
        <f t="shared" si="109"/>
        <v>8.1250000000000003E-2</v>
      </c>
      <c r="L779" s="17">
        <v>120</v>
      </c>
      <c r="M779" s="17">
        <v>30800</v>
      </c>
      <c r="N779" s="17">
        <f t="shared" si="110"/>
        <v>41760</v>
      </c>
      <c r="O779" s="17">
        <f t="shared" si="111"/>
        <v>10960</v>
      </c>
      <c r="P779" s="10">
        <f t="shared" si="112"/>
        <v>0.88292682926829269</v>
      </c>
      <c r="Q779" s="10">
        <f t="shared" si="113"/>
        <v>3.8674033149171269E-2</v>
      </c>
      <c r="R779" s="10">
        <f t="shared" si="114"/>
        <v>0.26245210727969348</v>
      </c>
      <c r="S779" s="18">
        <f t="shared" si="115"/>
        <v>88.505747126436788</v>
      </c>
      <c r="T779" s="8">
        <f>480-ProductionData[[#This Row],[Downtime Minutes]]</f>
        <v>441</v>
      </c>
      <c r="U779" s="11">
        <f t="shared" si="116"/>
        <v>0.82086167800453513</v>
      </c>
      <c r="V779" s="18">
        <f>ProductionData[[#This Row],[Profit]]/ProductionData[[#This Row],[Good Units]]</f>
        <v>31.494252873563219</v>
      </c>
      <c r="W779" s="11">
        <f>ProductionData[[#This Row],[Good Units]]/ProductionData[[#This Row],[Operating Minutes]]</f>
        <v>0.78911564625850339</v>
      </c>
    </row>
    <row r="780" spans="1:23">
      <c r="A780" s="7">
        <v>46290</v>
      </c>
      <c r="B780" s="8" t="s">
        <v>30</v>
      </c>
      <c r="C780" s="8" t="s">
        <v>27</v>
      </c>
      <c r="D780" s="8" t="s">
        <v>23</v>
      </c>
      <c r="E780" s="8" t="s">
        <v>26</v>
      </c>
      <c r="F780" s="9">
        <v>490</v>
      </c>
      <c r="G780" s="9">
        <v>431</v>
      </c>
      <c r="H780" s="9">
        <v>22</v>
      </c>
      <c r="I780" s="9">
        <f t="shared" si="108"/>
        <v>409</v>
      </c>
      <c r="J780" s="9">
        <v>54</v>
      </c>
      <c r="K780" s="10">
        <f t="shared" si="109"/>
        <v>0.1125</v>
      </c>
      <c r="L780" s="17">
        <v>90</v>
      </c>
      <c r="M780" s="17">
        <v>30800</v>
      </c>
      <c r="N780" s="17">
        <f t="shared" si="110"/>
        <v>36810</v>
      </c>
      <c r="O780" s="17">
        <f t="shared" si="111"/>
        <v>6010</v>
      </c>
      <c r="P780" s="10">
        <f t="shared" si="112"/>
        <v>0.87959183673469388</v>
      </c>
      <c r="Q780" s="10">
        <f t="shared" si="113"/>
        <v>5.1044083526682132E-2</v>
      </c>
      <c r="R780" s="10">
        <f t="shared" si="114"/>
        <v>0.16327085031241512</v>
      </c>
      <c r="S780" s="18">
        <f t="shared" si="115"/>
        <v>75.30562347188264</v>
      </c>
      <c r="T780" s="8">
        <f>480-ProductionData[[#This Row],[Downtime Minutes]]</f>
        <v>426</v>
      </c>
      <c r="U780" s="11">
        <f t="shared" si="116"/>
        <v>1.011737089201878</v>
      </c>
      <c r="V780" s="18">
        <f>ProductionData[[#This Row],[Profit]]/ProductionData[[#This Row],[Good Units]]</f>
        <v>14.69437652811736</v>
      </c>
      <c r="W780" s="11">
        <f>ProductionData[[#This Row],[Good Units]]/ProductionData[[#This Row],[Operating Minutes]]</f>
        <v>0.960093896713615</v>
      </c>
    </row>
    <row r="781" spans="1:23">
      <c r="A781" s="7">
        <v>46290</v>
      </c>
      <c r="B781" s="8" t="s">
        <v>30</v>
      </c>
      <c r="C781" s="8" t="s">
        <v>27</v>
      </c>
      <c r="D781" s="8" t="s">
        <v>25</v>
      </c>
      <c r="E781" s="8" t="s">
        <v>22</v>
      </c>
      <c r="F781" s="9">
        <v>440</v>
      </c>
      <c r="G781" s="9">
        <v>379</v>
      </c>
      <c r="H781" s="9">
        <v>26</v>
      </c>
      <c r="I781" s="9">
        <f t="shared" si="108"/>
        <v>353</v>
      </c>
      <c r="J781" s="9">
        <v>71</v>
      </c>
      <c r="K781" s="10">
        <f t="shared" si="109"/>
        <v>0.14791666666666667</v>
      </c>
      <c r="L781" s="17">
        <v>100</v>
      </c>
      <c r="M781" s="17">
        <v>30800</v>
      </c>
      <c r="N781" s="17">
        <f t="shared" si="110"/>
        <v>35300</v>
      </c>
      <c r="O781" s="17">
        <f t="shared" si="111"/>
        <v>4500</v>
      </c>
      <c r="P781" s="10">
        <f t="shared" si="112"/>
        <v>0.86136363636363633</v>
      </c>
      <c r="Q781" s="10">
        <f t="shared" si="113"/>
        <v>6.860158311345646E-2</v>
      </c>
      <c r="R781" s="10">
        <f t="shared" si="114"/>
        <v>0.12747875354107649</v>
      </c>
      <c r="S781" s="18">
        <f t="shared" si="115"/>
        <v>87.252124645892351</v>
      </c>
      <c r="T781" s="8">
        <f>480-ProductionData[[#This Row],[Downtime Minutes]]</f>
        <v>409</v>
      </c>
      <c r="U781" s="11">
        <f t="shared" si="116"/>
        <v>0.92665036674816625</v>
      </c>
      <c r="V781" s="18">
        <f>ProductionData[[#This Row],[Profit]]/ProductionData[[#This Row],[Good Units]]</f>
        <v>12.747875354107649</v>
      </c>
      <c r="W781" s="11">
        <f>ProductionData[[#This Row],[Good Units]]/ProductionData[[#This Row],[Operating Minutes]]</f>
        <v>0.86308068459657705</v>
      </c>
    </row>
    <row r="782" spans="1:23">
      <c r="A782" s="7">
        <v>46290</v>
      </c>
      <c r="B782" s="8" t="s">
        <v>30</v>
      </c>
      <c r="C782" s="8" t="s">
        <v>28</v>
      </c>
      <c r="D782" s="8" t="s">
        <v>21</v>
      </c>
      <c r="E782" s="8" t="s">
        <v>26</v>
      </c>
      <c r="F782" s="9">
        <v>520</v>
      </c>
      <c r="G782" s="9">
        <v>514</v>
      </c>
      <c r="H782" s="9">
        <v>13</v>
      </c>
      <c r="I782" s="9">
        <f t="shared" si="108"/>
        <v>501</v>
      </c>
      <c r="J782" s="9">
        <v>12</v>
      </c>
      <c r="K782" s="10">
        <f t="shared" si="109"/>
        <v>2.5000000000000001E-2</v>
      </c>
      <c r="L782" s="17">
        <v>90</v>
      </c>
      <c r="M782" s="17">
        <v>30800</v>
      </c>
      <c r="N782" s="17">
        <f t="shared" si="110"/>
        <v>45090</v>
      </c>
      <c r="O782" s="17">
        <f t="shared" si="111"/>
        <v>14290</v>
      </c>
      <c r="P782" s="10">
        <f t="shared" si="112"/>
        <v>0.9884615384615385</v>
      </c>
      <c r="Q782" s="10">
        <f t="shared" si="113"/>
        <v>2.5291828793774319E-2</v>
      </c>
      <c r="R782" s="10">
        <f t="shared" si="114"/>
        <v>0.31692171213129294</v>
      </c>
      <c r="S782" s="18">
        <f t="shared" si="115"/>
        <v>61.477045908183634</v>
      </c>
      <c r="T782" s="8">
        <f>480-ProductionData[[#This Row],[Downtime Minutes]]</f>
        <v>468</v>
      </c>
      <c r="U782" s="11">
        <f t="shared" si="116"/>
        <v>1.0982905982905984</v>
      </c>
      <c r="V782" s="18">
        <f>ProductionData[[#This Row],[Profit]]/ProductionData[[#This Row],[Good Units]]</f>
        <v>28.522954091816366</v>
      </c>
      <c r="W782" s="11">
        <f>ProductionData[[#This Row],[Good Units]]/ProductionData[[#This Row],[Operating Minutes]]</f>
        <v>1.0705128205128205</v>
      </c>
    </row>
    <row r="783" spans="1:23">
      <c r="A783" s="7">
        <v>46290</v>
      </c>
      <c r="B783" s="8" t="s">
        <v>30</v>
      </c>
      <c r="C783" s="8" t="s">
        <v>28</v>
      </c>
      <c r="D783" s="8" t="s">
        <v>23</v>
      </c>
      <c r="E783" s="8" t="s">
        <v>22</v>
      </c>
      <c r="F783" s="9">
        <v>430</v>
      </c>
      <c r="G783" s="9">
        <v>405</v>
      </c>
      <c r="H783" s="9">
        <v>15</v>
      </c>
      <c r="I783" s="9">
        <f t="shared" si="108"/>
        <v>390</v>
      </c>
      <c r="J783" s="9">
        <v>40</v>
      </c>
      <c r="K783" s="10">
        <f t="shared" si="109"/>
        <v>8.3333333333333329E-2</v>
      </c>
      <c r="L783" s="17">
        <v>100</v>
      </c>
      <c r="M783" s="17">
        <v>30800</v>
      </c>
      <c r="N783" s="17">
        <f t="shared" si="110"/>
        <v>39000</v>
      </c>
      <c r="O783" s="17">
        <f t="shared" si="111"/>
        <v>8200</v>
      </c>
      <c r="P783" s="10">
        <f t="shared" si="112"/>
        <v>0.94186046511627908</v>
      </c>
      <c r="Q783" s="10">
        <f t="shared" si="113"/>
        <v>3.7037037037037035E-2</v>
      </c>
      <c r="R783" s="10">
        <f t="shared" si="114"/>
        <v>0.21025641025641026</v>
      </c>
      <c r="S783" s="18">
        <f t="shared" si="115"/>
        <v>78.974358974358978</v>
      </c>
      <c r="T783" s="8">
        <f>480-ProductionData[[#This Row],[Downtime Minutes]]</f>
        <v>440</v>
      </c>
      <c r="U783" s="11">
        <f t="shared" si="116"/>
        <v>0.92045454545454541</v>
      </c>
      <c r="V783" s="18">
        <f>ProductionData[[#This Row],[Profit]]/ProductionData[[#This Row],[Good Units]]</f>
        <v>21.025641025641026</v>
      </c>
      <c r="W783" s="11">
        <f>ProductionData[[#This Row],[Good Units]]/ProductionData[[#This Row],[Operating Minutes]]</f>
        <v>0.88636363636363635</v>
      </c>
    </row>
    <row r="784" spans="1:23">
      <c r="A784" s="7">
        <v>46290</v>
      </c>
      <c r="B784" s="8" t="s">
        <v>30</v>
      </c>
      <c r="C784" s="8" t="s">
        <v>28</v>
      </c>
      <c r="D784" s="8" t="s">
        <v>25</v>
      </c>
      <c r="E784" s="8" t="s">
        <v>24</v>
      </c>
      <c r="F784" s="9">
        <v>400</v>
      </c>
      <c r="G784" s="9">
        <v>385</v>
      </c>
      <c r="H784" s="9">
        <v>15</v>
      </c>
      <c r="I784" s="9">
        <f t="shared" si="108"/>
        <v>370</v>
      </c>
      <c r="J784" s="9">
        <v>25</v>
      </c>
      <c r="K784" s="10">
        <f t="shared" si="109"/>
        <v>5.2083333333333336E-2</v>
      </c>
      <c r="L784" s="17">
        <v>120</v>
      </c>
      <c r="M784" s="17">
        <v>30800</v>
      </c>
      <c r="N784" s="17">
        <f t="shared" si="110"/>
        <v>44400</v>
      </c>
      <c r="O784" s="17">
        <f t="shared" si="111"/>
        <v>13600</v>
      </c>
      <c r="P784" s="10">
        <f t="shared" si="112"/>
        <v>0.96250000000000002</v>
      </c>
      <c r="Q784" s="10">
        <f t="shared" si="113"/>
        <v>3.896103896103896E-2</v>
      </c>
      <c r="R784" s="10">
        <f t="shared" si="114"/>
        <v>0.30630630630630629</v>
      </c>
      <c r="S784" s="18">
        <f t="shared" si="115"/>
        <v>83.243243243243242</v>
      </c>
      <c r="T784" s="8">
        <f>480-ProductionData[[#This Row],[Downtime Minutes]]</f>
        <v>455</v>
      </c>
      <c r="U784" s="11">
        <f t="shared" si="116"/>
        <v>0.84615384615384615</v>
      </c>
      <c r="V784" s="18">
        <f>ProductionData[[#This Row],[Profit]]/ProductionData[[#This Row],[Good Units]]</f>
        <v>36.756756756756758</v>
      </c>
      <c r="W784" s="11">
        <f>ProductionData[[#This Row],[Good Units]]/ProductionData[[#This Row],[Operating Minutes]]</f>
        <v>0.81318681318681318</v>
      </c>
    </row>
    <row r="785" spans="1:23">
      <c r="A785" s="7">
        <v>46291</v>
      </c>
      <c r="B785" s="8" t="s">
        <v>30</v>
      </c>
      <c r="C785" s="8" t="s">
        <v>20</v>
      </c>
      <c r="D785" s="8" t="s">
        <v>21</v>
      </c>
      <c r="E785" s="8" t="s">
        <v>24</v>
      </c>
      <c r="F785" s="9">
        <v>410</v>
      </c>
      <c r="G785" s="9">
        <v>396</v>
      </c>
      <c r="H785" s="9">
        <v>11</v>
      </c>
      <c r="I785" s="9">
        <f t="shared" si="108"/>
        <v>385</v>
      </c>
      <c r="J785" s="9">
        <v>27</v>
      </c>
      <c r="K785" s="10">
        <f t="shared" si="109"/>
        <v>5.6250000000000001E-2</v>
      </c>
      <c r="L785" s="17">
        <v>120</v>
      </c>
      <c r="M785" s="17">
        <v>30800</v>
      </c>
      <c r="N785" s="17">
        <f t="shared" si="110"/>
        <v>46200</v>
      </c>
      <c r="O785" s="17">
        <f t="shared" si="111"/>
        <v>15400</v>
      </c>
      <c r="P785" s="10">
        <f t="shared" si="112"/>
        <v>0.96585365853658534</v>
      </c>
      <c r="Q785" s="10">
        <f t="shared" si="113"/>
        <v>2.7777777777777776E-2</v>
      </c>
      <c r="R785" s="10">
        <f t="shared" si="114"/>
        <v>0.33333333333333331</v>
      </c>
      <c r="S785" s="18">
        <f t="shared" si="115"/>
        <v>80</v>
      </c>
      <c r="T785" s="8">
        <f>480-ProductionData[[#This Row],[Downtime Minutes]]</f>
        <v>453</v>
      </c>
      <c r="U785" s="11">
        <f t="shared" si="116"/>
        <v>0.8741721854304636</v>
      </c>
      <c r="V785" s="18">
        <f>ProductionData[[#This Row],[Profit]]/ProductionData[[#This Row],[Good Units]]</f>
        <v>40</v>
      </c>
      <c r="W785" s="11">
        <f>ProductionData[[#This Row],[Good Units]]/ProductionData[[#This Row],[Operating Minutes]]</f>
        <v>0.84988962472406182</v>
      </c>
    </row>
    <row r="786" spans="1:23">
      <c r="A786" s="7">
        <v>46291</v>
      </c>
      <c r="B786" s="8" t="s">
        <v>30</v>
      </c>
      <c r="C786" s="8" t="s">
        <v>20</v>
      </c>
      <c r="D786" s="8" t="s">
        <v>23</v>
      </c>
      <c r="E786" s="8" t="s">
        <v>26</v>
      </c>
      <c r="F786" s="9">
        <v>500</v>
      </c>
      <c r="G786" s="9">
        <v>462</v>
      </c>
      <c r="H786" s="9">
        <v>15</v>
      </c>
      <c r="I786" s="9">
        <f t="shared" si="108"/>
        <v>447</v>
      </c>
      <c r="J786" s="9">
        <v>21</v>
      </c>
      <c r="K786" s="10">
        <f t="shared" si="109"/>
        <v>4.3749999999999997E-2</v>
      </c>
      <c r="L786" s="17">
        <v>90</v>
      </c>
      <c r="M786" s="17">
        <v>30800</v>
      </c>
      <c r="N786" s="17">
        <f t="shared" si="110"/>
        <v>40230</v>
      </c>
      <c r="O786" s="17">
        <f t="shared" si="111"/>
        <v>9430</v>
      </c>
      <c r="P786" s="10">
        <f t="shared" si="112"/>
        <v>0.92400000000000004</v>
      </c>
      <c r="Q786" s="10">
        <f t="shared" si="113"/>
        <v>3.2467532467532464E-2</v>
      </c>
      <c r="R786" s="10">
        <f t="shared" si="114"/>
        <v>0.23440218742232166</v>
      </c>
      <c r="S786" s="18">
        <f t="shared" si="115"/>
        <v>68.903803131991054</v>
      </c>
      <c r="T786" s="8">
        <f>480-ProductionData[[#This Row],[Downtime Minutes]]</f>
        <v>459</v>
      </c>
      <c r="U786" s="11">
        <f t="shared" si="116"/>
        <v>1.0065359477124183</v>
      </c>
      <c r="V786" s="18">
        <f>ProductionData[[#This Row],[Profit]]/ProductionData[[#This Row],[Good Units]]</f>
        <v>21.096196868008949</v>
      </c>
      <c r="W786" s="11">
        <f>ProductionData[[#This Row],[Good Units]]/ProductionData[[#This Row],[Operating Minutes]]</f>
        <v>0.97385620915032678</v>
      </c>
    </row>
    <row r="787" spans="1:23">
      <c r="A787" s="7">
        <v>46291</v>
      </c>
      <c r="B787" s="8" t="s">
        <v>30</v>
      </c>
      <c r="C787" s="8" t="s">
        <v>20</v>
      </c>
      <c r="D787" s="8" t="s">
        <v>25</v>
      </c>
      <c r="E787" s="8" t="s">
        <v>22</v>
      </c>
      <c r="F787" s="9">
        <v>440</v>
      </c>
      <c r="G787" s="9">
        <v>408</v>
      </c>
      <c r="H787" s="9">
        <v>23</v>
      </c>
      <c r="I787" s="9">
        <f t="shared" si="108"/>
        <v>385</v>
      </c>
      <c r="J787" s="9">
        <v>39</v>
      </c>
      <c r="K787" s="10">
        <f t="shared" si="109"/>
        <v>8.1250000000000003E-2</v>
      </c>
      <c r="L787" s="17">
        <v>100</v>
      </c>
      <c r="M787" s="17">
        <v>30800</v>
      </c>
      <c r="N787" s="17">
        <f t="shared" si="110"/>
        <v>38500</v>
      </c>
      <c r="O787" s="17">
        <f t="shared" si="111"/>
        <v>7700</v>
      </c>
      <c r="P787" s="10">
        <f t="shared" si="112"/>
        <v>0.92727272727272725</v>
      </c>
      <c r="Q787" s="10">
        <f t="shared" si="113"/>
        <v>5.6372549019607844E-2</v>
      </c>
      <c r="R787" s="10">
        <f t="shared" si="114"/>
        <v>0.2</v>
      </c>
      <c r="S787" s="18">
        <f t="shared" si="115"/>
        <v>80</v>
      </c>
      <c r="T787" s="8">
        <f>480-ProductionData[[#This Row],[Downtime Minutes]]</f>
        <v>441</v>
      </c>
      <c r="U787" s="11">
        <f t="shared" si="116"/>
        <v>0.92517006802721091</v>
      </c>
      <c r="V787" s="18">
        <f>ProductionData[[#This Row],[Profit]]/ProductionData[[#This Row],[Good Units]]</f>
        <v>20</v>
      </c>
      <c r="W787" s="11">
        <f>ProductionData[[#This Row],[Good Units]]/ProductionData[[#This Row],[Operating Minutes]]</f>
        <v>0.87301587301587302</v>
      </c>
    </row>
    <row r="788" spans="1:23">
      <c r="A788" s="7">
        <v>46291</v>
      </c>
      <c r="B788" s="8" t="s">
        <v>30</v>
      </c>
      <c r="C788" s="8" t="s">
        <v>27</v>
      </c>
      <c r="D788" s="8" t="s">
        <v>21</v>
      </c>
      <c r="E788" s="8" t="s">
        <v>26</v>
      </c>
      <c r="F788" s="9">
        <v>510</v>
      </c>
      <c r="G788" s="9">
        <v>475</v>
      </c>
      <c r="H788" s="9">
        <v>20</v>
      </c>
      <c r="I788" s="9">
        <f t="shared" si="108"/>
        <v>455</v>
      </c>
      <c r="J788" s="9">
        <v>35</v>
      </c>
      <c r="K788" s="10">
        <f t="shared" si="109"/>
        <v>7.2916666666666671E-2</v>
      </c>
      <c r="L788" s="17">
        <v>90</v>
      </c>
      <c r="M788" s="17">
        <v>30800</v>
      </c>
      <c r="N788" s="17">
        <f t="shared" si="110"/>
        <v>40950</v>
      </c>
      <c r="O788" s="17">
        <f t="shared" si="111"/>
        <v>10150</v>
      </c>
      <c r="P788" s="10">
        <f t="shared" si="112"/>
        <v>0.93137254901960786</v>
      </c>
      <c r="Q788" s="10">
        <f t="shared" si="113"/>
        <v>4.2105263157894736E-2</v>
      </c>
      <c r="R788" s="10">
        <f t="shared" si="114"/>
        <v>0.24786324786324787</v>
      </c>
      <c r="S788" s="18">
        <f t="shared" si="115"/>
        <v>67.692307692307693</v>
      </c>
      <c r="T788" s="8">
        <f>480-ProductionData[[#This Row],[Downtime Minutes]]</f>
        <v>445</v>
      </c>
      <c r="U788" s="11">
        <f t="shared" si="116"/>
        <v>1.0674157303370786</v>
      </c>
      <c r="V788" s="18">
        <f>ProductionData[[#This Row],[Profit]]/ProductionData[[#This Row],[Good Units]]</f>
        <v>22.307692307692307</v>
      </c>
      <c r="W788" s="11">
        <f>ProductionData[[#This Row],[Good Units]]/ProductionData[[#This Row],[Operating Minutes]]</f>
        <v>1.0224719101123596</v>
      </c>
    </row>
    <row r="789" spans="1:23">
      <c r="A789" s="7">
        <v>46291</v>
      </c>
      <c r="B789" s="8" t="s">
        <v>30</v>
      </c>
      <c r="C789" s="8" t="s">
        <v>27</v>
      </c>
      <c r="D789" s="8" t="s">
        <v>23</v>
      </c>
      <c r="E789" s="8" t="s">
        <v>22</v>
      </c>
      <c r="F789" s="9">
        <v>460</v>
      </c>
      <c r="G789" s="9">
        <v>408</v>
      </c>
      <c r="H789" s="9">
        <v>30</v>
      </c>
      <c r="I789" s="9">
        <f t="shared" si="108"/>
        <v>378</v>
      </c>
      <c r="J789" s="9">
        <v>67</v>
      </c>
      <c r="K789" s="10">
        <f t="shared" si="109"/>
        <v>0.13958333333333334</v>
      </c>
      <c r="L789" s="17">
        <v>100</v>
      </c>
      <c r="M789" s="17">
        <v>30800</v>
      </c>
      <c r="N789" s="17">
        <f t="shared" si="110"/>
        <v>37800</v>
      </c>
      <c r="O789" s="17">
        <f t="shared" si="111"/>
        <v>7000</v>
      </c>
      <c r="P789" s="10">
        <f t="shared" si="112"/>
        <v>0.88695652173913042</v>
      </c>
      <c r="Q789" s="10">
        <f t="shared" si="113"/>
        <v>7.3529411764705885E-2</v>
      </c>
      <c r="R789" s="10">
        <f t="shared" si="114"/>
        <v>0.18518518518518517</v>
      </c>
      <c r="S789" s="18">
        <f t="shared" si="115"/>
        <v>81.481481481481481</v>
      </c>
      <c r="T789" s="8">
        <f>480-ProductionData[[#This Row],[Downtime Minutes]]</f>
        <v>413</v>
      </c>
      <c r="U789" s="11">
        <f t="shared" si="116"/>
        <v>0.98789346246973364</v>
      </c>
      <c r="V789" s="18">
        <f>ProductionData[[#This Row],[Profit]]/ProductionData[[#This Row],[Good Units]]</f>
        <v>18.518518518518519</v>
      </c>
      <c r="W789" s="11">
        <f>ProductionData[[#This Row],[Good Units]]/ProductionData[[#This Row],[Operating Minutes]]</f>
        <v>0.9152542372881356</v>
      </c>
    </row>
    <row r="790" spans="1:23">
      <c r="A790" s="7">
        <v>46291</v>
      </c>
      <c r="B790" s="8" t="s">
        <v>30</v>
      </c>
      <c r="C790" s="8" t="s">
        <v>27</v>
      </c>
      <c r="D790" s="8" t="s">
        <v>25</v>
      </c>
      <c r="E790" s="8" t="s">
        <v>24</v>
      </c>
      <c r="F790" s="9">
        <v>410</v>
      </c>
      <c r="G790" s="9">
        <v>346</v>
      </c>
      <c r="H790" s="9">
        <v>22</v>
      </c>
      <c r="I790" s="9">
        <f t="shared" si="108"/>
        <v>324</v>
      </c>
      <c r="J790" s="9">
        <v>54</v>
      </c>
      <c r="K790" s="10">
        <f t="shared" si="109"/>
        <v>0.1125</v>
      </c>
      <c r="L790" s="17">
        <v>120</v>
      </c>
      <c r="M790" s="17">
        <v>30800</v>
      </c>
      <c r="N790" s="17">
        <f t="shared" si="110"/>
        <v>38880</v>
      </c>
      <c r="O790" s="17">
        <f t="shared" si="111"/>
        <v>8080</v>
      </c>
      <c r="P790" s="10">
        <f t="shared" si="112"/>
        <v>0.84390243902439022</v>
      </c>
      <c r="Q790" s="10">
        <f t="shared" si="113"/>
        <v>6.358381502890173E-2</v>
      </c>
      <c r="R790" s="10">
        <f t="shared" si="114"/>
        <v>0.20781893004115226</v>
      </c>
      <c r="S790" s="18">
        <f t="shared" si="115"/>
        <v>95.061728395061735</v>
      </c>
      <c r="T790" s="8">
        <f>480-ProductionData[[#This Row],[Downtime Minutes]]</f>
        <v>426</v>
      </c>
      <c r="U790" s="11">
        <f t="shared" si="116"/>
        <v>0.81220657276995301</v>
      </c>
      <c r="V790" s="18">
        <f>ProductionData[[#This Row],[Profit]]/ProductionData[[#This Row],[Good Units]]</f>
        <v>24.938271604938272</v>
      </c>
      <c r="W790" s="11">
        <f>ProductionData[[#This Row],[Good Units]]/ProductionData[[#This Row],[Operating Minutes]]</f>
        <v>0.76056338028169013</v>
      </c>
    </row>
    <row r="791" spans="1:23">
      <c r="A791" s="7">
        <v>46291</v>
      </c>
      <c r="B791" s="8" t="s">
        <v>30</v>
      </c>
      <c r="C791" s="8" t="s">
        <v>28</v>
      </c>
      <c r="D791" s="8" t="s">
        <v>21</v>
      </c>
      <c r="E791" s="8" t="s">
        <v>22</v>
      </c>
      <c r="F791" s="9">
        <v>450</v>
      </c>
      <c r="G791" s="9">
        <v>452</v>
      </c>
      <c r="H791" s="9">
        <v>16</v>
      </c>
      <c r="I791" s="9">
        <f t="shared" si="108"/>
        <v>436</v>
      </c>
      <c r="J791" s="9">
        <v>27</v>
      </c>
      <c r="K791" s="10">
        <f t="shared" si="109"/>
        <v>5.6250000000000001E-2</v>
      </c>
      <c r="L791" s="17">
        <v>100</v>
      </c>
      <c r="M791" s="17">
        <v>30800</v>
      </c>
      <c r="N791" s="17">
        <f t="shared" si="110"/>
        <v>43600</v>
      </c>
      <c r="O791" s="17">
        <f t="shared" si="111"/>
        <v>12800</v>
      </c>
      <c r="P791" s="10">
        <f t="shared" si="112"/>
        <v>1.0044444444444445</v>
      </c>
      <c r="Q791" s="10">
        <f t="shared" si="113"/>
        <v>3.5398230088495575E-2</v>
      </c>
      <c r="R791" s="10">
        <f t="shared" si="114"/>
        <v>0.29357798165137616</v>
      </c>
      <c r="S791" s="18">
        <f t="shared" si="115"/>
        <v>70.642201834862391</v>
      </c>
      <c r="T791" s="8">
        <f>480-ProductionData[[#This Row],[Downtime Minutes]]</f>
        <v>453</v>
      </c>
      <c r="U791" s="11">
        <f t="shared" si="116"/>
        <v>0.99779249448123619</v>
      </c>
      <c r="V791" s="18">
        <f>ProductionData[[#This Row],[Profit]]/ProductionData[[#This Row],[Good Units]]</f>
        <v>29.357798165137616</v>
      </c>
      <c r="W791" s="11">
        <f>ProductionData[[#This Row],[Good Units]]/ProductionData[[#This Row],[Operating Minutes]]</f>
        <v>0.96247240618101548</v>
      </c>
    </row>
    <row r="792" spans="1:23">
      <c r="A792" s="7">
        <v>46291</v>
      </c>
      <c r="B792" s="8" t="s">
        <v>30</v>
      </c>
      <c r="C792" s="8" t="s">
        <v>28</v>
      </c>
      <c r="D792" s="8" t="s">
        <v>23</v>
      </c>
      <c r="E792" s="8" t="s">
        <v>24</v>
      </c>
      <c r="F792" s="9">
        <v>410</v>
      </c>
      <c r="G792" s="9">
        <v>400</v>
      </c>
      <c r="H792" s="9">
        <v>13</v>
      </c>
      <c r="I792" s="9">
        <f t="shared" si="108"/>
        <v>387</v>
      </c>
      <c r="J792" s="9">
        <v>20</v>
      </c>
      <c r="K792" s="10">
        <f t="shared" si="109"/>
        <v>4.1666666666666664E-2</v>
      </c>
      <c r="L792" s="17">
        <v>120</v>
      </c>
      <c r="M792" s="17">
        <v>30800</v>
      </c>
      <c r="N792" s="17">
        <f t="shared" si="110"/>
        <v>46440</v>
      </c>
      <c r="O792" s="17">
        <f t="shared" si="111"/>
        <v>15640</v>
      </c>
      <c r="P792" s="10">
        <f t="shared" si="112"/>
        <v>0.97560975609756095</v>
      </c>
      <c r="Q792" s="10">
        <f t="shared" si="113"/>
        <v>3.2500000000000001E-2</v>
      </c>
      <c r="R792" s="10">
        <f t="shared" si="114"/>
        <v>0.33677863910422051</v>
      </c>
      <c r="S792" s="18">
        <f t="shared" si="115"/>
        <v>79.586563307493535</v>
      </c>
      <c r="T792" s="8">
        <f>480-ProductionData[[#This Row],[Downtime Minutes]]</f>
        <v>460</v>
      </c>
      <c r="U792" s="11">
        <f t="shared" si="116"/>
        <v>0.86956521739130432</v>
      </c>
      <c r="V792" s="18">
        <f>ProductionData[[#This Row],[Profit]]/ProductionData[[#This Row],[Good Units]]</f>
        <v>40.413436692506458</v>
      </c>
      <c r="W792" s="11">
        <f>ProductionData[[#This Row],[Good Units]]/ProductionData[[#This Row],[Operating Minutes]]</f>
        <v>0.84130434782608698</v>
      </c>
    </row>
    <row r="793" spans="1:23">
      <c r="A793" s="7">
        <v>46291</v>
      </c>
      <c r="B793" s="8" t="s">
        <v>30</v>
      </c>
      <c r="C793" s="8" t="s">
        <v>28</v>
      </c>
      <c r="D793" s="8" t="s">
        <v>25</v>
      </c>
      <c r="E793" s="8" t="s">
        <v>26</v>
      </c>
      <c r="F793" s="9">
        <v>510</v>
      </c>
      <c r="G793" s="9">
        <v>465</v>
      </c>
      <c r="H793" s="9">
        <v>21</v>
      </c>
      <c r="I793" s="9">
        <f t="shared" si="108"/>
        <v>444</v>
      </c>
      <c r="J793" s="9">
        <v>23</v>
      </c>
      <c r="K793" s="10">
        <f t="shared" si="109"/>
        <v>4.791666666666667E-2</v>
      </c>
      <c r="L793" s="17">
        <v>90</v>
      </c>
      <c r="M793" s="17">
        <v>30800</v>
      </c>
      <c r="N793" s="17">
        <f t="shared" si="110"/>
        <v>39960</v>
      </c>
      <c r="O793" s="17">
        <f t="shared" si="111"/>
        <v>9160</v>
      </c>
      <c r="P793" s="10">
        <f t="shared" si="112"/>
        <v>0.91176470588235292</v>
      </c>
      <c r="Q793" s="10">
        <f t="shared" si="113"/>
        <v>4.5161290322580643E-2</v>
      </c>
      <c r="R793" s="10">
        <f t="shared" si="114"/>
        <v>0.22922922922922923</v>
      </c>
      <c r="S793" s="18">
        <f t="shared" si="115"/>
        <v>69.369369369369366</v>
      </c>
      <c r="T793" s="8">
        <f>480-ProductionData[[#This Row],[Downtime Minutes]]</f>
        <v>457</v>
      </c>
      <c r="U793" s="11">
        <f t="shared" si="116"/>
        <v>1.0175054704595186</v>
      </c>
      <c r="V793" s="18">
        <f>ProductionData[[#This Row],[Profit]]/ProductionData[[#This Row],[Good Units]]</f>
        <v>20.63063063063063</v>
      </c>
      <c r="W793" s="11">
        <f>ProductionData[[#This Row],[Good Units]]/ProductionData[[#This Row],[Operating Minutes]]</f>
        <v>0.97155361050328226</v>
      </c>
    </row>
    <row r="794" spans="1:23">
      <c r="A794" s="7">
        <v>46292</v>
      </c>
      <c r="B794" s="8" t="s">
        <v>30</v>
      </c>
      <c r="C794" s="8" t="s">
        <v>20</v>
      </c>
      <c r="D794" s="8" t="s">
        <v>21</v>
      </c>
      <c r="E794" s="8" t="s">
        <v>26</v>
      </c>
      <c r="F794" s="9">
        <v>500</v>
      </c>
      <c r="G794" s="9">
        <v>482</v>
      </c>
      <c r="H794" s="9">
        <v>18</v>
      </c>
      <c r="I794" s="9">
        <f t="shared" si="108"/>
        <v>464</v>
      </c>
      <c r="J794" s="9">
        <v>34</v>
      </c>
      <c r="K794" s="10">
        <f t="shared" si="109"/>
        <v>7.0833333333333331E-2</v>
      </c>
      <c r="L794" s="17">
        <v>90</v>
      </c>
      <c r="M794" s="17">
        <v>30800</v>
      </c>
      <c r="N794" s="17">
        <f t="shared" si="110"/>
        <v>41760</v>
      </c>
      <c r="O794" s="17">
        <f t="shared" si="111"/>
        <v>10960</v>
      </c>
      <c r="P794" s="10">
        <f t="shared" si="112"/>
        <v>0.96399999999999997</v>
      </c>
      <c r="Q794" s="10">
        <f t="shared" si="113"/>
        <v>3.7344398340248962E-2</v>
      </c>
      <c r="R794" s="10">
        <f t="shared" si="114"/>
        <v>0.26245210727969348</v>
      </c>
      <c r="S794" s="18">
        <f t="shared" si="115"/>
        <v>66.379310344827587</v>
      </c>
      <c r="T794" s="8">
        <f>480-ProductionData[[#This Row],[Downtime Minutes]]</f>
        <v>446</v>
      </c>
      <c r="U794" s="11">
        <f t="shared" si="116"/>
        <v>1.0807174887892377</v>
      </c>
      <c r="V794" s="18">
        <f>ProductionData[[#This Row],[Profit]]/ProductionData[[#This Row],[Good Units]]</f>
        <v>23.620689655172413</v>
      </c>
      <c r="W794" s="11">
        <f>ProductionData[[#This Row],[Good Units]]/ProductionData[[#This Row],[Operating Minutes]]</f>
        <v>1.0403587443946187</v>
      </c>
    </row>
    <row r="795" spans="1:23">
      <c r="A795" s="7">
        <v>46292</v>
      </c>
      <c r="B795" s="8" t="s">
        <v>30</v>
      </c>
      <c r="C795" s="8" t="s">
        <v>20</v>
      </c>
      <c r="D795" s="8" t="s">
        <v>23</v>
      </c>
      <c r="E795" s="8" t="s">
        <v>22</v>
      </c>
      <c r="F795" s="9">
        <v>440</v>
      </c>
      <c r="G795" s="9">
        <v>414</v>
      </c>
      <c r="H795" s="9">
        <v>19</v>
      </c>
      <c r="I795" s="9">
        <f t="shared" si="108"/>
        <v>395</v>
      </c>
      <c r="J795" s="9">
        <v>30</v>
      </c>
      <c r="K795" s="10">
        <f t="shared" si="109"/>
        <v>6.25E-2</v>
      </c>
      <c r="L795" s="17">
        <v>100</v>
      </c>
      <c r="M795" s="17">
        <v>30800</v>
      </c>
      <c r="N795" s="17">
        <f t="shared" si="110"/>
        <v>39500</v>
      </c>
      <c r="O795" s="17">
        <f t="shared" si="111"/>
        <v>8700</v>
      </c>
      <c r="P795" s="10">
        <f t="shared" si="112"/>
        <v>0.94090909090909092</v>
      </c>
      <c r="Q795" s="10">
        <f t="shared" si="113"/>
        <v>4.5893719806763288E-2</v>
      </c>
      <c r="R795" s="10">
        <f t="shared" si="114"/>
        <v>0.22025316455696203</v>
      </c>
      <c r="S795" s="18">
        <f t="shared" si="115"/>
        <v>77.974683544303801</v>
      </c>
      <c r="T795" s="8">
        <f>480-ProductionData[[#This Row],[Downtime Minutes]]</f>
        <v>450</v>
      </c>
      <c r="U795" s="11">
        <f t="shared" si="116"/>
        <v>0.92</v>
      </c>
      <c r="V795" s="18">
        <f>ProductionData[[#This Row],[Profit]]/ProductionData[[#This Row],[Good Units]]</f>
        <v>22.025316455696203</v>
      </c>
      <c r="W795" s="11">
        <f>ProductionData[[#This Row],[Good Units]]/ProductionData[[#This Row],[Operating Minutes]]</f>
        <v>0.87777777777777777</v>
      </c>
    </row>
    <row r="796" spans="1:23">
      <c r="A796" s="7">
        <v>46292</v>
      </c>
      <c r="B796" s="8" t="s">
        <v>30</v>
      </c>
      <c r="C796" s="8" t="s">
        <v>20</v>
      </c>
      <c r="D796" s="8" t="s">
        <v>25</v>
      </c>
      <c r="E796" s="8" t="s">
        <v>24</v>
      </c>
      <c r="F796" s="9">
        <v>410</v>
      </c>
      <c r="G796" s="9">
        <v>382</v>
      </c>
      <c r="H796" s="9">
        <v>18</v>
      </c>
      <c r="I796" s="9">
        <f t="shared" si="108"/>
        <v>364</v>
      </c>
      <c r="J796" s="9">
        <v>46</v>
      </c>
      <c r="K796" s="10">
        <f t="shared" si="109"/>
        <v>9.583333333333334E-2</v>
      </c>
      <c r="L796" s="17">
        <v>120</v>
      </c>
      <c r="M796" s="17">
        <v>30800</v>
      </c>
      <c r="N796" s="17">
        <f t="shared" si="110"/>
        <v>43680</v>
      </c>
      <c r="O796" s="17">
        <f t="shared" si="111"/>
        <v>12880</v>
      </c>
      <c r="P796" s="10">
        <f t="shared" si="112"/>
        <v>0.93170731707317078</v>
      </c>
      <c r="Q796" s="10">
        <f t="shared" si="113"/>
        <v>4.712041884816754E-2</v>
      </c>
      <c r="R796" s="10">
        <f t="shared" si="114"/>
        <v>0.29487179487179488</v>
      </c>
      <c r="S796" s="18">
        <f t="shared" si="115"/>
        <v>84.615384615384613</v>
      </c>
      <c r="T796" s="8">
        <f>480-ProductionData[[#This Row],[Downtime Minutes]]</f>
        <v>434</v>
      </c>
      <c r="U796" s="11">
        <f t="shared" si="116"/>
        <v>0.88018433179723499</v>
      </c>
      <c r="V796" s="18">
        <f>ProductionData[[#This Row],[Profit]]/ProductionData[[#This Row],[Good Units]]</f>
        <v>35.384615384615387</v>
      </c>
      <c r="W796" s="11">
        <f>ProductionData[[#This Row],[Good Units]]/ProductionData[[#This Row],[Operating Minutes]]</f>
        <v>0.83870967741935487</v>
      </c>
    </row>
    <row r="797" spans="1:23">
      <c r="A797" s="7">
        <v>46292</v>
      </c>
      <c r="B797" s="8" t="s">
        <v>30</v>
      </c>
      <c r="C797" s="8" t="s">
        <v>27</v>
      </c>
      <c r="D797" s="8" t="s">
        <v>21</v>
      </c>
      <c r="E797" s="8" t="s">
        <v>22</v>
      </c>
      <c r="F797" s="9">
        <v>440</v>
      </c>
      <c r="G797" s="9">
        <v>397</v>
      </c>
      <c r="H797" s="9">
        <v>22</v>
      </c>
      <c r="I797" s="9">
        <f t="shared" si="108"/>
        <v>375</v>
      </c>
      <c r="J797" s="9">
        <v>49</v>
      </c>
      <c r="K797" s="10">
        <f t="shared" si="109"/>
        <v>0.10208333333333333</v>
      </c>
      <c r="L797" s="17">
        <v>100</v>
      </c>
      <c r="M797" s="17">
        <v>30800</v>
      </c>
      <c r="N797" s="17">
        <f t="shared" si="110"/>
        <v>37500</v>
      </c>
      <c r="O797" s="17">
        <f t="shared" si="111"/>
        <v>6700</v>
      </c>
      <c r="P797" s="10">
        <f t="shared" si="112"/>
        <v>0.90227272727272723</v>
      </c>
      <c r="Q797" s="10">
        <f t="shared" si="113"/>
        <v>5.5415617128463476E-2</v>
      </c>
      <c r="R797" s="10">
        <f t="shared" si="114"/>
        <v>0.17866666666666667</v>
      </c>
      <c r="S797" s="18">
        <f t="shared" si="115"/>
        <v>82.13333333333334</v>
      </c>
      <c r="T797" s="8">
        <f>480-ProductionData[[#This Row],[Downtime Minutes]]</f>
        <v>431</v>
      </c>
      <c r="U797" s="11">
        <f t="shared" si="116"/>
        <v>0.92111368909512759</v>
      </c>
      <c r="V797" s="18">
        <f>ProductionData[[#This Row],[Profit]]/ProductionData[[#This Row],[Good Units]]</f>
        <v>17.866666666666667</v>
      </c>
      <c r="W797" s="11">
        <f>ProductionData[[#This Row],[Good Units]]/ProductionData[[#This Row],[Operating Minutes]]</f>
        <v>0.87006960556844548</v>
      </c>
    </row>
    <row r="798" spans="1:23">
      <c r="A798" s="7">
        <v>46292</v>
      </c>
      <c r="B798" s="8" t="s">
        <v>30</v>
      </c>
      <c r="C798" s="8" t="s">
        <v>27</v>
      </c>
      <c r="D798" s="8" t="s">
        <v>23</v>
      </c>
      <c r="E798" s="8" t="s">
        <v>24</v>
      </c>
      <c r="F798" s="9">
        <v>390</v>
      </c>
      <c r="G798" s="9">
        <v>355</v>
      </c>
      <c r="H798" s="9">
        <v>19</v>
      </c>
      <c r="I798" s="9">
        <f t="shared" si="108"/>
        <v>336</v>
      </c>
      <c r="J798" s="9">
        <v>67</v>
      </c>
      <c r="K798" s="10">
        <f t="shared" si="109"/>
        <v>0.13958333333333334</v>
      </c>
      <c r="L798" s="17">
        <v>120</v>
      </c>
      <c r="M798" s="17">
        <v>30800</v>
      </c>
      <c r="N798" s="17">
        <f t="shared" si="110"/>
        <v>40320</v>
      </c>
      <c r="O798" s="17">
        <f t="shared" si="111"/>
        <v>9520</v>
      </c>
      <c r="P798" s="10">
        <f t="shared" si="112"/>
        <v>0.91025641025641024</v>
      </c>
      <c r="Q798" s="10">
        <f t="shared" si="113"/>
        <v>5.3521126760563378E-2</v>
      </c>
      <c r="R798" s="10">
        <f t="shared" si="114"/>
        <v>0.2361111111111111</v>
      </c>
      <c r="S798" s="18">
        <f t="shared" si="115"/>
        <v>91.666666666666671</v>
      </c>
      <c r="T798" s="8">
        <f>480-ProductionData[[#This Row],[Downtime Minutes]]</f>
        <v>413</v>
      </c>
      <c r="U798" s="11">
        <f t="shared" si="116"/>
        <v>0.85956416464891039</v>
      </c>
      <c r="V798" s="18">
        <f>ProductionData[[#This Row],[Profit]]/ProductionData[[#This Row],[Good Units]]</f>
        <v>28.333333333333332</v>
      </c>
      <c r="W798" s="11">
        <f>ProductionData[[#This Row],[Good Units]]/ProductionData[[#This Row],[Operating Minutes]]</f>
        <v>0.81355932203389836</v>
      </c>
    </row>
    <row r="799" spans="1:23">
      <c r="A799" s="7">
        <v>46292</v>
      </c>
      <c r="B799" s="8" t="s">
        <v>30</v>
      </c>
      <c r="C799" s="8" t="s">
        <v>27</v>
      </c>
      <c r="D799" s="8" t="s">
        <v>25</v>
      </c>
      <c r="E799" s="8" t="s">
        <v>26</v>
      </c>
      <c r="F799" s="9">
        <v>510</v>
      </c>
      <c r="G799" s="9">
        <v>434</v>
      </c>
      <c r="H799" s="9">
        <v>31</v>
      </c>
      <c r="I799" s="9">
        <f t="shared" si="108"/>
        <v>403</v>
      </c>
      <c r="J799" s="9">
        <v>54</v>
      </c>
      <c r="K799" s="10">
        <f t="shared" si="109"/>
        <v>0.1125</v>
      </c>
      <c r="L799" s="17">
        <v>90</v>
      </c>
      <c r="M799" s="17">
        <v>30800</v>
      </c>
      <c r="N799" s="17">
        <f t="shared" si="110"/>
        <v>36270</v>
      </c>
      <c r="O799" s="17">
        <f t="shared" si="111"/>
        <v>5470</v>
      </c>
      <c r="P799" s="10">
        <f t="shared" si="112"/>
        <v>0.85098039215686272</v>
      </c>
      <c r="Q799" s="10">
        <f t="shared" si="113"/>
        <v>7.1428571428571425E-2</v>
      </c>
      <c r="R799" s="10">
        <f t="shared" si="114"/>
        <v>0.15081334436173147</v>
      </c>
      <c r="S799" s="18">
        <f t="shared" si="115"/>
        <v>76.426799007444174</v>
      </c>
      <c r="T799" s="8">
        <f>480-ProductionData[[#This Row],[Downtime Minutes]]</f>
        <v>426</v>
      </c>
      <c r="U799" s="11">
        <f t="shared" si="116"/>
        <v>1.0187793427230047</v>
      </c>
      <c r="V799" s="18">
        <f>ProductionData[[#This Row],[Profit]]/ProductionData[[#This Row],[Good Units]]</f>
        <v>13.573200992555831</v>
      </c>
      <c r="W799" s="11">
        <f>ProductionData[[#This Row],[Good Units]]/ProductionData[[#This Row],[Operating Minutes]]</f>
        <v>0.9460093896713615</v>
      </c>
    </row>
    <row r="800" spans="1:23">
      <c r="A800" s="7">
        <v>46292</v>
      </c>
      <c r="B800" s="8" t="s">
        <v>30</v>
      </c>
      <c r="C800" s="8" t="s">
        <v>28</v>
      </c>
      <c r="D800" s="8" t="s">
        <v>21</v>
      </c>
      <c r="E800" s="8" t="s">
        <v>24</v>
      </c>
      <c r="F800" s="9">
        <v>400</v>
      </c>
      <c r="G800" s="9">
        <v>396</v>
      </c>
      <c r="H800" s="9">
        <v>6</v>
      </c>
      <c r="I800" s="9">
        <f t="shared" si="108"/>
        <v>390</v>
      </c>
      <c r="J800" s="9">
        <v>31</v>
      </c>
      <c r="K800" s="10">
        <f t="shared" si="109"/>
        <v>6.458333333333334E-2</v>
      </c>
      <c r="L800" s="17">
        <v>120</v>
      </c>
      <c r="M800" s="17">
        <v>30800</v>
      </c>
      <c r="N800" s="17">
        <f t="shared" si="110"/>
        <v>46800</v>
      </c>
      <c r="O800" s="17">
        <f t="shared" si="111"/>
        <v>16000</v>
      </c>
      <c r="P800" s="10">
        <f t="shared" si="112"/>
        <v>0.99</v>
      </c>
      <c r="Q800" s="10">
        <f t="shared" si="113"/>
        <v>1.5151515151515152E-2</v>
      </c>
      <c r="R800" s="10">
        <f t="shared" si="114"/>
        <v>0.34188034188034189</v>
      </c>
      <c r="S800" s="18">
        <f t="shared" si="115"/>
        <v>78.974358974358978</v>
      </c>
      <c r="T800" s="8">
        <f>480-ProductionData[[#This Row],[Downtime Minutes]]</f>
        <v>449</v>
      </c>
      <c r="U800" s="11">
        <f t="shared" si="116"/>
        <v>0.8819599109131403</v>
      </c>
      <c r="V800" s="18">
        <f>ProductionData[[#This Row],[Profit]]/ProductionData[[#This Row],[Good Units]]</f>
        <v>41.025641025641029</v>
      </c>
      <c r="W800" s="11">
        <f>ProductionData[[#This Row],[Good Units]]/ProductionData[[#This Row],[Operating Minutes]]</f>
        <v>0.86859688195991092</v>
      </c>
    </row>
    <row r="801" spans="1:23">
      <c r="A801" s="7">
        <v>46292</v>
      </c>
      <c r="B801" s="8" t="s">
        <v>30</v>
      </c>
      <c r="C801" s="8" t="s">
        <v>28</v>
      </c>
      <c r="D801" s="8" t="s">
        <v>23</v>
      </c>
      <c r="E801" s="8" t="s">
        <v>26</v>
      </c>
      <c r="F801" s="9">
        <v>500</v>
      </c>
      <c r="G801" s="9">
        <v>489</v>
      </c>
      <c r="H801" s="9">
        <v>16</v>
      </c>
      <c r="I801" s="9">
        <f t="shared" si="108"/>
        <v>473</v>
      </c>
      <c r="J801" s="9">
        <v>16</v>
      </c>
      <c r="K801" s="10">
        <f t="shared" si="109"/>
        <v>3.3333333333333333E-2</v>
      </c>
      <c r="L801" s="17">
        <v>90</v>
      </c>
      <c r="M801" s="17">
        <v>30800</v>
      </c>
      <c r="N801" s="17">
        <f t="shared" si="110"/>
        <v>42570</v>
      </c>
      <c r="O801" s="17">
        <f t="shared" si="111"/>
        <v>11770</v>
      </c>
      <c r="P801" s="10">
        <f t="shared" si="112"/>
        <v>0.97799999999999998</v>
      </c>
      <c r="Q801" s="10">
        <f t="shared" si="113"/>
        <v>3.2719836400817999E-2</v>
      </c>
      <c r="R801" s="10">
        <f t="shared" si="114"/>
        <v>0.27648578811369506</v>
      </c>
      <c r="S801" s="18">
        <f t="shared" si="115"/>
        <v>65.116279069767444</v>
      </c>
      <c r="T801" s="8">
        <f>480-ProductionData[[#This Row],[Downtime Minutes]]</f>
        <v>464</v>
      </c>
      <c r="U801" s="11">
        <f t="shared" si="116"/>
        <v>1.0538793103448276</v>
      </c>
      <c r="V801" s="18">
        <f>ProductionData[[#This Row],[Profit]]/ProductionData[[#This Row],[Good Units]]</f>
        <v>24.88372093023256</v>
      </c>
      <c r="W801" s="11">
        <f>ProductionData[[#This Row],[Good Units]]/ProductionData[[#This Row],[Operating Minutes]]</f>
        <v>1.0193965517241379</v>
      </c>
    </row>
    <row r="802" spans="1:23">
      <c r="A802" s="7">
        <v>46292</v>
      </c>
      <c r="B802" s="8" t="s">
        <v>30</v>
      </c>
      <c r="C802" s="8" t="s">
        <v>28</v>
      </c>
      <c r="D802" s="8" t="s">
        <v>25</v>
      </c>
      <c r="E802" s="8" t="s">
        <v>22</v>
      </c>
      <c r="F802" s="9">
        <v>460</v>
      </c>
      <c r="G802" s="9">
        <v>435</v>
      </c>
      <c r="H802" s="9">
        <v>19</v>
      </c>
      <c r="I802" s="9">
        <f t="shared" si="108"/>
        <v>416</v>
      </c>
      <c r="J802" s="9">
        <v>33</v>
      </c>
      <c r="K802" s="10">
        <f t="shared" si="109"/>
        <v>6.8750000000000006E-2</v>
      </c>
      <c r="L802" s="17">
        <v>100</v>
      </c>
      <c r="M802" s="17">
        <v>30800</v>
      </c>
      <c r="N802" s="17">
        <f t="shared" si="110"/>
        <v>41600</v>
      </c>
      <c r="O802" s="17">
        <f t="shared" si="111"/>
        <v>10800</v>
      </c>
      <c r="P802" s="10">
        <f t="shared" si="112"/>
        <v>0.94565217391304346</v>
      </c>
      <c r="Q802" s="10">
        <f t="shared" si="113"/>
        <v>4.3678160919540229E-2</v>
      </c>
      <c r="R802" s="10">
        <f t="shared" si="114"/>
        <v>0.25961538461538464</v>
      </c>
      <c r="S802" s="18">
        <f t="shared" si="115"/>
        <v>74.038461538461533</v>
      </c>
      <c r="T802" s="8">
        <f>480-ProductionData[[#This Row],[Downtime Minutes]]</f>
        <v>447</v>
      </c>
      <c r="U802" s="11">
        <f t="shared" si="116"/>
        <v>0.97315436241610742</v>
      </c>
      <c r="V802" s="18">
        <f>ProductionData[[#This Row],[Profit]]/ProductionData[[#This Row],[Good Units]]</f>
        <v>25.96153846153846</v>
      </c>
      <c r="W802" s="11">
        <f>ProductionData[[#This Row],[Good Units]]/ProductionData[[#This Row],[Operating Minutes]]</f>
        <v>0.93064876957494402</v>
      </c>
    </row>
    <row r="803" spans="1:23">
      <c r="A803" s="7">
        <v>46293</v>
      </c>
      <c r="B803" s="8" t="s">
        <v>30</v>
      </c>
      <c r="C803" s="8" t="s">
        <v>20</v>
      </c>
      <c r="D803" s="8" t="s">
        <v>21</v>
      </c>
      <c r="E803" s="8" t="s">
        <v>22</v>
      </c>
      <c r="F803" s="9">
        <v>460</v>
      </c>
      <c r="G803" s="9">
        <v>451</v>
      </c>
      <c r="H803" s="9">
        <v>23</v>
      </c>
      <c r="I803" s="9">
        <f t="shared" si="108"/>
        <v>428</v>
      </c>
      <c r="J803" s="9">
        <v>25</v>
      </c>
      <c r="K803" s="10">
        <f t="shared" si="109"/>
        <v>5.2083333333333336E-2</v>
      </c>
      <c r="L803" s="17">
        <v>100</v>
      </c>
      <c r="M803" s="17">
        <v>30800</v>
      </c>
      <c r="N803" s="17">
        <f t="shared" si="110"/>
        <v>42800</v>
      </c>
      <c r="O803" s="17">
        <f t="shared" si="111"/>
        <v>12000</v>
      </c>
      <c r="P803" s="10">
        <f t="shared" si="112"/>
        <v>0.98043478260869565</v>
      </c>
      <c r="Q803" s="10">
        <f t="shared" si="113"/>
        <v>5.0997782705099776E-2</v>
      </c>
      <c r="R803" s="10">
        <f t="shared" si="114"/>
        <v>0.28037383177570091</v>
      </c>
      <c r="S803" s="18">
        <f t="shared" si="115"/>
        <v>71.962616822429908</v>
      </c>
      <c r="T803" s="8">
        <f>480-ProductionData[[#This Row],[Downtime Minutes]]</f>
        <v>455</v>
      </c>
      <c r="U803" s="11">
        <f t="shared" si="116"/>
        <v>0.99120879120879124</v>
      </c>
      <c r="V803" s="18">
        <f>ProductionData[[#This Row],[Profit]]/ProductionData[[#This Row],[Good Units]]</f>
        <v>28.037383177570092</v>
      </c>
      <c r="W803" s="11">
        <f>ProductionData[[#This Row],[Good Units]]/ProductionData[[#This Row],[Operating Minutes]]</f>
        <v>0.94065934065934065</v>
      </c>
    </row>
    <row r="804" spans="1:23">
      <c r="A804" s="7">
        <v>46293</v>
      </c>
      <c r="B804" s="8" t="s">
        <v>30</v>
      </c>
      <c r="C804" s="8" t="s">
        <v>20</v>
      </c>
      <c r="D804" s="8" t="s">
        <v>23</v>
      </c>
      <c r="E804" s="8" t="s">
        <v>24</v>
      </c>
      <c r="F804" s="9">
        <v>390</v>
      </c>
      <c r="G804" s="9">
        <v>366</v>
      </c>
      <c r="H804" s="9">
        <v>11</v>
      </c>
      <c r="I804" s="9">
        <f t="shared" si="108"/>
        <v>355</v>
      </c>
      <c r="J804" s="9">
        <v>41</v>
      </c>
      <c r="K804" s="10">
        <f t="shared" si="109"/>
        <v>8.5416666666666669E-2</v>
      </c>
      <c r="L804" s="17">
        <v>120</v>
      </c>
      <c r="M804" s="17">
        <v>30800</v>
      </c>
      <c r="N804" s="17">
        <f t="shared" si="110"/>
        <v>42600</v>
      </c>
      <c r="O804" s="17">
        <f t="shared" si="111"/>
        <v>11800</v>
      </c>
      <c r="P804" s="10">
        <f t="shared" si="112"/>
        <v>0.93846153846153846</v>
      </c>
      <c r="Q804" s="10">
        <f t="shared" si="113"/>
        <v>3.0054644808743168E-2</v>
      </c>
      <c r="R804" s="10">
        <f t="shared" si="114"/>
        <v>0.27699530516431925</v>
      </c>
      <c r="S804" s="18">
        <f t="shared" si="115"/>
        <v>86.760563380281695</v>
      </c>
      <c r="T804" s="8">
        <f>480-ProductionData[[#This Row],[Downtime Minutes]]</f>
        <v>439</v>
      </c>
      <c r="U804" s="11">
        <f t="shared" si="116"/>
        <v>0.83371298405466976</v>
      </c>
      <c r="V804" s="18">
        <f>ProductionData[[#This Row],[Profit]]/ProductionData[[#This Row],[Good Units]]</f>
        <v>33.239436619718312</v>
      </c>
      <c r="W804" s="11">
        <f>ProductionData[[#This Row],[Good Units]]/ProductionData[[#This Row],[Operating Minutes]]</f>
        <v>0.80865603644646922</v>
      </c>
    </row>
    <row r="805" spans="1:23">
      <c r="A805" s="7">
        <v>46293</v>
      </c>
      <c r="B805" s="8" t="s">
        <v>30</v>
      </c>
      <c r="C805" s="8" t="s">
        <v>20</v>
      </c>
      <c r="D805" s="8" t="s">
        <v>25</v>
      </c>
      <c r="E805" s="8" t="s">
        <v>26</v>
      </c>
      <c r="F805" s="9">
        <v>500</v>
      </c>
      <c r="G805" s="9">
        <v>456</v>
      </c>
      <c r="H805" s="9">
        <v>23</v>
      </c>
      <c r="I805" s="9">
        <f t="shared" si="108"/>
        <v>433</v>
      </c>
      <c r="J805" s="9">
        <v>28</v>
      </c>
      <c r="K805" s="10">
        <f t="shared" si="109"/>
        <v>5.8333333333333334E-2</v>
      </c>
      <c r="L805" s="17">
        <v>90</v>
      </c>
      <c r="M805" s="17">
        <v>30800</v>
      </c>
      <c r="N805" s="17">
        <f t="shared" si="110"/>
        <v>38970</v>
      </c>
      <c r="O805" s="17">
        <f t="shared" si="111"/>
        <v>8170</v>
      </c>
      <c r="P805" s="10">
        <f t="shared" si="112"/>
        <v>0.91200000000000003</v>
      </c>
      <c r="Q805" s="10">
        <f t="shared" si="113"/>
        <v>5.0438596491228067E-2</v>
      </c>
      <c r="R805" s="10">
        <f t="shared" si="114"/>
        <v>0.20964844752373621</v>
      </c>
      <c r="S805" s="18">
        <f t="shared" si="115"/>
        <v>71.131639722863738</v>
      </c>
      <c r="T805" s="8">
        <f>480-ProductionData[[#This Row],[Downtime Minutes]]</f>
        <v>452</v>
      </c>
      <c r="U805" s="11">
        <f t="shared" si="116"/>
        <v>1.0088495575221239</v>
      </c>
      <c r="V805" s="18">
        <f>ProductionData[[#This Row],[Profit]]/ProductionData[[#This Row],[Good Units]]</f>
        <v>18.868360277136258</v>
      </c>
      <c r="W805" s="11">
        <f>ProductionData[[#This Row],[Good Units]]/ProductionData[[#This Row],[Operating Minutes]]</f>
        <v>0.95796460176991149</v>
      </c>
    </row>
    <row r="806" spans="1:23">
      <c r="A806" s="7">
        <v>46293</v>
      </c>
      <c r="B806" s="8" t="s">
        <v>30</v>
      </c>
      <c r="C806" s="8" t="s">
        <v>27</v>
      </c>
      <c r="D806" s="8" t="s">
        <v>21</v>
      </c>
      <c r="E806" s="8" t="s">
        <v>24</v>
      </c>
      <c r="F806" s="9">
        <v>400</v>
      </c>
      <c r="G806" s="9">
        <v>365</v>
      </c>
      <c r="H806" s="9">
        <v>14</v>
      </c>
      <c r="I806" s="9">
        <f t="shared" si="108"/>
        <v>351</v>
      </c>
      <c r="J806" s="9">
        <v>51</v>
      </c>
      <c r="K806" s="10">
        <f t="shared" si="109"/>
        <v>0.10625</v>
      </c>
      <c r="L806" s="17">
        <v>120</v>
      </c>
      <c r="M806" s="17">
        <v>30800</v>
      </c>
      <c r="N806" s="17">
        <f t="shared" si="110"/>
        <v>42120</v>
      </c>
      <c r="O806" s="17">
        <f t="shared" si="111"/>
        <v>11320</v>
      </c>
      <c r="P806" s="10">
        <f t="shared" si="112"/>
        <v>0.91249999999999998</v>
      </c>
      <c r="Q806" s="10">
        <f t="shared" si="113"/>
        <v>3.8356164383561646E-2</v>
      </c>
      <c r="R806" s="10">
        <f t="shared" si="114"/>
        <v>0.26875593542260207</v>
      </c>
      <c r="S806" s="18">
        <f t="shared" si="115"/>
        <v>87.749287749287745</v>
      </c>
      <c r="T806" s="8">
        <f>480-ProductionData[[#This Row],[Downtime Minutes]]</f>
        <v>429</v>
      </c>
      <c r="U806" s="11">
        <f t="shared" si="116"/>
        <v>0.85081585081585076</v>
      </c>
      <c r="V806" s="18">
        <f>ProductionData[[#This Row],[Profit]]/ProductionData[[#This Row],[Good Units]]</f>
        <v>32.250712250712247</v>
      </c>
      <c r="W806" s="11">
        <f>ProductionData[[#This Row],[Good Units]]/ProductionData[[#This Row],[Operating Minutes]]</f>
        <v>0.81818181818181823</v>
      </c>
    </row>
    <row r="807" spans="1:23">
      <c r="A807" s="7">
        <v>46293</v>
      </c>
      <c r="B807" s="8" t="s">
        <v>30</v>
      </c>
      <c r="C807" s="8" t="s">
        <v>27</v>
      </c>
      <c r="D807" s="8" t="s">
        <v>23</v>
      </c>
      <c r="E807" s="8" t="s">
        <v>26</v>
      </c>
      <c r="F807" s="9">
        <v>490</v>
      </c>
      <c r="G807" s="9">
        <v>454</v>
      </c>
      <c r="H807" s="9">
        <v>27</v>
      </c>
      <c r="I807" s="9">
        <f t="shared" si="108"/>
        <v>427</v>
      </c>
      <c r="J807" s="9">
        <v>38</v>
      </c>
      <c r="K807" s="10">
        <f t="shared" si="109"/>
        <v>7.9166666666666663E-2</v>
      </c>
      <c r="L807" s="17">
        <v>90</v>
      </c>
      <c r="M807" s="17">
        <v>30800</v>
      </c>
      <c r="N807" s="17">
        <f t="shared" si="110"/>
        <v>38430</v>
      </c>
      <c r="O807" s="17">
        <f t="shared" si="111"/>
        <v>7630</v>
      </c>
      <c r="P807" s="10">
        <f t="shared" si="112"/>
        <v>0.92653061224489797</v>
      </c>
      <c r="Q807" s="10">
        <f t="shared" si="113"/>
        <v>5.9471365638766517E-2</v>
      </c>
      <c r="R807" s="10">
        <f t="shared" si="114"/>
        <v>0.19854280510018216</v>
      </c>
      <c r="S807" s="18">
        <f t="shared" si="115"/>
        <v>72.131147540983605</v>
      </c>
      <c r="T807" s="8">
        <f>480-ProductionData[[#This Row],[Downtime Minutes]]</f>
        <v>442</v>
      </c>
      <c r="U807" s="11">
        <f t="shared" si="116"/>
        <v>1.0271493212669682</v>
      </c>
      <c r="V807" s="18">
        <f>ProductionData[[#This Row],[Profit]]/ProductionData[[#This Row],[Good Units]]</f>
        <v>17.868852459016395</v>
      </c>
      <c r="W807" s="11">
        <f>ProductionData[[#This Row],[Good Units]]/ProductionData[[#This Row],[Operating Minutes]]</f>
        <v>0.9660633484162896</v>
      </c>
    </row>
    <row r="808" spans="1:23">
      <c r="A808" s="7">
        <v>46293</v>
      </c>
      <c r="B808" s="8" t="s">
        <v>30</v>
      </c>
      <c r="C808" s="8" t="s">
        <v>27</v>
      </c>
      <c r="D808" s="8" t="s">
        <v>25</v>
      </c>
      <c r="E808" s="8" t="s">
        <v>22</v>
      </c>
      <c r="F808" s="9">
        <v>450</v>
      </c>
      <c r="G808" s="9">
        <v>378</v>
      </c>
      <c r="H808" s="9">
        <v>29</v>
      </c>
      <c r="I808" s="9">
        <f t="shared" si="108"/>
        <v>349</v>
      </c>
      <c r="J808" s="9">
        <v>56</v>
      </c>
      <c r="K808" s="10">
        <f t="shared" si="109"/>
        <v>0.11666666666666667</v>
      </c>
      <c r="L808" s="17">
        <v>100</v>
      </c>
      <c r="M808" s="17">
        <v>30800</v>
      </c>
      <c r="N808" s="17">
        <f t="shared" si="110"/>
        <v>34900</v>
      </c>
      <c r="O808" s="17">
        <f t="shared" si="111"/>
        <v>4100</v>
      </c>
      <c r="P808" s="10">
        <f t="shared" si="112"/>
        <v>0.84</v>
      </c>
      <c r="Q808" s="10">
        <f t="shared" si="113"/>
        <v>7.6719576719576715E-2</v>
      </c>
      <c r="R808" s="10">
        <f t="shared" si="114"/>
        <v>0.1174785100286533</v>
      </c>
      <c r="S808" s="18">
        <f t="shared" si="115"/>
        <v>88.252148997134668</v>
      </c>
      <c r="T808" s="8">
        <f>480-ProductionData[[#This Row],[Downtime Minutes]]</f>
        <v>424</v>
      </c>
      <c r="U808" s="11">
        <f t="shared" si="116"/>
        <v>0.89150943396226412</v>
      </c>
      <c r="V808" s="18">
        <f>ProductionData[[#This Row],[Profit]]/ProductionData[[#This Row],[Good Units]]</f>
        <v>11.74785100286533</v>
      </c>
      <c r="W808" s="11">
        <f>ProductionData[[#This Row],[Good Units]]/ProductionData[[#This Row],[Operating Minutes]]</f>
        <v>0.82311320754716977</v>
      </c>
    </row>
    <row r="809" spans="1:23">
      <c r="A809" s="7">
        <v>46293</v>
      </c>
      <c r="B809" s="8" t="s">
        <v>30</v>
      </c>
      <c r="C809" s="8" t="s">
        <v>28</v>
      </c>
      <c r="D809" s="8" t="s">
        <v>21</v>
      </c>
      <c r="E809" s="8" t="s">
        <v>26</v>
      </c>
      <c r="F809" s="9">
        <v>520</v>
      </c>
      <c r="G809" s="9">
        <v>513</v>
      </c>
      <c r="H809" s="9">
        <v>17</v>
      </c>
      <c r="I809" s="9">
        <f t="shared" si="108"/>
        <v>496</v>
      </c>
      <c r="J809" s="9">
        <v>22</v>
      </c>
      <c r="K809" s="10">
        <f t="shared" si="109"/>
        <v>4.583333333333333E-2</v>
      </c>
      <c r="L809" s="17">
        <v>90</v>
      </c>
      <c r="M809" s="17">
        <v>30800</v>
      </c>
      <c r="N809" s="17">
        <f t="shared" si="110"/>
        <v>44640</v>
      </c>
      <c r="O809" s="17">
        <f t="shared" si="111"/>
        <v>13840</v>
      </c>
      <c r="P809" s="10">
        <f t="shared" si="112"/>
        <v>0.98653846153846159</v>
      </c>
      <c r="Q809" s="10">
        <f t="shared" si="113"/>
        <v>3.3138401559454189E-2</v>
      </c>
      <c r="R809" s="10">
        <f t="shared" si="114"/>
        <v>0.31003584229390679</v>
      </c>
      <c r="S809" s="18">
        <f t="shared" si="115"/>
        <v>62.096774193548384</v>
      </c>
      <c r="T809" s="8">
        <f>480-ProductionData[[#This Row],[Downtime Minutes]]</f>
        <v>458</v>
      </c>
      <c r="U809" s="11">
        <f t="shared" si="116"/>
        <v>1.1200873362445414</v>
      </c>
      <c r="V809" s="18">
        <f>ProductionData[[#This Row],[Profit]]/ProductionData[[#This Row],[Good Units]]</f>
        <v>27.903225806451612</v>
      </c>
      <c r="W809" s="11">
        <f>ProductionData[[#This Row],[Good Units]]/ProductionData[[#This Row],[Operating Minutes]]</f>
        <v>1.0829694323144106</v>
      </c>
    </row>
    <row r="810" spans="1:23">
      <c r="A810" s="7">
        <v>46293</v>
      </c>
      <c r="B810" s="8" t="s">
        <v>30</v>
      </c>
      <c r="C810" s="8" t="s">
        <v>28</v>
      </c>
      <c r="D810" s="8" t="s">
        <v>23</v>
      </c>
      <c r="E810" s="8" t="s">
        <v>22</v>
      </c>
      <c r="F810" s="9">
        <v>460</v>
      </c>
      <c r="G810" s="9">
        <v>444</v>
      </c>
      <c r="H810" s="9">
        <v>18</v>
      </c>
      <c r="I810" s="9">
        <f t="shared" si="108"/>
        <v>426</v>
      </c>
      <c r="J810" s="9">
        <v>23</v>
      </c>
      <c r="K810" s="10">
        <f t="shared" si="109"/>
        <v>4.791666666666667E-2</v>
      </c>
      <c r="L810" s="17">
        <v>100</v>
      </c>
      <c r="M810" s="17">
        <v>30800</v>
      </c>
      <c r="N810" s="17">
        <f t="shared" si="110"/>
        <v>42600</v>
      </c>
      <c r="O810" s="17">
        <f t="shared" si="111"/>
        <v>11800</v>
      </c>
      <c r="P810" s="10">
        <f t="shared" si="112"/>
        <v>0.9652173913043478</v>
      </c>
      <c r="Q810" s="10">
        <f t="shared" si="113"/>
        <v>4.0540540540540543E-2</v>
      </c>
      <c r="R810" s="10">
        <f t="shared" si="114"/>
        <v>0.27699530516431925</v>
      </c>
      <c r="S810" s="18">
        <f t="shared" si="115"/>
        <v>72.300469483568079</v>
      </c>
      <c r="T810" s="8">
        <f>480-ProductionData[[#This Row],[Downtime Minutes]]</f>
        <v>457</v>
      </c>
      <c r="U810" s="11">
        <f t="shared" si="116"/>
        <v>0.97155361050328226</v>
      </c>
      <c r="V810" s="18">
        <f>ProductionData[[#This Row],[Profit]]/ProductionData[[#This Row],[Good Units]]</f>
        <v>27.699530516431924</v>
      </c>
      <c r="W810" s="11">
        <f>ProductionData[[#This Row],[Good Units]]/ProductionData[[#This Row],[Operating Minutes]]</f>
        <v>0.93216630196936545</v>
      </c>
    </row>
    <row r="811" spans="1:23">
      <c r="A811" s="7">
        <v>46293</v>
      </c>
      <c r="B811" s="8" t="s">
        <v>30</v>
      </c>
      <c r="C811" s="8" t="s">
        <v>28</v>
      </c>
      <c r="D811" s="8" t="s">
        <v>25</v>
      </c>
      <c r="E811" s="8" t="s">
        <v>24</v>
      </c>
      <c r="F811" s="9">
        <v>410</v>
      </c>
      <c r="G811" s="9">
        <v>381</v>
      </c>
      <c r="H811" s="9">
        <v>15</v>
      </c>
      <c r="I811" s="9">
        <f t="shared" si="108"/>
        <v>366</v>
      </c>
      <c r="J811" s="9">
        <v>42</v>
      </c>
      <c r="K811" s="10">
        <f t="shared" si="109"/>
        <v>8.7499999999999994E-2</v>
      </c>
      <c r="L811" s="17">
        <v>120</v>
      </c>
      <c r="M811" s="17">
        <v>30800</v>
      </c>
      <c r="N811" s="17">
        <f t="shared" si="110"/>
        <v>43920</v>
      </c>
      <c r="O811" s="17">
        <f t="shared" si="111"/>
        <v>13120</v>
      </c>
      <c r="P811" s="10">
        <f t="shared" si="112"/>
        <v>0.92926829268292688</v>
      </c>
      <c r="Q811" s="10">
        <f t="shared" si="113"/>
        <v>3.937007874015748E-2</v>
      </c>
      <c r="R811" s="10">
        <f t="shared" si="114"/>
        <v>0.2987249544626594</v>
      </c>
      <c r="S811" s="18">
        <f t="shared" si="115"/>
        <v>84.15300546448087</v>
      </c>
      <c r="T811" s="8">
        <f>480-ProductionData[[#This Row],[Downtime Minutes]]</f>
        <v>438</v>
      </c>
      <c r="U811" s="11">
        <f t="shared" si="116"/>
        <v>0.86986301369863017</v>
      </c>
      <c r="V811" s="18">
        <f>ProductionData[[#This Row],[Profit]]/ProductionData[[#This Row],[Good Units]]</f>
        <v>35.846994535519123</v>
      </c>
      <c r="W811" s="11">
        <f>ProductionData[[#This Row],[Good Units]]/ProductionData[[#This Row],[Operating Minutes]]</f>
        <v>0.83561643835616439</v>
      </c>
    </row>
    <row r="812" spans="1:23">
      <c r="A812" s="7">
        <v>46294</v>
      </c>
      <c r="B812" s="8" t="s">
        <v>30</v>
      </c>
      <c r="C812" s="8" t="s">
        <v>20</v>
      </c>
      <c r="D812" s="8" t="s">
        <v>21</v>
      </c>
      <c r="E812" s="8" t="s">
        <v>24</v>
      </c>
      <c r="F812" s="9">
        <v>410</v>
      </c>
      <c r="G812" s="9">
        <v>390</v>
      </c>
      <c r="H812" s="9">
        <v>11</v>
      </c>
      <c r="I812" s="9">
        <f t="shared" si="108"/>
        <v>379</v>
      </c>
      <c r="J812" s="9">
        <v>21</v>
      </c>
      <c r="K812" s="10">
        <f t="shared" si="109"/>
        <v>4.3749999999999997E-2</v>
      </c>
      <c r="L812" s="17">
        <v>120</v>
      </c>
      <c r="M812" s="17">
        <v>30800</v>
      </c>
      <c r="N812" s="17">
        <f t="shared" si="110"/>
        <v>45480</v>
      </c>
      <c r="O812" s="17">
        <f t="shared" si="111"/>
        <v>14680</v>
      </c>
      <c r="P812" s="10">
        <f t="shared" si="112"/>
        <v>0.95121951219512191</v>
      </c>
      <c r="Q812" s="10">
        <f t="shared" si="113"/>
        <v>2.8205128205128206E-2</v>
      </c>
      <c r="R812" s="10">
        <f t="shared" si="114"/>
        <v>0.3227792436235708</v>
      </c>
      <c r="S812" s="18">
        <f t="shared" si="115"/>
        <v>81.266490765171497</v>
      </c>
      <c r="T812" s="8">
        <f>480-ProductionData[[#This Row],[Downtime Minutes]]</f>
        <v>459</v>
      </c>
      <c r="U812" s="11">
        <f t="shared" si="116"/>
        <v>0.84967320261437906</v>
      </c>
      <c r="V812" s="18">
        <f>ProductionData[[#This Row],[Profit]]/ProductionData[[#This Row],[Good Units]]</f>
        <v>38.733509234828496</v>
      </c>
      <c r="W812" s="11">
        <f>ProductionData[[#This Row],[Good Units]]/ProductionData[[#This Row],[Operating Minutes]]</f>
        <v>0.82570806100217864</v>
      </c>
    </row>
    <row r="813" spans="1:23">
      <c r="A813" s="7">
        <v>46294</v>
      </c>
      <c r="B813" s="8" t="s">
        <v>30</v>
      </c>
      <c r="C813" s="8" t="s">
        <v>20</v>
      </c>
      <c r="D813" s="8" t="s">
        <v>23</v>
      </c>
      <c r="E813" s="8" t="s">
        <v>26</v>
      </c>
      <c r="F813" s="9">
        <v>490</v>
      </c>
      <c r="G813" s="9">
        <v>460</v>
      </c>
      <c r="H813" s="9">
        <v>19</v>
      </c>
      <c r="I813" s="9">
        <f t="shared" si="108"/>
        <v>441</v>
      </c>
      <c r="J813" s="9">
        <v>29</v>
      </c>
      <c r="K813" s="10">
        <f t="shared" si="109"/>
        <v>6.0416666666666667E-2</v>
      </c>
      <c r="L813" s="17">
        <v>90</v>
      </c>
      <c r="M813" s="17">
        <v>30800</v>
      </c>
      <c r="N813" s="17">
        <f t="shared" si="110"/>
        <v>39690</v>
      </c>
      <c r="O813" s="17">
        <f t="shared" si="111"/>
        <v>8890</v>
      </c>
      <c r="P813" s="10">
        <f t="shared" si="112"/>
        <v>0.93877551020408168</v>
      </c>
      <c r="Q813" s="10">
        <f t="shared" si="113"/>
        <v>4.1304347826086954E-2</v>
      </c>
      <c r="R813" s="10">
        <f t="shared" si="114"/>
        <v>0.22398589065255731</v>
      </c>
      <c r="S813" s="18">
        <f t="shared" si="115"/>
        <v>69.841269841269835</v>
      </c>
      <c r="T813" s="8">
        <f>480-ProductionData[[#This Row],[Downtime Minutes]]</f>
        <v>451</v>
      </c>
      <c r="U813" s="11">
        <f t="shared" si="116"/>
        <v>1.0199556541019956</v>
      </c>
      <c r="V813" s="18">
        <f>ProductionData[[#This Row],[Profit]]/ProductionData[[#This Row],[Good Units]]</f>
        <v>20.158730158730158</v>
      </c>
      <c r="W813" s="11">
        <f>ProductionData[[#This Row],[Good Units]]/ProductionData[[#This Row],[Operating Minutes]]</f>
        <v>0.97782705099778267</v>
      </c>
    </row>
    <row r="814" spans="1:23">
      <c r="A814" s="7">
        <v>46294</v>
      </c>
      <c r="B814" s="8" t="s">
        <v>30</v>
      </c>
      <c r="C814" s="8" t="s">
        <v>20</v>
      </c>
      <c r="D814" s="8" t="s">
        <v>25</v>
      </c>
      <c r="E814" s="8" t="s">
        <v>22</v>
      </c>
      <c r="F814" s="9">
        <v>450</v>
      </c>
      <c r="G814" s="9">
        <v>419</v>
      </c>
      <c r="H814" s="9">
        <v>21</v>
      </c>
      <c r="I814" s="9">
        <f t="shared" si="108"/>
        <v>398</v>
      </c>
      <c r="J814" s="9">
        <v>41</v>
      </c>
      <c r="K814" s="10">
        <f t="shared" si="109"/>
        <v>8.5416666666666669E-2</v>
      </c>
      <c r="L814" s="17">
        <v>100</v>
      </c>
      <c r="M814" s="17">
        <v>30800</v>
      </c>
      <c r="N814" s="17">
        <f t="shared" si="110"/>
        <v>39800</v>
      </c>
      <c r="O814" s="17">
        <f t="shared" si="111"/>
        <v>9000</v>
      </c>
      <c r="P814" s="10">
        <f t="shared" si="112"/>
        <v>0.93111111111111111</v>
      </c>
      <c r="Q814" s="10">
        <f t="shared" si="113"/>
        <v>5.0119331742243436E-2</v>
      </c>
      <c r="R814" s="10">
        <f t="shared" si="114"/>
        <v>0.22613065326633167</v>
      </c>
      <c r="S814" s="18">
        <f t="shared" si="115"/>
        <v>77.386934673366838</v>
      </c>
      <c r="T814" s="8">
        <f>480-ProductionData[[#This Row],[Downtime Minutes]]</f>
        <v>439</v>
      </c>
      <c r="U814" s="11">
        <f t="shared" si="116"/>
        <v>0.95444191343963558</v>
      </c>
      <c r="V814" s="18">
        <f>ProductionData[[#This Row],[Profit]]/ProductionData[[#This Row],[Good Units]]</f>
        <v>22.613065326633166</v>
      </c>
      <c r="W814" s="11">
        <f>ProductionData[[#This Row],[Good Units]]/ProductionData[[#This Row],[Operating Minutes]]</f>
        <v>0.90660592255125283</v>
      </c>
    </row>
    <row r="815" spans="1:23">
      <c r="A815" s="7">
        <v>46294</v>
      </c>
      <c r="B815" s="8" t="s">
        <v>30</v>
      </c>
      <c r="C815" s="8" t="s">
        <v>27</v>
      </c>
      <c r="D815" s="8" t="s">
        <v>21</v>
      </c>
      <c r="E815" s="8" t="s">
        <v>26</v>
      </c>
      <c r="F815" s="9">
        <v>490</v>
      </c>
      <c r="G815" s="9">
        <v>452</v>
      </c>
      <c r="H815" s="9">
        <v>24</v>
      </c>
      <c r="I815" s="9">
        <f t="shared" si="108"/>
        <v>428</v>
      </c>
      <c r="J815" s="9">
        <v>34</v>
      </c>
      <c r="K815" s="10">
        <f t="shared" si="109"/>
        <v>7.0833333333333331E-2</v>
      </c>
      <c r="L815" s="17">
        <v>90</v>
      </c>
      <c r="M815" s="17">
        <v>30800</v>
      </c>
      <c r="N815" s="17">
        <f t="shared" si="110"/>
        <v>38520</v>
      </c>
      <c r="O815" s="17">
        <f t="shared" si="111"/>
        <v>7720</v>
      </c>
      <c r="P815" s="10">
        <f t="shared" si="112"/>
        <v>0.92244897959183669</v>
      </c>
      <c r="Q815" s="10">
        <f t="shared" si="113"/>
        <v>5.3097345132743362E-2</v>
      </c>
      <c r="R815" s="10">
        <f t="shared" si="114"/>
        <v>0.20041536863966772</v>
      </c>
      <c r="S815" s="18">
        <f t="shared" si="115"/>
        <v>71.962616822429908</v>
      </c>
      <c r="T815" s="8">
        <f>480-ProductionData[[#This Row],[Downtime Minutes]]</f>
        <v>446</v>
      </c>
      <c r="U815" s="11">
        <f t="shared" si="116"/>
        <v>1.0134529147982063</v>
      </c>
      <c r="V815" s="18">
        <f>ProductionData[[#This Row],[Profit]]/ProductionData[[#This Row],[Good Units]]</f>
        <v>18.037383177570092</v>
      </c>
      <c r="W815" s="11">
        <f>ProductionData[[#This Row],[Good Units]]/ProductionData[[#This Row],[Operating Minutes]]</f>
        <v>0.95964125560538116</v>
      </c>
    </row>
    <row r="816" spans="1:23">
      <c r="A816" s="7">
        <v>46294</v>
      </c>
      <c r="B816" s="8" t="s">
        <v>30</v>
      </c>
      <c r="C816" s="8" t="s">
        <v>27</v>
      </c>
      <c r="D816" s="8" t="s">
        <v>23</v>
      </c>
      <c r="E816" s="8" t="s">
        <v>22</v>
      </c>
      <c r="F816" s="9">
        <v>450</v>
      </c>
      <c r="G816" s="9">
        <v>396</v>
      </c>
      <c r="H816" s="9">
        <v>29</v>
      </c>
      <c r="I816" s="9">
        <f t="shared" si="108"/>
        <v>367</v>
      </c>
      <c r="J816" s="9">
        <v>60</v>
      </c>
      <c r="K816" s="10">
        <f t="shared" si="109"/>
        <v>0.125</v>
      </c>
      <c r="L816" s="17">
        <v>100</v>
      </c>
      <c r="M816" s="17">
        <v>30800</v>
      </c>
      <c r="N816" s="17">
        <f t="shared" si="110"/>
        <v>36700</v>
      </c>
      <c r="O816" s="17">
        <f t="shared" si="111"/>
        <v>5900</v>
      </c>
      <c r="P816" s="10">
        <f t="shared" si="112"/>
        <v>0.88</v>
      </c>
      <c r="Q816" s="10">
        <f t="shared" si="113"/>
        <v>7.3232323232323232E-2</v>
      </c>
      <c r="R816" s="10">
        <f t="shared" si="114"/>
        <v>0.16076294277929154</v>
      </c>
      <c r="S816" s="18">
        <f t="shared" si="115"/>
        <v>83.923705722070849</v>
      </c>
      <c r="T816" s="8">
        <f>480-ProductionData[[#This Row],[Downtime Minutes]]</f>
        <v>420</v>
      </c>
      <c r="U816" s="11">
        <f t="shared" si="116"/>
        <v>0.94285714285714284</v>
      </c>
      <c r="V816" s="18">
        <f>ProductionData[[#This Row],[Profit]]/ProductionData[[#This Row],[Good Units]]</f>
        <v>16.076294277929154</v>
      </c>
      <c r="W816" s="11">
        <f>ProductionData[[#This Row],[Good Units]]/ProductionData[[#This Row],[Operating Minutes]]</f>
        <v>0.87380952380952381</v>
      </c>
    </row>
    <row r="817" spans="1:23">
      <c r="A817" s="7">
        <v>46294</v>
      </c>
      <c r="B817" s="8" t="s">
        <v>30</v>
      </c>
      <c r="C817" s="8" t="s">
        <v>27</v>
      </c>
      <c r="D817" s="8" t="s">
        <v>25</v>
      </c>
      <c r="E817" s="8" t="s">
        <v>24</v>
      </c>
      <c r="F817" s="9">
        <v>400</v>
      </c>
      <c r="G817" s="9">
        <v>354</v>
      </c>
      <c r="H817" s="9">
        <v>22</v>
      </c>
      <c r="I817" s="9">
        <f t="shared" si="108"/>
        <v>332</v>
      </c>
      <c r="J817" s="9">
        <v>52</v>
      </c>
      <c r="K817" s="10">
        <f t="shared" si="109"/>
        <v>0.10833333333333334</v>
      </c>
      <c r="L817" s="17">
        <v>120</v>
      </c>
      <c r="M817" s="17">
        <v>30800</v>
      </c>
      <c r="N817" s="17">
        <f t="shared" si="110"/>
        <v>39840</v>
      </c>
      <c r="O817" s="17">
        <f t="shared" si="111"/>
        <v>9040</v>
      </c>
      <c r="P817" s="10">
        <f t="shared" si="112"/>
        <v>0.88500000000000001</v>
      </c>
      <c r="Q817" s="10">
        <f t="shared" si="113"/>
        <v>6.2146892655367235E-2</v>
      </c>
      <c r="R817" s="10">
        <f t="shared" si="114"/>
        <v>0.22690763052208834</v>
      </c>
      <c r="S817" s="18">
        <f t="shared" si="115"/>
        <v>92.771084337349393</v>
      </c>
      <c r="T817" s="8">
        <f>480-ProductionData[[#This Row],[Downtime Minutes]]</f>
        <v>428</v>
      </c>
      <c r="U817" s="11">
        <f t="shared" si="116"/>
        <v>0.82710280373831779</v>
      </c>
      <c r="V817" s="18">
        <f>ProductionData[[#This Row],[Profit]]/ProductionData[[#This Row],[Good Units]]</f>
        <v>27.228915662650603</v>
      </c>
      <c r="W817" s="11">
        <f>ProductionData[[#This Row],[Good Units]]/ProductionData[[#This Row],[Operating Minutes]]</f>
        <v>0.77570093457943923</v>
      </c>
    </row>
    <row r="818" spans="1:23">
      <c r="A818" s="7">
        <v>46294</v>
      </c>
      <c r="B818" s="8" t="s">
        <v>30</v>
      </c>
      <c r="C818" s="8" t="s">
        <v>28</v>
      </c>
      <c r="D818" s="8" t="s">
        <v>21</v>
      </c>
      <c r="E818" s="8" t="s">
        <v>22</v>
      </c>
      <c r="F818" s="9">
        <v>430</v>
      </c>
      <c r="G818" s="9">
        <v>424</v>
      </c>
      <c r="H818" s="9">
        <v>17</v>
      </c>
      <c r="I818" s="9">
        <f t="shared" si="108"/>
        <v>407</v>
      </c>
      <c r="J818" s="9">
        <v>18</v>
      </c>
      <c r="K818" s="10">
        <f t="shared" si="109"/>
        <v>3.7499999999999999E-2</v>
      </c>
      <c r="L818" s="17">
        <v>100</v>
      </c>
      <c r="M818" s="17">
        <v>30800</v>
      </c>
      <c r="N818" s="17">
        <f t="shared" si="110"/>
        <v>40700</v>
      </c>
      <c r="O818" s="17">
        <f t="shared" si="111"/>
        <v>9900</v>
      </c>
      <c r="P818" s="10">
        <f t="shared" si="112"/>
        <v>0.98604651162790702</v>
      </c>
      <c r="Q818" s="10">
        <f t="shared" si="113"/>
        <v>4.0094339622641507E-2</v>
      </c>
      <c r="R818" s="10">
        <f t="shared" si="114"/>
        <v>0.24324324324324326</v>
      </c>
      <c r="S818" s="18">
        <f t="shared" si="115"/>
        <v>75.675675675675677</v>
      </c>
      <c r="T818" s="8">
        <f>480-ProductionData[[#This Row],[Downtime Minutes]]</f>
        <v>462</v>
      </c>
      <c r="U818" s="11">
        <f t="shared" si="116"/>
        <v>0.91774891774891776</v>
      </c>
      <c r="V818" s="18">
        <f>ProductionData[[#This Row],[Profit]]/ProductionData[[#This Row],[Good Units]]</f>
        <v>24.324324324324323</v>
      </c>
      <c r="W818" s="11">
        <f>ProductionData[[#This Row],[Good Units]]/ProductionData[[#This Row],[Operating Minutes]]</f>
        <v>0.88095238095238093</v>
      </c>
    </row>
    <row r="819" spans="1:23">
      <c r="A819" s="7">
        <v>46294</v>
      </c>
      <c r="B819" s="8" t="s">
        <v>30</v>
      </c>
      <c r="C819" s="8" t="s">
        <v>28</v>
      </c>
      <c r="D819" s="8" t="s">
        <v>23</v>
      </c>
      <c r="E819" s="8" t="s">
        <v>24</v>
      </c>
      <c r="F819" s="9">
        <v>400</v>
      </c>
      <c r="G819" s="9">
        <v>390</v>
      </c>
      <c r="H819" s="9">
        <v>11</v>
      </c>
      <c r="I819" s="9">
        <f t="shared" si="108"/>
        <v>379</v>
      </c>
      <c r="J819" s="9">
        <v>32</v>
      </c>
      <c r="K819" s="10">
        <f t="shared" si="109"/>
        <v>6.6666666666666666E-2</v>
      </c>
      <c r="L819" s="17">
        <v>120</v>
      </c>
      <c r="M819" s="17">
        <v>30800</v>
      </c>
      <c r="N819" s="17">
        <f t="shared" si="110"/>
        <v>45480</v>
      </c>
      <c r="O819" s="17">
        <f t="shared" si="111"/>
        <v>14680</v>
      </c>
      <c r="P819" s="10">
        <f t="shared" si="112"/>
        <v>0.97499999999999998</v>
      </c>
      <c r="Q819" s="10">
        <f t="shared" si="113"/>
        <v>2.8205128205128206E-2</v>
      </c>
      <c r="R819" s="10">
        <f t="shared" si="114"/>
        <v>0.3227792436235708</v>
      </c>
      <c r="S819" s="18">
        <f t="shared" si="115"/>
        <v>81.266490765171497</v>
      </c>
      <c r="T819" s="8">
        <f>480-ProductionData[[#This Row],[Downtime Minutes]]</f>
        <v>448</v>
      </c>
      <c r="U819" s="11">
        <f t="shared" si="116"/>
        <v>0.8705357142857143</v>
      </c>
      <c r="V819" s="18">
        <f>ProductionData[[#This Row],[Profit]]/ProductionData[[#This Row],[Good Units]]</f>
        <v>38.733509234828496</v>
      </c>
      <c r="W819" s="11">
        <f>ProductionData[[#This Row],[Good Units]]/ProductionData[[#This Row],[Operating Minutes]]</f>
        <v>0.8459821428571429</v>
      </c>
    </row>
    <row r="820" spans="1:23">
      <c r="A820" s="7">
        <v>46294</v>
      </c>
      <c r="B820" s="8" t="s">
        <v>30</v>
      </c>
      <c r="C820" s="8" t="s">
        <v>28</v>
      </c>
      <c r="D820" s="8" t="s">
        <v>25</v>
      </c>
      <c r="E820" s="8" t="s">
        <v>26</v>
      </c>
      <c r="F820" s="9">
        <v>500</v>
      </c>
      <c r="G820" s="9">
        <v>456</v>
      </c>
      <c r="H820" s="9">
        <v>21</v>
      </c>
      <c r="I820" s="9">
        <f t="shared" si="108"/>
        <v>435</v>
      </c>
      <c r="J820" s="9">
        <v>36</v>
      </c>
      <c r="K820" s="10">
        <f t="shared" si="109"/>
        <v>7.4999999999999997E-2</v>
      </c>
      <c r="L820" s="17">
        <v>90</v>
      </c>
      <c r="M820" s="17">
        <v>30800</v>
      </c>
      <c r="N820" s="17">
        <f t="shared" si="110"/>
        <v>39150</v>
      </c>
      <c r="O820" s="17">
        <f t="shared" si="111"/>
        <v>8350</v>
      </c>
      <c r="P820" s="10">
        <f t="shared" si="112"/>
        <v>0.91200000000000003</v>
      </c>
      <c r="Q820" s="10">
        <f t="shared" si="113"/>
        <v>4.6052631578947366E-2</v>
      </c>
      <c r="R820" s="10">
        <f t="shared" si="114"/>
        <v>0.21328224776500637</v>
      </c>
      <c r="S820" s="18">
        <f t="shared" si="115"/>
        <v>70.804597701149419</v>
      </c>
      <c r="T820" s="8">
        <f>480-ProductionData[[#This Row],[Downtime Minutes]]</f>
        <v>444</v>
      </c>
      <c r="U820" s="11">
        <f t="shared" si="116"/>
        <v>1.027027027027027</v>
      </c>
      <c r="V820" s="18">
        <f>ProductionData[[#This Row],[Profit]]/ProductionData[[#This Row],[Good Units]]</f>
        <v>19.195402298850574</v>
      </c>
      <c r="W820" s="11">
        <f>ProductionData[[#This Row],[Good Units]]/ProductionData[[#This Row],[Operating Minutes]]</f>
        <v>0.97972972972972971</v>
      </c>
    </row>
    <row r="821" spans="1:23">
      <c r="A821" s="7">
        <v>46295</v>
      </c>
      <c r="B821" s="8" t="s">
        <v>30</v>
      </c>
      <c r="C821" s="8" t="s">
        <v>20</v>
      </c>
      <c r="D821" s="8" t="s">
        <v>21</v>
      </c>
      <c r="E821" s="8" t="s">
        <v>26</v>
      </c>
      <c r="F821" s="9">
        <v>520</v>
      </c>
      <c r="G821" s="9">
        <v>508</v>
      </c>
      <c r="H821" s="9">
        <v>20</v>
      </c>
      <c r="I821" s="9">
        <f t="shared" si="108"/>
        <v>488</v>
      </c>
      <c r="J821" s="9">
        <v>35</v>
      </c>
      <c r="K821" s="10">
        <f t="shared" si="109"/>
        <v>7.2916666666666671E-2</v>
      </c>
      <c r="L821" s="17">
        <v>90</v>
      </c>
      <c r="M821" s="17">
        <v>30800</v>
      </c>
      <c r="N821" s="17">
        <f t="shared" si="110"/>
        <v>43920</v>
      </c>
      <c r="O821" s="17">
        <f t="shared" si="111"/>
        <v>13120</v>
      </c>
      <c r="P821" s="10">
        <f t="shared" si="112"/>
        <v>0.97692307692307689</v>
      </c>
      <c r="Q821" s="10">
        <f t="shared" si="113"/>
        <v>3.937007874015748E-2</v>
      </c>
      <c r="R821" s="10">
        <f t="shared" si="114"/>
        <v>0.2987249544626594</v>
      </c>
      <c r="S821" s="18">
        <f t="shared" si="115"/>
        <v>63.114754098360656</v>
      </c>
      <c r="T821" s="8">
        <f>480-ProductionData[[#This Row],[Downtime Minutes]]</f>
        <v>445</v>
      </c>
      <c r="U821" s="11">
        <f t="shared" si="116"/>
        <v>1.1415730337078651</v>
      </c>
      <c r="V821" s="18">
        <f>ProductionData[[#This Row],[Profit]]/ProductionData[[#This Row],[Good Units]]</f>
        <v>26.885245901639344</v>
      </c>
      <c r="W821" s="11">
        <f>ProductionData[[#This Row],[Good Units]]/ProductionData[[#This Row],[Operating Minutes]]</f>
        <v>1.0966292134831461</v>
      </c>
    </row>
    <row r="822" spans="1:23">
      <c r="A822" s="7">
        <v>46295</v>
      </c>
      <c r="B822" s="8" t="s">
        <v>30</v>
      </c>
      <c r="C822" s="8" t="s">
        <v>20</v>
      </c>
      <c r="D822" s="8" t="s">
        <v>23</v>
      </c>
      <c r="E822" s="8" t="s">
        <v>22</v>
      </c>
      <c r="F822" s="9">
        <v>440</v>
      </c>
      <c r="G822" s="9">
        <v>426</v>
      </c>
      <c r="H822" s="9">
        <v>18</v>
      </c>
      <c r="I822" s="9">
        <f t="shared" si="108"/>
        <v>408</v>
      </c>
      <c r="J822" s="9">
        <v>51</v>
      </c>
      <c r="K822" s="10">
        <f t="shared" si="109"/>
        <v>0.10625</v>
      </c>
      <c r="L822" s="17">
        <v>100</v>
      </c>
      <c r="M822" s="17">
        <v>30800</v>
      </c>
      <c r="N822" s="17">
        <f t="shared" si="110"/>
        <v>40800</v>
      </c>
      <c r="O822" s="17">
        <f t="shared" si="111"/>
        <v>10000</v>
      </c>
      <c r="P822" s="10">
        <f t="shared" si="112"/>
        <v>0.96818181818181814</v>
      </c>
      <c r="Q822" s="10">
        <f t="shared" si="113"/>
        <v>4.2253521126760563E-2</v>
      </c>
      <c r="R822" s="10">
        <f t="shared" si="114"/>
        <v>0.24509803921568626</v>
      </c>
      <c r="S822" s="18">
        <f t="shared" si="115"/>
        <v>75.490196078431367</v>
      </c>
      <c r="T822" s="8">
        <f>480-ProductionData[[#This Row],[Downtime Minutes]]</f>
        <v>429</v>
      </c>
      <c r="U822" s="11">
        <f t="shared" si="116"/>
        <v>0.99300699300699302</v>
      </c>
      <c r="V822" s="18">
        <f>ProductionData[[#This Row],[Profit]]/ProductionData[[#This Row],[Good Units]]</f>
        <v>24.509803921568629</v>
      </c>
      <c r="W822" s="11">
        <f>ProductionData[[#This Row],[Good Units]]/ProductionData[[#This Row],[Operating Minutes]]</f>
        <v>0.95104895104895104</v>
      </c>
    </row>
    <row r="823" spans="1:23">
      <c r="A823" s="7">
        <v>46295</v>
      </c>
      <c r="B823" s="8" t="s">
        <v>30</v>
      </c>
      <c r="C823" s="8" t="s">
        <v>20</v>
      </c>
      <c r="D823" s="8" t="s">
        <v>25</v>
      </c>
      <c r="E823" s="8" t="s">
        <v>24</v>
      </c>
      <c r="F823" s="9">
        <v>400</v>
      </c>
      <c r="G823" s="9">
        <v>364</v>
      </c>
      <c r="H823" s="9">
        <v>17</v>
      </c>
      <c r="I823" s="9">
        <f t="shared" si="108"/>
        <v>347</v>
      </c>
      <c r="J823" s="9">
        <v>44</v>
      </c>
      <c r="K823" s="10">
        <f t="shared" si="109"/>
        <v>9.166666666666666E-2</v>
      </c>
      <c r="L823" s="17">
        <v>120</v>
      </c>
      <c r="M823" s="17">
        <v>30800</v>
      </c>
      <c r="N823" s="17">
        <f t="shared" si="110"/>
        <v>41640</v>
      </c>
      <c r="O823" s="17">
        <f t="shared" si="111"/>
        <v>10840</v>
      </c>
      <c r="P823" s="10">
        <f t="shared" si="112"/>
        <v>0.91</v>
      </c>
      <c r="Q823" s="10">
        <f t="shared" si="113"/>
        <v>4.6703296703296704E-2</v>
      </c>
      <c r="R823" s="10">
        <f t="shared" si="114"/>
        <v>0.26032660902977905</v>
      </c>
      <c r="S823" s="18">
        <f t="shared" si="115"/>
        <v>88.760806916426517</v>
      </c>
      <c r="T823" s="8">
        <f>480-ProductionData[[#This Row],[Downtime Minutes]]</f>
        <v>436</v>
      </c>
      <c r="U823" s="11">
        <f t="shared" si="116"/>
        <v>0.83486238532110091</v>
      </c>
      <c r="V823" s="18">
        <f>ProductionData[[#This Row],[Profit]]/ProductionData[[#This Row],[Good Units]]</f>
        <v>31.239193083573486</v>
      </c>
      <c r="W823" s="11">
        <f>ProductionData[[#This Row],[Good Units]]/ProductionData[[#This Row],[Operating Minutes]]</f>
        <v>0.79587155963302747</v>
      </c>
    </row>
    <row r="824" spans="1:23">
      <c r="A824" s="7">
        <v>46295</v>
      </c>
      <c r="B824" s="8" t="s">
        <v>30</v>
      </c>
      <c r="C824" s="8" t="s">
        <v>27</v>
      </c>
      <c r="D824" s="8" t="s">
        <v>21</v>
      </c>
      <c r="E824" s="8" t="s">
        <v>22</v>
      </c>
      <c r="F824" s="9">
        <v>460</v>
      </c>
      <c r="G824" s="9">
        <v>426</v>
      </c>
      <c r="H824" s="9">
        <v>25</v>
      </c>
      <c r="I824" s="9">
        <f t="shared" si="108"/>
        <v>401</v>
      </c>
      <c r="J824" s="9">
        <v>51</v>
      </c>
      <c r="K824" s="10">
        <f t="shared" si="109"/>
        <v>0.10625</v>
      </c>
      <c r="L824" s="17">
        <v>100</v>
      </c>
      <c r="M824" s="17">
        <v>30800</v>
      </c>
      <c r="N824" s="17">
        <f t="shared" si="110"/>
        <v>40100</v>
      </c>
      <c r="O824" s="17">
        <f t="shared" si="111"/>
        <v>9300</v>
      </c>
      <c r="P824" s="10">
        <f t="shared" si="112"/>
        <v>0.92608695652173911</v>
      </c>
      <c r="Q824" s="10">
        <f t="shared" si="113"/>
        <v>5.8685446009389672E-2</v>
      </c>
      <c r="R824" s="10">
        <f t="shared" si="114"/>
        <v>0.23192019950124687</v>
      </c>
      <c r="S824" s="18">
        <f t="shared" si="115"/>
        <v>76.807980049875312</v>
      </c>
      <c r="T824" s="8">
        <f>480-ProductionData[[#This Row],[Downtime Minutes]]</f>
        <v>429</v>
      </c>
      <c r="U824" s="11">
        <f t="shared" si="116"/>
        <v>0.99300699300699302</v>
      </c>
      <c r="V824" s="18">
        <f>ProductionData[[#This Row],[Profit]]/ProductionData[[#This Row],[Good Units]]</f>
        <v>23.192019950124688</v>
      </c>
      <c r="W824" s="11">
        <f>ProductionData[[#This Row],[Good Units]]/ProductionData[[#This Row],[Operating Minutes]]</f>
        <v>0.93473193473193472</v>
      </c>
    </row>
    <row r="825" spans="1:23">
      <c r="A825" s="7">
        <v>46295</v>
      </c>
      <c r="B825" s="8" t="s">
        <v>30</v>
      </c>
      <c r="C825" s="8" t="s">
        <v>27</v>
      </c>
      <c r="D825" s="8" t="s">
        <v>23</v>
      </c>
      <c r="E825" s="8" t="s">
        <v>24</v>
      </c>
      <c r="F825" s="9">
        <v>400</v>
      </c>
      <c r="G825" s="9">
        <v>351</v>
      </c>
      <c r="H825" s="9">
        <v>17</v>
      </c>
      <c r="I825" s="9">
        <f t="shared" si="108"/>
        <v>334</v>
      </c>
      <c r="J825" s="9">
        <v>65</v>
      </c>
      <c r="K825" s="10">
        <f t="shared" si="109"/>
        <v>0.13541666666666666</v>
      </c>
      <c r="L825" s="17">
        <v>120</v>
      </c>
      <c r="M825" s="17">
        <v>30800</v>
      </c>
      <c r="N825" s="17">
        <f t="shared" si="110"/>
        <v>40080</v>
      </c>
      <c r="O825" s="17">
        <f t="shared" si="111"/>
        <v>9280</v>
      </c>
      <c r="P825" s="10">
        <f t="shared" si="112"/>
        <v>0.87749999999999995</v>
      </c>
      <c r="Q825" s="10">
        <f t="shared" si="113"/>
        <v>4.843304843304843E-2</v>
      </c>
      <c r="R825" s="10">
        <f t="shared" si="114"/>
        <v>0.2315369261477046</v>
      </c>
      <c r="S825" s="18">
        <f t="shared" si="115"/>
        <v>92.215568862275447</v>
      </c>
      <c r="T825" s="8">
        <f>480-ProductionData[[#This Row],[Downtime Minutes]]</f>
        <v>415</v>
      </c>
      <c r="U825" s="11">
        <f t="shared" si="116"/>
        <v>0.8457831325301205</v>
      </c>
      <c r="V825" s="18">
        <f>ProductionData[[#This Row],[Profit]]/ProductionData[[#This Row],[Good Units]]</f>
        <v>27.78443113772455</v>
      </c>
      <c r="W825" s="11">
        <f>ProductionData[[#This Row],[Good Units]]/ProductionData[[#This Row],[Operating Minutes]]</f>
        <v>0.80481927710843371</v>
      </c>
    </row>
    <row r="826" spans="1:23">
      <c r="A826" s="7">
        <v>46295</v>
      </c>
      <c r="B826" s="8" t="s">
        <v>30</v>
      </c>
      <c r="C826" s="8" t="s">
        <v>27</v>
      </c>
      <c r="D826" s="8" t="s">
        <v>25</v>
      </c>
      <c r="E826" s="8" t="s">
        <v>26</v>
      </c>
      <c r="F826" s="9">
        <v>490</v>
      </c>
      <c r="G826" s="9">
        <v>432</v>
      </c>
      <c r="H826" s="9">
        <v>30</v>
      </c>
      <c r="I826" s="9">
        <f t="shared" si="108"/>
        <v>402</v>
      </c>
      <c r="J826" s="9">
        <v>66</v>
      </c>
      <c r="K826" s="10">
        <f t="shared" si="109"/>
        <v>0.13750000000000001</v>
      </c>
      <c r="L826" s="17">
        <v>90</v>
      </c>
      <c r="M826" s="17">
        <v>30800</v>
      </c>
      <c r="N826" s="17">
        <f t="shared" si="110"/>
        <v>36180</v>
      </c>
      <c r="O826" s="17">
        <f t="shared" si="111"/>
        <v>5380</v>
      </c>
      <c r="P826" s="10">
        <f t="shared" si="112"/>
        <v>0.88163265306122451</v>
      </c>
      <c r="Q826" s="10">
        <f t="shared" si="113"/>
        <v>6.9444444444444448E-2</v>
      </c>
      <c r="R826" s="10">
        <f t="shared" si="114"/>
        <v>0.14870093974571585</v>
      </c>
      <c r="S826" s="18">
        <f t="shared" si="115"/>
        <v>76.616915422885569</v>
      </c>
      <c r="T826" s="8">
        <f>480-ProductionData[[#This Row],[Downtime Minutes]]</f>
        <v>414</v>
      </c>
      <c r="U826" s="11">
        <f t="shared" si="116"/>
        <v>1.0434782608695652</v>
      </c>
      <c r="V826" s="18">
        <f>ProductionData[[#This Row],[Profit]]/ProductionData[[#This Row],[Good Units]]</f>
        <v>13.383084577114428</v>
      </c>
      <c r="W826" s="11">
        <f>ProductionData[[#This Row],[Good Units]]/ProductionData[[#This Row],[Operating Minutes]]</f>
        <v>0.97101449275362317</v>
      </c>
    </row>
    <row r="827" spans="1:23">
      <c r="A827" s="7">
        <v>46295</v>
      </c>
      <c r="B827" s="8" t="s">
        <v>30</v>
      </c>
      <c r="C827" s="8" t="s">
        <v>28</v>
      </c>
      <c r="D827" s="8" t="s">
        <v>21</v>
      </c>
      <c r="E827" s="8" t="s">
        <v>24</v>
      </c>
      <c r="F827" s="9">
        <v>400</v>
      </c>
      <c r="G827" s="9">
        <v>385</v>
      </c>
      <c r="H827" s="9">
        <v>9</v>
      </c>
      <c r="I827" s="9">
        <f t="shared" si="108"/>
        <v>376</v>
      </c>
      <c r="J827" s="9">
        <v>19</v>
      </c>
      <c r="K827" s="10">
        <f t="shared" si="109"/>
        <v>3.9583333333333331E-2</v>
      </c>
      <c r="L827" s="17">
        <v>120</v>
      </c>
      <c r="M827" s="17">
        <v>30800</v>
      </c>
      <c r="N827" s="17">
        <f t="shared" si="110"/>
        <v>45120</v>
      </c>
      <c r="O827" s="17">
        <f t="shared" si="111"/>
        <v>14320</v>
      </c>
      <c r="P827" s="10">
        <f t="shared" si="112"/>
        <v>0.96250000000000002</v>
      </c>
      <c r="Q827" s="10">
        <f t="shared" si="113"/>
        <v>2.3376623376623377E-2</v>
      </c>
      <c r="R827" s="10">
        <f t="shared" si="114"/>
        <v>0.31737588652482268</v>
      </c>
      <c r="S827" s="18">
        <f t="shared" si="115"/>
        <v>81.914893617021278</v>
      </c>
      <c r="T827" s="8">
        <f>480-ProductionData[[#This Row],[Downtime Minutes]]</f>
        <v>461</v>
      </c>
      <c r="U827" s="11">
        <f t="shared" si="116"/>
        <v>0.83514099783080264</v>
      </c>
      <c r="V827" s="18">
        <f>ProductionData[[#This Row],[Profit]]/ProductionData[[#This Row],[Good Units]]</f>
        <v>38.085106382978722</v>
      </c>
      <c r="W827" s="11">
        <f>ProductionData[[#This Row],[Good Units]]/ProductionData[[#This Row],[Operating Minutes]]</f>
        <v>0.81561822125813443</v>
      </c>
    </row>
    <row r="828" spans="1:23">
      <c r="A828" s="7">
        <v>46295</v>
      </c>
      <c r="B828" s="8" t="s">
        <v>30</v>
      </c>
      <c r="C828" s="8" t="s">
        <v>28</v>
      </c>
      <c r="D828" s="8" t="s">
        <v>23</v>
      </c>
      <c r="E828" s="8" t="s">
        <v>26</v>
      </c>
      <c r="F828" s="9">
        <v>520</v>
      </c>
      <c r="G828" s="9">
        <v>493</v>
      </c>
      <c r="H828" s="9">
        <v>17</v>
      </c>
      <c r="I828" s="9">
        <f t="shared" si="108"/>
        <v>476</v>
      </c>
      <c r="J828" s="9">
        <v>17</v>
      </c>
      <c r="K828" s="10">
        <f t="shared" si="109"/>
        <v>3.5416666666666666E-2</v>
      </c>
      <c r="L828" s="17">
        <v>90</v>
      </c>
      <c r="M828" s="17">
        <v>30800</v>
      </c>
      <c r="N828" s="17">
        <f t="shared" si="110"/>
        <v>42840</v>
      </c>
      <c r="O828" s="17">
        <f t="shared" si="111"/>
        <v>12040</v>
      </c>
      <c r="P828" s="10">
        <f t="shared" si="112"/>
        <v>0.94807692307692304</v>
      </c>
      <c r="Q828" s="10">
        <f t="shared" si="113"/>
        <v>3.4482758620689655E-2</v>
      </c>
      <c r="R828" s="10">
        <f t="shared" si="114"/>
        <v>0.28104575163398693</v>
      </c>
      <c r="S828" s="18">
        <f t="shared" si="115"/>
        <v>64.705882352941174</v>
      </c>
      <c r="T828" s="8">
        <f>480-ProductionData[[#This Row],[Downtime Minutes]]</f>
        <v>463</v>
      </c>
      <c r="U828" s="11">
        <f t="shared" si="116"/>
        <v>1.0647948164146868</v>
      </c>
      <c r="V828" s="18">
        <f>ProductionData[[#This Row],[Profit]]/ProductionData[[#This Row],[Good Units]]</f>
        <v>25.294117647058822</v>
      </c>
      <c r="W828" s="11">
        <f>ProductionData[[#This Row],[Good Units]]/ProductionData[[#This Row],[Operating Minutes]]</f>
        <v>1.0280777537796977</v>
      </c>
    </row>
    <row r="829" spans="1:23">
      <c r="A829" s="7">
        <v>46295</v>
      </c>
      <c r="B829" s="8" t="s">
        <v>30</v>
      </c>
      <c r="C829" s="8" t="s">
        <v>28</v>
      </c>
      <c r="D829" s="8" t="s">
        <v>25</v>
      </c>
      <c r="E829" s="8" t="s">
        <v>22</v>
      </c>
      <c r="F829" s="9">
        <v>450</v>
      </c>
      <c r="G829" s="9">
        <v>426</v>
      </c>
      <c r="H829" s="9">
        <v>23</v>
      </c>
      <c r="I829" s="9">
        <f t="shared" si="108"/>
        <v>403</v>
      </c>
      <c r="J829" s="9">
        <v>52</v>
      </c>
      <c r="K829" s="10">
        <f t="shared" si="109"/>
        <v>0.10833333333333334</v>
      </c>
      <c r="L829" s="17">
        <v>100</v>
      </c>
      <c r="M829" s="17">
        <v>30800</v>
      </c>
      <c r="N829" s="17">
        <f t="shared" si="110"/>
        <v>40300</v>
      </c>
      <c r="O829" s="17">
        <f t="shared" si="111"/>
        <v>9500</v>
      </c>
      <c r="P829" s="10">
        <f t="shared" si="112"/>
        <v>0.94666666666666666</v>
      </c>
      <c r="Q829" s="10">
        <f t="shared" si="113"/>
        <v>5.39906103286385E-2</v>
      </c>
      <c r="R829" s="10">
        <f t="shared" si="114"/>
        <v>0.23573200992555832</v>
      </c>
      <c r="S829" s="18">
        <f t="shared" si="115"/>
        <v>76.426799007444174</v>
      </c>
      <c r="T829" s="8">
        <f>480-ProductionData[[#This Row],[Downtime Minutes]]</f>
        <v>428</v>
      </c>
      <c r="U829" s="11">
        <f t="shared" si="116"/>
        <v>0.99532710280373837</v>
      </c>
      <c r="V829" s="18">
        <f>ProductionData[[#This Row],[Profit]]/ProductionData[[#This Row],[Good Units]]</f>
        <v>23.573200992555833</v>
      </c>
      <c r="W829" s="11">
        <f>ProductionData[[#This Row],[Good Units]]/ProductionData[[#This Row],[Operating Minutes]]</f>
        <v>0.94158878504672894</v>
      </c>
    </row>
    <row r="830" spans="1:23">
      <c r="A830" s="7">
        <v>46296</v>
      </c>
      <c r="B830" s="8" t="s">
        <v>31</v>
      </c>
      <c r="C830" s="8" t="s">
        <v>20</v>
      </c>
      <c r="D830" s="8" t="s">
        <v>21</v>
      </c>
      <c r="E830" s="8" t="s">
        <v>22</v>
      </c>
      <c r="F830" s="9">
        <v>450</v>
      </c>
      <c r="G830" s="9">
        <v>434</v>
      </c>
      <c r="H830" s="9">
        <v>22</v>
      </c>
      <c r="I830" s="9">
        <f t="shared" si="108"/>
        <v>412</v>
      </c>
      <c r="J830" s="9">
        <v>45</v>
      </c>
      <c r="K830" s="10">
        <f t="shared" si="109"/>
        <v>9.375E-2</v>
      </c>
      <c r="L830" s="17">
        <v>100</v>
      </c>
      <c r="M830" s="17">
        <v>30800</v>
      </c>
      <c r="N830" s="17">
        <f t="shared" si="110"/>
        <v>41200</v>
      </c>
      <c r="O830" s="17">
        <f t="shared" si="111"/>
        <v>10400</v>
      </c>
      <c r="P830" s="10">
        <f t="shared" si="112"/>
        <v>0.96444444444444444</v>
      </c>
      <c r="Q830" s="10">
        <f t="shared" si="113"/>
        <v>5.0691244239631339E-2</v>
      </c>
      <c r="R830" s="10">
        <f t="shared" si="114"/>
        <v>0.25242718446601942</v>
      </c>
      <c r="S830" s="18">
        <f t="shared" si="115"/>
        <v>74.757281553398059</v>
      </c>
      <c r="T830" s="8">
        <f>480-ProductionData[[#This Row],[Downtime Minutes]]</f>
        <v>435</v>
      </c>
      <c r="U830" s="11">
        <f t="shared" si="116"/>
        <v>0.99770114942528731</v>
      </c>
      <c r="V830" s="18">
        <f>ProductionData[[#This Row],[Profit]]/ProductionData[[#This Row],[Good Units]]</f>
        <v>25.242718446601941</v>
      </c>
      <c r="W830" s="11">
        <f>ProductionData[[#This Row],[Good Units]]/ProductionData[[#This Row],[Operating Minutes]]</f>
        <v>0.94712643678160924</v>
      </c>
    </row>
    <row r="831" spans="1:23">
      <c r="A831" s="7">
        <v>46296</v>
      </c>
      <c r="B831" s="8" t="s">
        <v>31</v>
      </c>
      <c r="C831" s="8" t="s">
        <v>20</v>
      </c>
      <c r="D831" s="8" t="s">
        <v>23</v>
      </c>
      <c r="E831" s="8" t="s">
        <v>24</v>
      </c>
      <c r="F831" s="9">
        <v>410</v>
      </c>
      <c r="G831" s="9">
        <v>399</v>
      </c>
      <c r="H831" s="9">
        <v>13</v>
      </c>
      <c r="I831" s="9">
        <f t="shared" si="108"/>
        <v>386</v>
      </c>
      <c r="J831" s="9">
        <v>38</v>
      </c>
      <c r="K831" s="10">
        <f t="shared" si="109"/>
        <v>7.9166666666666663E-2</v>
      </c>
      <c r="L831" s="17">
        <v>120</v>
      </c>
      <c r="M831" s="17">
        <v>30800</v>
      </c>
      <c r="N831" s="17">
        <f t="shared" si="110"/>
        <v>46320</v>
      </c>
      <c r="O831" s="17">
        <f t="shared" si="111"/>
        <v>15520</v>
      </c>
      <c r="P831" s="10">
        <f t="shared" si="112"/>
        <v>0.97317073170731705</v>
      </c>
      <c r="Q831" s="10">
        <f t="shared" si="113"/>
        <v>3.2581453634085211E-2</v>
      </c>
      <c r="R831" s="10">
        <f t="shared" si="114"/>
        <v>0.33506044905008636</v>
      </c>
      <c r="S831" s="18">
        <f t="shared" si="115"/>
        <v>79.792746113989637</v>
      </c>
      <c r="T831" s="8">
        <f>480-ProductionData[[#This Row],[Downtime Minutes]]</f>
        <v>442</v>
      </c>
      <c r="U831" s="11">
        <f t="shared" si="116"/>
        <v>0.90271493212669685</v>
      </c>
      <c r="V831" s="18">
        <f>ProductionData[[#This Row],[Profit]]/ProductionData[[#This Row],[Good Units]]</f>
        <v>40.207253886010363</v>
      </c>
      <c r="W831" s="11">
        <f>ProductionData[[#This Row],[Good Units]]/ProductionData[[#This Row],[Operating Minutes]]</f>
        <v>0.87330316742081449</v>
      </c>
    </row>
    <row r="832" spans="1:23">
      <c r="A832" s="7">
        <v>46296</v>
      </c>
      <c r="B832" s="8" t="s">
        <v>31</v>
      </c>
      <c r="C832" s="8" t="s">
        <v>20</v>
      </c>
      <c r="D832" s="8" t="s">
        <v>25</v>
      </c>
      <c r="E832" s="8" t="s">
        <v>26</v>
      </c>
      <c r="F832" s="9">
        <v>500</v>
      </c>
      <c r="G832" s="9">
        <v>446</v>
      </c>
      <c r="H832" s="9">
        <v>18</v>
      </c>
      <c r="I832" s="9">
        <f t="shared" si="108"/>
        <v>428</v>
      </c>
      <c r="J832" s="9">
        <v>47</v>
      </c>
      <c r="K832" s="10">
        <f t="shared" si="109"/>
        <v>9.7916666666666666E-2</v>
      </c>
      <c r="L832" s="17">
        <v>90</v>
      </c>
      <c r="M832" s="17">
        <v>30800</v>
      </c>
      <c r="N832" s="17">
        <f t="shared" si="110"/>
        <v>38520</v>
      </c>
      <c r="O832" s="17">
        <f t="shared" si="111"/>
        <v>7720</v>
      </c>
      <c r="P832" s="10">
        <f t="shared" si="112"/>
        <v>0.89200000000000002</v>
      </c>
      <c r="Q832" s="10">
        <f t="shared" si="113"/>
        <v>4.0358744394618833E-2</v>
      </c>
      <c r="R832" s="10">
        <f t="shared" si="114"/>
        <v>0.20041536863966772</v>
      </c>
      <c r="S832" s="18">
        <f t="shared" si="115"/>
        <v>71.962616822429908</v>
      </c>
      <c r="T832" s="8">
        <f>480-ProductionData[[#This Row],[Downtime Minutes]]</f>
        <v>433</v>
      </c>
      <c r="U832" s="11">
        <f t="shared" si="116"/>
        <v>1.0300230946882216</v>
      </c>
      <c r="V832" s="18">
        <f>ProductionData[[#This Row],[Profit]]/ProductionData[[#This Row],[Good Units]]</f>
        <v>18.037383177570092</v>
      </c>
      <c r="W832" s="11">
        <f>ProductionData[[#This Row],[Good Units]]/ProductionData[[#This Row],[Operating Minutes]]</f>
        <v>0.98845265588914555</v>
      </c>
    </row>
    <row r="833" spans="1:23">
      <c r="A833" s="7">
        <v>46296</v>
      </c>
      <c r="B833" s="8" t="s">
        <v>31</v>
      </c>
      <c r="C833" s="8" t="s">
        <v>27</v>
      </c>
      <c r="D833" s="8" t="s">
        <v>21</v>
      </c>
      <c r="E833" s="8" t="s">
        <v>24</v>
      </c>
      <c r="F833" s="9">
        <v>390</v>
      </c>
      <c r="G833" s="9">
        <v>361</v>
      </c>
      <c r="H833" s="9">
        <v>15</v>
      </c>
      <c r="I833" s="9">
        <f t="shared" si="108"/>
        <v>346</v>
      </c>
      <c r="J833" s="9">
        <v>45</v>
      </c>
      <c r="K833" s="10">
        <f t="shared" si="109"/>
        <v>9.375E-2</v>
      </c>
      <c r="L833" s="17">
        <v>120</v>
      </c>
      <c r="M833" s="17">
        <v>30800</v>
      </c>
      <c r="N833" s="17">
        <f t="shared" si="110"/>
        <v>41520</v>
      </c>
      <c r="O833" s="17">
        <f t="shared" si="111"/>
        <v>10720</v>
      </c>
      <c r="P833" s="10">
        <f t="shared" si="112"/>
        <v>0.92564102564102568</v>
      </c>
      <c r="Q833" s="10">
        <f t="shared" si="113"/>
        <v>4.1551246537396121E-2</v>
      </c>
      <c r="R833" s="10">
        <f t="shared" si="114"/>
        <v>0.25818882466281312</v>
      </c>
      <c r="S833" s="18">
        <f t="shared" si="115"/>
        <v>89.017341040462426</v>
      </c>
      <c r="T833" s="8">
        <f>480-ProductionData[[#This Row],[Downtime Minutes]]</f>
        <v>435</v>
      </c>
      <c r="U833" s="11">
        <f t="shared" si="116"/>
        <v>0.8298850574712644</v>
      </c>
      <c r="V833" s="18">
        <f>ProductionData[[#This Row],[Profit]]/ProductionData[[#This Row],[Good Units]]</f>
        <v>30.982658959537574</v>
      </c>
      <c r="W833" s="11">
        <f>ProductionData[[#This Row],[Good Units]]/ProductionData[[#This Row],[Operating Minutes]]</f>
        <v>0.79540229885057467</v>
      </c>
    </row>
    <row r="834" spans="1:23">
      <c r="A834" s="7">
        <v>46296</v>
      </c>
      <c r="B834" s="8" t="s">
        <v>31</v>
      </c>
      <c r="C834" s="8" t="s">
        <v>27</v>
      </c>
      <c r="D834" s="8" t="s">
        <v>23</v>
      </c>
      <c r="E834" s="8" t="s">
        <v>26</v>
      </c>
      <c r="F834" s="9">
        <v>490</v>
      </c>
      <c r="G834" s="9">
        <v>451</v>
      </c>
      <c r="H834" s="9">
        <v>26</v>
      </c>
      <c r="I834" s="9">
        <f t="shared" ref="I834:I897" si="117">G834-H834</f>
        <v>425</v>
      </c>
      <c r="J834" s="9">
        <v>47</v>
      </c>
      <c r="K834" s="10">
        <f t="shared" ref="K834:K897" si="118">J834/480</f>
        <v>9.7916666666666666E-2</v>
      </c>
      <c r="L834" s="17">
        <v>90</v>
      </c>
      <c r="M834" s="17">
        <v>30800</v>
      </c>
      <c r="N834" s="17">
        <f t="shared" ref="N834:N897" si="119">I834*L834</f>
        <v>38250</v>
      </c>
      <c r="O834" s="17">
        <f t="shared" ref="O834:O897" si="120">N834-M834</f>
        <v>7450</v>
      </c>
      <c r="P834" s="10">
        <f t="shared" ref="P834:P897" si="121">G834/F834</f>
        <v>0.92040816326530617</v>
      </c>
      <c r="Q834" s="10">
        <f t="shared" ref="Q834:Q897" si="122">H834/G834</f>
        <v>5.7649667405764965E-2</v>
      </c>
      <c r="R834" s="10">
        <f t="shared" ref="R834:R897" si="123">O834/N834</f>
        <v>0.19477124183006536</v>
      </c>
      <c r="S834" s="18">
        <f t="shared" ref="S834:S897" si="124">M834/I834</f>
        <v>72.470588235294116</v>
      </c>
      <c r="T834" s="8">
        <f>480-ProductionData[[#This Row],[Downtime Minutes]]</f>
        <v>433</v>
      </c>
      <c r="U834" s="11">
        <f t="shared" ref="U834:U897" si="125">G834/T834</f>
        <v>1.0415704387990763</v>
      </c>
      <c r="V834" s="18">
        <f>ProductionData[[#This Row],[Profit]]/ProductionData[[#This Row],[Good Units]]</f>
        <v>17.529411764705884</v>
      </c>
      <c r="W834" s="11">
        <f>ProductionData[[#This Row],[Good Units]]/ProductionData[[#This Row],[Operating Minutes]]</f>
        <v>0.98152424942263283</v>
      </c>
    </row>
    <row r="835" spans="1:23">
      <c r="A835" s="7">
        <v>46296</v>
      </c>
      <c r="B835" s="8" t="s">
        <v>31</v>
      </c>
      <c r="C835" s="8" t="s">
        <v>27</v>
      </c>
      <c r="D835" s="8" t="s">
        <v>25</v>
      </c>
      <c r="E835" s="8" t="s">
        <v>22</v>
      </c>
      <c r="F835" s="9">
        <v>460</v>
      </c>
      <c r="G835" s="9">
        <v>387</v>
      </c>
      <c r="H835" s="9">
        <v>31</v>
      </c>
      <c r="I835" s="9">
        <f t="shared" si="117"/>
        <v>356</v>
      </c>
      <c r="J835" s="9">
        <v>57</v>
      </c>
      <c r="K835" s="10">
        <f t="shared" si="118"/>
        <v>0.11874999999999999</v>
      </c>
      <c r="L835" s="17">
        <v>100</v>
      </c>
      <c r="M835" s="17">
        <v>30800</v>
      </c>
      <c r="N835" s="17">
        <f t="shared" si="119"/>
        <v>35600</v>
      </c>
      <c r="O835" s="17">
        <f t="shared" si="120"/>
        <v>4800</v>
      </c>
      <c r="P835" s="10">
        <f t="shared" si="121"/>
        <v>0.84130434782608698</v>
      </c>
      <c r="Q835" s="10">
        <f t="shared" si="122"/>
        <v>8.0103359173126609E-2</v>
      </c>
      <c r="R835" s="10">
        <f t="shared" si="123"/>
        <v>0.1348314606741573</v>
      </c>
      <c r="S835" s="18">
        <f t="shared" si="124"/>
        <v>86.516853932584269</v>
      </c>
      <c r="T835" s="8">
        <f>480-ProductionData[[#This Row],[Downtime Minutes]]</f>
        <v>423</v>
      </c>
      <c r="U835" s="11">
        <f t="shared" si="125"/>
        <v>0.91489361702127658</v>
      </c>
      <c r="V835" s="18">
        <f>ProductionData[[#This Row],[Profit]]/ProductionData[[#This Row],[Good Units]]</f>
        <v>13.48314606741573</v>
      </c>
      <c r="W835" s="11">
        <f>ProductionData[[#This Row],[Good Units]]/ProductionData[[#This Row],[Operating Minutes]]</f>
        <v>0.84160756501182032</v>
      </c>
    </row>
    <row r="836" spans="1:23">
      <c r="A836" s="7">
        <v>46296</v>
      </c>
      <c r="B836" s="8" t="s">
        <v>31</v>
      </c>
      <c r="C836" s="8" t="s">
        <v>28</v>
      </c>
      <c r="D836" s="8" t="s">
        <v>21</v>
      </c>
      <c r="E836" s="8" t="s">
        <v>26</v>
      </c>
      <c r="F836" s="9">
        <v>510</v>
      </c>
      <c r="G836" s="9">
        <v>507</v>
      </c>
      <c r="H836" s="9">
        <v>16</v>
      </c>
      <c r="I836" s="9">
        <f t="shared" si="117"/>
        <v>491</v>
      </c>
      <c r="J836" s="9">
        <v>28</v>
      </c>
      <c r="K836" s="10">
        <f t="shared" si="118"/>
        <v>5.8333333333333334E-2</v>
      </c>
      <c r="L836" s="17">
        <v>90</v>
      </c>
      <c r="M836" s="17">
        <v>30800</v>
      </c>
      <c r="N836" s="17">
        <f t="shared" si="119"/>
        <v>44190</v>
      </c>
      <c r="O836" s="17">
        <f t="shared" si="120"/>
        <v>13390</v>
      </c>
      <c r="P836" s="10">
        <f t="shared" si="121"/>
        <v>0.99411764705882355</v>
      </c>
      <c r="Q836" s="10">
        <f t="shared" si="122"/>
        <v>3.1558185404339252E-2</v>
      </c>
      <c r="R836" s="10">
        <f t="shared" si="123"/>
        <v>0.30300973070830506</v>
      </c>
      <c r="S836" s="18">
        <f t="shared" si="124"/>
        <v>62.729124236252545</v>
      </c>
      <c r="T836" s="8">
        <f>480-ProductionData[[#This Row],[Downtime Minutes]]</f>
        <v>452</v>
      </c>
      <c r="U836" s="11">
        <f t="shared" si="125"/>
        <v>1.1216814159292035</v>
      </c>
      <c r="V836" s="18">
        <f>ProductionData[[#This Row],[Profit]]/ProductionData[[#This Row],[Good Units]]</f>
        <v>27.270875763747455</v>
      </c>
      <c r="W836" s="11">
        <f>ProductionData[[#This Row],[Good Units]]/ProductionData[[#This Row],[Operating Minutes]]</f>
        <v>1.086283185840708</v>
      </c>
    </row>
    <row r="837" spans="1:23">
      <c r="A837" s="7">
        <v>46296</v>
      </c>
      <c r="B837" s="8" t="s">
        <v>31</v>
      </c>
      <c r="C837" s="8" t="s">
        <v>28</v>
      </c>
      <c r="D837" s="8" t="s">
        <v>23</v>
      </c>
      <c r="E837" s="8" t="s">
        <v>22</v>
      </c>
      <c r="F837" s="9">
        <v>450</v>
      </c>
      <c r="G837" s="9">
        <v>429</v>
      </c>
      <c r="H837" s="9">
        <v>20</v>
      </c>
      <c r="I837" s="9">
        <f t="shared" si="117"/>
        <v>409</v>
      </c>
      <c r="J837" s="9">
        <v>44</v>
      </c>
      <c r="K837" s="10">
        <f t="shared" si="118"/>
        <v>9.166666666666666E-2</v>
      </c>
      <c r="L837" s="17">
        <v>100</v>
      </c>
      <c r="M837" s="17">
        <v>30800</v>
      </c>
      <c r="N837" s="17">
        <f t="shared" si="119"/>
        <v>40900</v>
      </c>
      <c r="O837" s="17">
        <f t="shared" si="120"/>
        <v>10100</v>
      </c>
      <c r="P837" s="10">
        <f t="shared" si="121"/>
        <v>0.95333333333333337</v>
      </c>
      <c r="Q837" s="10">
        <f t="shared" si="122"/>
        <v>4.6620046620046623E-2</v>
      </c>
      <c r="R837" s="10">
        <f t="shared" si="123"/>
        <v>0.24694376528117359</v>
      </c>
      <c r="S837" s="18">
        <f t="shared" si="124"/>
        <v>75.30562347188264</v>
      </c>
      <c r="T837" s="8">
        <f>480-ProductionData[[#This Row],[Downtime Minutes]]</f>
        <v>436</v>
      </c>
      <c r="U837" s="11">
        <f t="shared" si="125"/>
        <v>0.98394495412844041</v>
      </c>
      <c r="V837" s="18">
        <f>ProductionData[[#This Row],[Profit]]/ProductionData[[#This Row],[Good Units]]</f>
        <v>24.69437652811736</v>
      </c>
      <c r="W837" s="11">
        <f>ProductionData[[#This Row],[Good Units]]/ProductionData[[#This Row],[Operating Minutes]]</f>
        <v>0.93807339449541283</v>
      </c>
    </row>
    <row r="838" spans="1:23">
      <c r="A838" s="7">
        <v>46296</v>
      </c>
      <c r="B838" s="8" t="s">
        <v>31</v>
      </c>
      <c r="C838" s="8" t="s">
        <v>28</v>
      </c>
      <c r="D838" s="8" t="s">
        <v>25</v>
      </c>
      <c r="E838" s="8" t="s">
        <v>24</v>
      </c>
      <c r="F838" s="9">
        <v>410</v>
      </c>
      <c r="G838" s="9">
        <v>374</v>
      </c>
      <c r="H838" s="9">
        <v>12</v>
      </c>
      <c r="I838" s="9">
        <f t="shared" si="117"/>
        <v>362</v>
      </c>
      <c r="J838" s="9">
        <v>36</v>
      </c>
      <c r="K838" s="10">
        <f t="shared" si="118"/>
        <v>7.4999999999999997E-2</v>
      </c>
      <c r="L838" s="17">
        <v>120</v>
      </c>
      <c r="M838" s="17">
        <v>30800</v>
      </c>
      <c r="N838" s="17">
        <f t="shared" si="119"/>
        <v>43440</v>
      </c>
      <c r="O838" s="17">
        <f t="shared" si="120"/>
        <v>12640</v>
      </c>
      <c r="P838" s="10">
        <f t="shared" si="121"/>
        <v>0.91219512195121955</v>
      </c>
      <c r="Q838" s="10">
        <f t="shared" si="122"/>
        <v>3.2085561497326207E-2</v>
      </c>
      <c r="R838" s="10">
        <f t="shared" si="123"/>
        <v>0.29097605893186002</v>
      </c>
      <c r="S838" s="18">
        <f t="shared" si="124"/>
        <v>85.082872928176798</v>
      </c>
      <c r="T838" s="8">
        <f>480-ProductionData[[#This Row],[Downtime Minutes]]</f>
        <v>444</v>
      </c>
      <c r="U838" s="11">
        <f t="shared" si="125"/>
        <v>0.84234234234234229</v>
      </c>
      <c r="V838" s="18">
        <f>ProductionData[[#This Row],[Profit]]/ProductionData[[#This Row],[Good Units]]</f>
        <v>34.917127071823202</v>
      </c>
      <c r="W838" s="11">
        <f>ProductionData[[#This Row],[Good Units]]/ProductionData[[#This Row],[Operating Minutes]]</f>
        <v>0.81531531531531531</v>
      </c>
    </row>
    <row r="839" spans="1:23">
      <c r="A839" s="7">
        <v>46297</v>
      </c>
      <c r="B839" s="8" t="s">
        <v>31</v>
      </c>
      <c r="C839" s="8" t="s">
        <v>20</v>
      </c>
      <c r="D839" s="8" t="s">
        <v>21</v>
      </c>
      <c r="E839" s="8" t="s">
        <v>24</v>
      </c>
      <c r="F839" s="9">
        <v>410</v>
      </c>
      <c r="G839" s="9">
        <v>383</v>
      </c>
      <c r="H839" s="9">
        <v>12</v>
      </c>
      <c r="I839" s="9">
        <f t="shared" si="117"/>
        <v>371</v>
      </c>
      <c r="J839" s="9">
        <v>24</v>
      </c>
      <c r="K839" s="10">
        <f t="shared" si="118"/>
        <v>0.05</v>
      </c>
      <c r="L839" s="17">
        <v>120</v>
      </c>
      <c r="M839" s="17">
        <v>30800</v>
      </c>
      <c r="N839" s="17">
        <f t="shared" si="119"/>
        <v>44520</v>
      </c>
      <c r="O839" s="17">
        <f t="shared" si="120"/>
        <v>13720</v>
      </c>
      <c r="P839" s="10">
        <f t="shared" si="121"/>
        <v>0.93414634146341469</v>
      </c>
      <c r="Q839" s="10">
        <f t="shared" si="122"/>
        <v>3.1331592689295036E-2</v>
      </c>
      <c r="R839" s="10">
        <f t="shared" si="123"/>
        <v>0.3081761006289308</v>
      </c>
      <c r="S839" s="18">
        <f t="shared" si="124"/>
        <v>83.018867924528308</v>
      </c>
      <c r="T839" s="8">
        <f>480-ProductionData[[#This Row],[Downtime Minutes]]</f>
        <v>456</v>
      </c>
      <c r="U839" s="11">
        <f t="shared" si="125"/>
        <v>0.83991228070175439</v>
      </c>
      <c r="V839" s="18">
        <f>ProductionData[[#This Row],[Profit]]/ProductionData[[#This Row],[Good Units]]</f>
        <v>36.981132075471699</v>
      </c>
      <c r="W839" s="11">
        <f>ProductionData[[#This Row],[Good Units]]/ProductionData[[#This Row],[Operating Minutes]]</f>
        <v>0.81359649122807021</v>
      </c>
    </row>
    <row r="840" spans="1:23">
      <c r="A840" s="7">
        <v>46297</v>
      </c>
      <c r="B840" s="8" t="s">
        <v>31</v>
      </c>
      <c r="C840" s="8" t="s">
        <v>20</v>
      </c>
      <c r="D840" s="8" t="s">
        <v>23</v>
      </c>
      <c r="E840" s="8" t="s">
        <v>26</v>
      </c>
      <c r="F840" s="9">
        <v>510</v>
      </c>
      <c r="G840" s="9">
        <v>495</v>
      </c>
      <c r="H840" s="9">
        <v>18</v>
      </c>
      <c r="I840" s="9">
        <f t="shared" si="117"/>
        <v>477</v>
      </c>
      <c r="J840" s="9">
        <v>27</v>
      </c>
      <c r="K840" s="10">
        <f t="shared" si="118"/>
        <v>5.6250000000000001E-2</v>
      </c>
      <c r="L840" s="17">
        <v>90</v>
      </c>
      <c r="M840" s="17">
        <v>30800</v>
      </c>
      <c r="N840" s="17">
        <f t="shared" si="119"/>
        <v>42930</v>
      </c>
      <c r="O840" s="17">
        <f t="shared" si="120"/>
        <v>12130</v>
      </c>
      <c r="P840" s="10">
        <f t="shared" si="121"/>
        <v>0.97058823529411764</v>
      </c>
      <c r="Q840" s="10">
        <f t="shared" si="122"/>
        <v>3.6363636363636362E-2</v>
      </c>
      <c r="R840" s="10">
        <f t="shared" si="123"/>
        <v>0.28255299324481714</v>
      </c>
      <c r="S840" s="18">
        <f t="shared" si="124"/>
        <v>64.570230607966451</v>
      </c>
      <c r="T840" s="8">
        <f>480-ProductionData[[#This Row],[Downtime Minutes]]</f>
        <v>453</v>
      </c>
      <c r="U840" s="11">
        <f t="shared" si="125"/>
        <v>1.0927152317880795</v>
      </c>
      <c r="V840" s="18">
        <f>ProductionData[[#This Row],[Profit]]/ProductionData[[#This Row],[Good Units]]</f>
        <v>25.429769392033542</v>
      </c>
      <c r="W840" s="11">
        <f>ProductionData[[#This Row],[Good Units]]/ProductionData[[#This Row],[Operating Minutes]]</f>
        <v>1.0529801324503312</v>
      </c>
    </row>
    <row r="841" spans="1:23">
      <c r="A841" s="7">
        <v>46297</v>
      </c>
      <c r="B841" s="8" t="s">
        <v>31</v>
      </c>
      <c r="C841" s="8" t="s">
        <v>20</v>
      </c>
      <c r="D841" s="8" t="s">
        <v>25</v>
      </c>
      <c r="E841" s="8" t="s">
        <v>22</v>
      </c>
      <c r="F841" s="9">
        <v>460</v>
      </c>
      <c r="G841" s="9">
        <v>427</v>
      </c>
      <c r="H841" s="9">
        <v>26</v>
      </c>
      <c r="I841" s="9">
        <f t="shared" si="117"/>
        <v>401</v>
      </c>
      <c r="J841" s="9">
        <v>53</v>
      </c>
      <c r="K841" s="10">
        <f t="shared" si="118"/>
        <v>0.11041666666666666</v>
      </c>
      <c r="L841" s="17">
        <v>100</v>
      </c>
      <c r="M841" s="17">
        <v>30800</v>
      </c>
      <c r="N841" s="17">
        <f t="shared" si="119"/>
        <v>40100</v>
      </c>
      <c r="O841" s="17">
        <f t="shared" si="120"/>
        <v>9300</v>
      </c>
      <c r="P841" s="10">
        <f t="shared" si="121"/>
        <v>0.92826086956521736</v>
      </c>
      <c r="Q841" s="10">
        <f t="shared" si="122"/>
        <v>6.0889929742388757E-2</v>
      </c>
      <c r="R841" s="10">
        <f t="shared" si="123"/>
        <v>0.23192019950124687</v>
      </c>
      <c r="S841" s="18">
        <f t="shared" si="124"/>
        <v>76.807980049875312</v>
      </c>
      <c r="T841" s="8">
        <f>480-ProductionData[[#This Row],[Downtime Minutes]]</f>
        <v>427</v>
      </c>
      <c r="U841" s="11">
        <f t="shared" si="125"/>
        <v>1</v>
      </c>
      <c r="V841" s="18">
        <f>ProductionData[[#This Row],[Profit]]/ProductionData[[#This Row],[Good Units]]</f>
        <v>23.192019950124688</v>
      </c>
      <c r="W841" s="11">
        <f>ProductionData[[#This Row],[Good Units]]/ProductionData[[#This Row],[Operating Minutes]]</f>
        <v>0.93911007025761128</v>
      </c>
    </row>
    <row r="842" spans="1:23">
      <c r="A842" s="7">
        <v>46297</v>
      </c>
      <c r="B842" s="8" t="s">
        <v>31</v>
      </c>
      <c r="C842" s="8" t="s">
        <v>27</v>
      </c>
      <c r="D842" s="8" t="s">
        <v>21</v>
      </c>
      <c r="E842" s="8" t="s">
        <v>26</v>
      </c>
      <c r="F842" s="9">
        <v>490</v>
      </c>
      <c r="G842" s="9">
        <v>452</v>
      </c>
      <c r="H842" s="9">
        <v>20</v>
      </c>
      <c r="I842" s="9">
        <f t="shared" si="117"/>
        <v>432</v>
      </c>
      <c r="J842" s="9">
        <v>45</v>
      </c>
      <c r="K842" s="10">
        <f t="shared" si="118"/>
        <v>9.375E-2</v>
      </c>
      <c r="L842" s="17">
        <v>90</v>
      </c>
      <c r="M842" s="17">
        <v>30800</v>
      </c>
      <c r="N842" s="17">
        <f t="shared" si="119"/>
        <v>38880</v>
      </c>
      <c r="O842" s="17">
        <f t="shared" si="120"/>
        <v>8080</v>
      </c>
      <c r="P842" s="10">
        <f t="shared" si="121"/>
        <v>0.92244897959183669</v>
      </c>
      <c r="Q842" s="10">
        <f t="shared" si="122"/>
        <v>4.4247787610619468E-2</v>
      </c>
      <c r="R842" s="10">
        <f t="shared" si="123"/>
        <v>0.20781893004115226</v>
      </c>
      <c r="S842" s="18">
        <f t="shared" si="124"/>
        <v>71.296296296296291</v>
      </c>
      <c r="T842" s="8">
        <f>480-ProductionData[[#This Row],[Downtime Minutes]]</f>
        <v>435</v>
      </c>
      <c r="U842" s="11">
        <f t="shared" si="125"/>
        <v>1.0390804597701149</v>
      </c>
      <c r="V842" s="18">
        <f>ProductionData[[#This Row],[Profit]]/ProductionData[[#This Row],[Good Units]]</f>
        <v>18.703703703703702</v>
      </c>
      <c r="W842" s="11">
        <f>ProductionData[[#This Row],[Good Units]]/ProductionData[[#This Row],[Operating Minutes]]</f>
        <v>0.99310344827586206</v>
      </c>
    </row>
    <row r="843" spans="1:23">
      <c r="A843" s="7">
        <v>46297</v>
      </c>
      <c r="B843" s="8" t="s">
        <v>31</v>
      </c>
      <c r="C843" s="8" t="s">
        <v>27</v>
      </c>
      <c r="D843" s="8" t="s">
        <v>23</v>
      </c>
      <c r="E843" s="8" t="s">
        <v>22</v>
      </c>
      <c r="F843" s="9">
        <v>470</v>
      </c>
      <c r="G843" s="9">
        <v>411</v>
      </c>
      <c r="H843" s="9">
        <v>31</v>
      </c>
      <c r="I843" s="9">
        <f t="shared" si="117"/>
        <v>380</v>
      </c>
      <c r="J843" s="9">
        <v>71</v>
      </c>
      <c r="K843" s="10">
        <f t="shared" si="118"/>
        <v>0.14791666666666667</v>
      </c>
      <c r="L843" s="17">
        <v>100</v>
      </c>
      <c r="M843" s="17">
        <v>30800</v>
      </c>
      <c r="N843" s="17">
        <f t="shared" si="119"/>
        <v>38000</v>
      </c>
      <c r="O843" s="17">
        <f t="shared" si="120"/>
        <v>7200</v>
      </c>
      <c r="P843" s="10">
        <f t="shared" si="121"/>
        <v>0.87446808510638296</v>
      </c>
      <c r="Q843" s="10">
        <f t="shared" si="122"/>
        <v>7.5425790754257913E-2</v>
      </c>
      <c r="R843" s="10">
        <f t="shared" si="123"/>
        <v>0.18947368421052632</v>
      </c>
      <c r="S843" s="18">
        <f t="shared" si="124"/>
        <v>81.05263157894737</v>
      </c>
      <c r="T843" s="8">
        <f>480-ProductionData[[#This Row],[Downtime Minutes]]</f>
        <v>409</v>
      </c>
      <c r="U843" s="11">
        <f t="shared" si="125"/>
        <v>1.0048899755501222</v>
      </c>
      <c r="V843" s="18">
        <f>ProductionData[[#This Row],[Profit]]/ProductionData[[#This Row],[Good Units]]</f>
        <v>18.94736842105263</v>
      </c>
      <c r="W843" s="11">
        <f>ProductionData[[#This Row],[Good Units]]/ProductionData[[#This Row],[Operating Minutes]]</f>
        <v>0.92909535452322733</v>
      </c>
    </row>
    <row r="844" spans="1:23">
      <c r="A844" s="7">
        <v>46297</v>
      </c>
      <c r="B844" s="8" t="s">
        <v>31</v>
      </c>
      <c r="C844" s="8" t="s">
        <v>27</v>
      </c>
      <c r="D844" s="8" t="s">
        <v>25</v>
      </c>
      <c r="E844" s="8" t="s">
        <v>24</v>
      </c>
      <c r="F844" s="9">
        <v>390</v>
      </c>
      <c r="G844" s="9">
        <v>329</v>
      </c>
      <c r="H844" s="9">
        <v>18</v>
      </c>
      <c r="I844" s="9">
        <f t="shared" si="117"/>
        <v>311</v>
      </c>
      <c r="J844" s="9">
        <v>57</v>
      </c>
      <c r="K844" s="10">
        <f t="shared" si="118"/>
        <v>0.11874999999999999</v>
      </c>
      <c r="L844" s="17">
        <v>120</v>
      </c>
      <c r="M844" s="17">
        <v>30800</v>
      </c>
      <c r="N844" s="17">
        <f t="shared" si="119"/>
        <v>37320</v>
      </c>
      <c r="O844" s="17">
        <f t="shared" si="120"/>
        <v>6520</v>
      </c>
      <c r="P844" s="10">
        <f t="shared" si="121"/>
        <v>0.84358974358974359</v>
      </c>
      <c r="Q844" s="10">
        <f t="shared" si="122"/>
        <v>5.4711246200607903E-2</v>
      </c>
      <c r="R844" s="10">
        <f t="shared" si="123"/>
        <v>0.17470525187566988</v>
      </c>
      <c r="S844" s="18">
        <f t="shared" si="124"/>
        <v>99.035369774919616</v>
      </c>
      <c r="T844" s="8">
        <f>480-ProductionData[[#This Row],[Downtime Minutes]]</f>
        <v>423</v>
      </c>
      <c r="U844" s="11">
        <f t="shared" si="125"/>
        <v>0.77777777777777779</v>
      </c>
      <c r="V844" s="18">
        <f>ProductionData[[#This Row],[Profit]]/ProductionData[[#This Row],[Good Units]]</f>
        <v>20.964630225080384</v>
      </c>
      <c r="W844" s="11">
        <f>ProductionData[[#This Row],[Good Units]]/ProductionData[[#This Row],[Operating Minutes]]</f>
        <v>0.73522458628841603</v>
      </c>
    </row>
    <row r="845" spans="1:23">
      <c r="A845" s="7">
        <v>46297</v>
      </c>
      <c r="B845" s="8" t="s">
        <v>31</v>
      </c>
      <c r="C845" s="8" t="s">
        <v>28</v>
      </c>
      <c r="D845" s="8" t="s">
        <v>21</v>
      </c>
      <c r="E845" s="8" t="s">
        <v>22</v>
      </c>
      <c r="F845" s="9">
        <v>440</v>
      </c>
      <c r="G845" s="9">
        <v>440</v>
      </c>
      <c r="H845" s="9">
        <v>13</v>
      </c>
      <c r="I845" s="9">
        <f t="shared" si="117"/>
        <v>427</v>
      </c>
      <c r="J845" s="9">
        <v>29</v>
      </c>
      <c r="K845" s="10">
        <f t="shared" si="118"/>
        <v>6.0416666666666667E-2</v>
      </c>
      <c r="L845" s="17">
        <v>100</v>
      </c>
      <c r="M845" s="17">
        <v>30800</v>
      </c>
      <c r="N845" s="17">
        <f t="shared" si="119"/>
        <v>42700</v>
      </c>
      <c r="O845" s="17">
        <f t="shared" si="120"/>
        <v>11900</v>
      </c>
      <c r="P845" s="10">
        <f t="shared" si="121"/>
        <v>1</v>
      </c>
      <c r="Q845" s="10">
        <f t="shared" si="122"/>
        <v>2.9545454545454545E-2</v>
      </c>
      <c r="R845" s="10">
        <f t="shared" si="123"/>
        <v>0.27868852459016391</v>
      </c>
      <c r="S845" s="18">
        <f t="shared" si="124"/>
        <v>72.131147540983605</v>
      </c>
      <c r="T845" s="8">
        <f>480-ProductionData[[#This Row],[Downtime Minutes]]</f>
        <v>451</v>
      </c>
      <c r="U845" s="11">
        <f t="shared" si="125"/>
        <v>0.97560975609756095</v>
      </c>
      <c r="V845" s="18">
        <f>ProductionData[[#This Row],[Profit]]/ProductionData[[#This Row],[Good Units]]</f>
        <v>27.868852459016395</v>
      </c>
      <c r="W845" s="11">
        <f>ProductionData[[#This Row],[Good Units]]/ProductionData[[#This Row],[Operating Minutes]]</f>
        <v>0.94678492239467849</v>
      </c>
    </row>
    <row r="846" spans="1:23">
      <c r="A846" s="7">
        <v>46297</v>
      </c>
      <c r="B846" s="8" t="s">
        <v>31</v>
      </c>
      <c r="C846" s="8" t="s">
        <v>28</v>
      </c>
      <c r="D846" s="8" t="s">
        <v>23</v>
      </c>
      <c r="E846" s="8" t="s">
        <v>24</v>
      </c>
      <c r="F846" s="9">
        <v>390</v>
      </c>
      <c r="G846" s="9">
        <v>388</v>
      </c>
      <c r="H846" s="9">
        <v>11</v>
      </c>
      <c r="I846" s="9">
        <f t="shared" si="117"/>
        <v>377</v>
      </c>
      <c r="J846" s="9">
        <v>41</v>
      </c>
      <c r="K846" s="10">
        <f t="shared" si="118"/>
        <v>8.5416666666666669E-2</v>
      </c>
      <c r="L846" s="17">
        <v>120</v>
      </c>
      <c r="M846" s="17">
        <v>30800</v>
      </c>
      <c r="N846" s="17">
        <f t="shared" si="119"/>
        <v>45240</v>
      </c>
      <c r="O846" s="17">
        <f t="shared" si="120"/>
        <v>14440</v>
      </c>
      <c r="P846" s="10">
        <f t="shared" si="121"/>
        <v>0.99487179487179489</v>
      </c>
      <c r="Q846" s="10">
        <f t="shared" si="122"/>
        <v>2.8350515463917526E-2</v>
      </c>
      <c r="R846" s="10">
        <f t="shared" si="123"/>
        <v>0.31918656056587091</v>
      </c>
      <c r="S846" s="18">
        <f t="shared" si="124"/>
        <v>81.697612732095493</v>
      </c>
      <c r="T846" s="8">
        <f>480-ProductionData[[#This Row],[Downtime Minutes]]</f>
        <v>439</v>
      </c>
      <c r="U846" s="11">
        <f t="shared" si="125"/>
        <v>0.88382687927107062</v>
      </c>
      <c r="V846" s="18">
        <f>ProductionData[[#This Row],[Profit]]/ProductionData[[#This Row],[Good Units]]</f>
        <v>38.302387267904507</v>
      </c>
      <c r="W846" s="11">
        <f>ProductionData[[#This Row],[Good Units]]/ProductionData[[#This Row],[Operating Minutes]]</f>
        <v>0.85876993166287019</v>
      </c>
    </row>
    <row r="847" spans="1:23">
      <c r="A847" s="7">
        <v>46297</v>
      </c>
      <c r="B847" s="8" t="s">
        <v>31</v>
      </c>
      <c r="C847" s="8" t="s">
        <v>28</v>
      </c>
      <c r="D847" s="8" t="s">
        <v>25</v>
      </c>
      <c r="E847" s="8" t="s">
        <v>26</v>
      </c>
      <c r="F847" s="9">
        <v>500</v>
      </c>
      <c r="G847" s="9">
        <v>475</v>
      </c>
      <c r="H847" s="9">
        <v>18</v>
      </c>
      <c r="I847" s="9">
        <f t="shared" si="117"/>
        <v>457</v>
      </c>
      <c r="J847" s="9">
        <v>36</v>
      </c>
      <c r="K847" s="10">
        <f t="shared" si="118"/>
        <v>7.4999999999999997E-2</v>
      </c>
      <c r="L847" s="17">
        <v>90</v>
      </c>
      <c r="M847" s="17">
        <v>30800</v>
      </c>
      <c r="N847" s="17">
        <f t="shared" si="119"/>
        <v>41130</v>
      </c>
      <c r="O847" s="17">
        <f t="shared" si="120"/>
        <v>10330</v>
      </c>
      <c r="P847" s="10">
        <f t="shared" si="121"/>
        <v>0.95</v>
      </c>
      <c r="Q847" s="10">
        <f t="shared" si="122"/>
        <v>3.7894736842105266E-2</v>
      </c>
      <c r="R847" s="10">
        <f t="shared" si="123"/>
        <v>0.2511548747872599</v>
      </c>
      <c r="S847" s="18">
        <f t="shared" si="124"/>
        <v>67.396061269146614</v>
      </c>
      <c r="T847" s="8">
        <f>480-ProductionData[[#This Row],[Downtime Minutes]]</f>
        <v>444</v>
      </c>
      <c r="U847" s="11">
        <f t="shared" si="125"/>
        <v>1.0698198198198199</v>
      </c>
      <c r="V847" s="18">
        <f>ProductionData[[#This Row],[Profit]]/ProductionData[[#This Row],[Good Units]]</f>
        <v>22.603938730853393</v>
      </c>
      <c r="W847" s="11">
        <f>ProductionData[[#This Row],[Good Units]]/ProductionData[[#This Row],[Operating Minutes]]</f>
        <v>1.0292792792792793</v>
      </c>
    </row>
    <row r="848" spans="1:23">
      <c r="A848" s="7">
        <v>46298</v>
      </c>
      <c r="B848" s="8" t="s">
        <v>31</v>
      </c>
      <c r="C848" s="8" t="s">
        <v>20</v>
      </c>
      <c r="D848" s="8" t="s">
        <v>21</v>
      </c>
      <c r="E848" s="8" t="s">
        <v>26</v>
      </c>
      <c r="F848" s="9">
        <v>490</v>
      </c>
      <c r="G848" s="9">
        <v>479</v>
      </c>
      <c r="H848" s="9">
        <v>14</v>
      </c>
      <c r="I848" s="9">
        <f t="shared" si="117"/>
        <v>465</v>
      </c>
      <c r="J848" s="9">
        <v>20</v>
      </c>
      <c r="K848" s="10">
        <f t="shared" si="118"/>
        <v>4.1666666666666664E-2</v>
      </c>
      <c r="L848" s="17">
        <v>90</v>
      </c>
      <c r="M848" s="17">
        <v>30800</v>
      </c>
      <c r="N848" s="17">
        <f t="shared" si="119"/>
        <v>41850</v>
      </c>
      <c r="O848" s="17">
        <f t="shared" si="120"/>
        <v>11050</v>
      </c>
      <c r="P848" s="10">
        <f t="shared" si="121"/>
        <v>0.97755102040816322</v>
      </c>
      <c r="Q848" s="10">
        <f t="shared" si="122"/>
        <v>2.9227557411273485E-2</v>
      </c>
      <c r="R848" s="10">
        <f t="shared" si="123"/>
        <v>0.26403823178016728</v>
      </c>
      <c r="S848" s="18">
        <f t="shared" si="124"/>
        <v>66.236559139784944</v>
      </c>
      <c r="T848" s="8">
        <f>480-ProductionData[[#This Row],[Downtime Minutes]]</f>
        <v>460</v>
      </c>
      <c r="U848" s="11">
        <f t="shared" si="125"/>
        <v>1.0413043478260871</v>
      </c>
      <c r="V848" s="18">
        <f>ProductionData[[#This Row],[Profit]]/ProductionData[[#This Row],[Good Units]]</f>
        <v>23.763440860215052</v>
      </c>
      <c r="W848" s="11">
        <f>ProductionData[[#This Row],[Good Units]]/ProductionData[[#This Row],[Operating Minutes]]</f>
        <v>1.0108695652173914</v>
      </c>
    </row>
    <row r="849" spans="1:23">
      <c r="A849" s="7">
        <v>46298</v>
      </c>
      <c r="B849" s="8" t="s">
        <v>31</v>
      </c>
      <c r="C849" s="8" t="s">
        <v>20</v>
      </c>
      <c r="D849" s="8" t="s">
        <v>23</v>
      </c>
      <c r="E849" s="8" t="s">
        <v>22</v>
      </c>
      <c r="F849" s="9">
        <v>450</v>
      </c>
      <c r="G849" s="9">
        <v>435</v>
      </c>
      <c r="H849" s="9">
        <v>19</v>
      </c>
      <c r="I849" s="9">
        <f t="shared" si="117"/>
        <v>416</v>
      </c>
      <c r="J849" s="9">
        <v>47</v>
      </c>
      <c r="K849" s="10">
        <f t="shared" si="118"/>
        <v>9.7916666666666666E-2</v>
      </c>
      <c r="L849" s="17">
        <v>100</v>
      </c>
      <c r="M849" s="17">
        <v>30800</v>
      </c>
      <c r="N849" s="17">
        <f t="shared" si="119"/>
        <v>41600</v>
      </c>
      <c r="O849" s="17">
        <f t="shared" si="120"/>
        <v>10800</v>
      </c>
      <c r="P849" s="10">
        <f t="shared" si="121"/>
        <v>0.96666666666666667</v>
      </c>
      <c r="Q849" s="10">
        <f t="shared" si="122"/>
        <v>4.3678160919540229E-2</v>
      </c>
      <c r="R849" s="10">
        <f t="shared" si="123"/>
        <v>0.25961538461538464</v>
      </c>
      <c r="S849" s="18">
        <f t="shared" si="124"/>
        <v>74.038461538461533</v>
      </c>
      <c r="T849" s="8">
        <f>480-ProductionData[[#This Row],[Downtime Minutes]]</f>
        <v>433</v>
      </c>
      <c r="U849" s="11">
        <f t="shared" si="125"/>
        <v>1.0046189376443417</v>
      </c>
      <c r="V849" s="18">
        <f>ProductionData[[#This Row],[Profit]]/ProductionData[[#This Row],[Good Units]]</f>
        <v>25.96153846153846</v>
      </c>
      <c r="W849" s="11">
        <f>ProductionData[[#This Row],[Good Units]]/ProductionData[[#This Row],[Operating Minutes]]</f>
        <v>0.96073903002309469</v>
      </c>
    </row>
    <row r="850" spans="1:23">
      <c r="A850" s="7">
        <v>46298</v>
      </c>
      <c r="B850" s="8" t="s">
        <v>31</v>
      </c>
      <c r="C850" s="8" t="s">
        <v>20</v>
      </c>
      <c r="D850" s="8" t="s">
        <v>25</v>
      </c>
      <c r="E850" s="8" t="s">
        <v>24</v>
      </c>
      <c r="F850" s="9">
        <v>400</v>
      </c>
      <c r="G850" s="9">
        <v>364</v>
      </c>
      <c r="H850" s="9">
        <v>17</v>
      </c>
      <c r="I850" s="9">
        <f t="shared" si="117"/>
        <v>347</v>
      </c>
      <c r="J850" s="9">
        <v>52</v>
      </c>
      <c r="K850" s="10">
        <f t="shared" si="118"/>
        <v>0.10833333333333334</v>
      </c>
      <c r="L850" s="17">
        <v>120</v>
      </c>
      <c r="M850" s="17">
        <v>30800</v>
      </c>
      <c r="N850" s="17">
        <f t="shared" si="119"/>
        <v>41640</v>
      </c>
      <c r="O850" s="17">
        <f t="shared" si="120"/>
        <v>10840</v>
      </c>
      <c r="P850" s="10">
        <f t="shared" si="121"/>
        <v>0.91</v>
      </c>
      <c r="Q850" s="10">
        <f t="shared" si="122"/>
        <v>4.6703296703296704E-2</v>
      </c>
      <c r="R850" s="10">
        <f t="shared" si="123"/>
        <v>0.26032660902977905</v>
      </c>
      <c r="S850" s="18">
        <f t="shared" si="124"/>
        <v>88.760806916426517</v>
      </c>
      <c r="T850" s="8">
        <f>480-ProductionData[[#This Row],[Downtime Minutes]]</f>
        <v>428</v>
      </c>
      <c r="U850" s="11">
        <f t="shared" si="125"/>
        <v>0.85046728971962615</v>
      </c>
      <c r="V850" s="18">
        <f>ProductionData[[#This Row],[Profit]]/ProductionData[[#This Row],[Good Units]]</f>
        <v>31.239193083573486</v>
      </c>
      <c r="W850" s="11">
        <f>ProductionData[[#This Row],[Good Units]]/ProductionData[[#This Row],[Operating Minutes]]</f>
        <v>0.81074766355140182</v>
      </c>
    </row>
    <row r="851" spans="1:23">
      <c r="A851" s="7">
        <v>46298</v>
      </c>
      <c r="B851" s="8" t="s">
        <v>31</v>
      </c>
      <c r="C851" s="8" t="s">
        <v>27</v>
      </c>
      <c r="D851" s="8" t="s">
        <v>21</v>
      </c>
      <c r="E851" s="8" t="s">
        <v>22</v>
      </c>
      <c r="F851" s="9">
        <v>440</v>
      </c>
      <c r="G851" s="9">
        <v>395</v>
      </c>
      <c r="H851" s="9">
        <v>27</v>
      </c>
      <c r="I851" s="9">
        <f t="shared" si="117"/>
        <v>368</v>
      </c>
      <c r="J851" s="9">
        <v>60</v>
      </c>
      <c r="K851" s="10">
        <f t="shared" si="118"/>
        <v>0.125</v>
      </c>
      <c r="L851" s="17">
        <v>100</v>
      </c>
      <c r="M851" s="17">
        <v>30800</v>
      </c>
      <c r="N851" s="17">
        <f t="shared" si="119"/>
        <v>36800</v>
      </c>
      <c r="O851" s="17">
        <f t="shared" si="120"/>
        <v>6000</v>
      </c>
      <c r="P851" s="10">
        <f t="shared" si="121"/>
        <v>0.89772727272727271</v>
      </c>
      <c r="Q851" s="10">
        <f t="shared" si="122"/>
        <v>6.8354430379746839E-2</v>
      </c>
      <c r="R851" s="10">
        <f t="shared" si="123"/>
        <v>0.16304347826086957</v>
      </c>
      <c r="S851" s="18">
        <f t="shared" si="124"/>
        <v>83.695652173913047</v>
      </c>
      <c r="T851" s="8">
        <f>480-ProductionData[[#This Row],[Downtime Minutes]]</f>
        <v>420</v>
      </c>
      <c r="U851" s="11">
        <f t="shared" si="125"/>
        <v>0.94047619047619047</v>
      </c>
      <c r="V851" s="18">
        <f>ProductionData[[#This Row],[Profit]]/ProductionData[[#This Row],[Good Units]]</f>
        <v>16.304347826086957</v>
      </c>
      <c r="W851" s="11">
        <f>ProductionData[[#This Row],[Good Units]]/ProductionData[[#This Row],[Operating Minutes]]</f>
        <v>0.87619047619047619</v>
      </c>
    </row>
    <row r="852" spans="1:23">
      <c r="A852" s="7">
        <v>46298</v>
      </c>
      <c r="B852" s="8" t="s">
        <v>31</v>
      </c>
      <c r="C852" s="8" t="s">
        <v>27</v>
      </c>
      <c r="D852" s="8" t="s">
        <v>23</v>
      </c>
      <c r="E852" s="8" t="s">
        <v>24</v>
      </c>
      <c r="F852" s="9">
        <v>400</v>
      </c>
      <c r="G852" s="9">
        <v>361</v>
      </c>
      <c r="H852" s="9">
        <v>20</v>
      </c>
      <c r="I852" s="9">
        <f t="shared" si="117"/>
        <v>341</v>
      </c>
      <c r="J852" s="9">
        <v>63</v>
      </c>
      <c r="K852" s="10">
        <f t="shared" si="118"/>
        <v>0.13125000000000001</v>
      </c>
      <c r="L852" s="17">
        <v>120</v>
      </c>
      <c r="M852" s="17">
        <v>30800</v>
      </c>
      <c r="N852" s="17">
        <f t="shared" si="119"/>
        <v>40920</v>
      </c>
      <c r="O852" s="17">
        <f t="shared" si="120"/>
        <v>10120</v>
      </c>
      <c r="P852" s="10">
        <f t="shared" si="121"/>
        <v>0.90249999999999997</v>
      </c>
      <c r="Q852" s="10">
        <f t="shared" si="122"/>
        <v>5.5401662049861494E-2</v>
      </c>
      <c r="R852" s="10">
        <f t="shared" si="123"/>
        <v>0.24731182795698925</v>
      </c>
      <c r="S852" s="18">
        <f t="shared" si="124"/>
        <v>90.322580645161295</v>
      </c>
      <c r="T852" s="8">
        <f>480-ProductionData[[#This Row],[Downtime Minutes]]</f>
        <v>417</v>
      </c>
      <c r="U852" s="11">
        <f t="shared" si="125"/>
        <v>0.86570743405275774</v>
      </c>
      <c r="V852" s="18">
        <f>ProductionData[[#This Row],[Profit]]/ProductionData[[#This Row],[Good Units]]</f>
        <v>29.677419354838708</v>
      </c>
      <c r="W852" s="11">
        <f>ProductionData[[#This Row],[Good Units]]/ProductionData[[#This Row],[Operating Minutes]]</f>
        <v>0.81774580335731417</v>
      </c>
    </row>
    <row r="853" spans="1:23">
      <c r="A853" s="7">
        <v>46298</v>
      </c>
      <c r="B853" s="8" t="s">
        <v>31</v>
      </c>
      <c r="C853" s="8" t="s">
        <v>27</v>
      </c>
      <c r="D853" s="8" t="s">
        <v>25</v>
      </c>
      <c r="E853" s="8" t="s">
        <v>26</v>
      </c>
      <c r="F853" s="9">
        <v>480</v>
      </c>
      <c r="G853" s="9">
        <v>413</v>
      </c>
      <c r="H853" s="9">
        <v>24</v>
      </c>
      <c r="I853" s="9">
        <f t="shared" si="117"/>
        <v>389</v>
      </c>
      <c r="J853" s="9">
        <v>64</v>
      </c>
      <c r="K853" s="10">
        <f t="shared" si="118"/>
        <v>0.13333333333333333</v>
      </c>
      <c r="L853" s="17">
        <v>90</v>
      </c>
      <c r="M853" s="17">
        <v>30800</v>
      </c>
      <c r="N853" s="17">
        <f t="shared" si="119"/>
        <v>35010</v>
      </c>
      <c r="O853" s="17">
        <f t="shared" si="120"/>
        <v>4210</v>
      </c>
      <c r="P853" s="10">
        <f t="shared" si="121"/>
        <v>0.86041666666666672</v>
      </c>
      <c r="Q853" s="10">
        <f t="shared" si="122"/>
        <v>5.8111380145278453E-2</v>
      </c>
      <c r="R853" s="10">
        <f t="shared" si="123"/>
        <v>0.1202513567552128</v>
      </c>
      <c r="S853" s="18">
        <f t="shared" si="124"/>
        <v>79.177377892030847</v>
      </c>
      <c r="T853" s="8">
        <f>480-ProductionData[[#This Row],[Downtime Minutes]]</f>
        <v>416</v>
      </c>
      <c r="U853" s="11">
        <f t="shared" si="125"/>
        <v>0.99278846153846156</v>
      </c>
      <c r="V853" s="18">
        <f>ProductionData[[#This Row],[Profit]]/ProductionData[[#This Row],[Good Units]]</f>
        <v>10.822622107969151</v>
      </c>
      <c r="W853" s="11">
        <f>ProductionData[[#This Row],[Good Units]]/ProductionData[[#This Row],[Operating Minutes]]</f>
        <v>0.93509615384615385</v>
      </c>
    </row>
    <row r="854" spans="1:23">
      <c r="A854" s="7">
        <v>46298</v>
      </c>
      <c r="B854" s="8" t="s">
        <v>31</v>
      </c>
      <c r="C854" s="8" t="s">
        <v>28</v>
      </c>
      <c r="D854" s="8" t="s">
        <v>21</v>
      </c>
      <c r="E854" s="8" t="s">
        <v>24</v>
      </c>
      <c r="F854" s="9">
        <v>410</v>
      </c>
      <c r="G854" s="9">
        <v>395</v>
      </c>
      <c r="H854" s="9">
        <v>6</v>
      </c>
      <c r="I854" s="9">
        <f t="shared" si="117"/>
        <v>389</v>
      </c>
      <c r="J854" s="9">
        <v>20</v>
      </c>
      <c r="K854" s="10">
        <f t="shared" si="118"/>
        <v>4.1666666666666664E-2</v>
      </c>
      <c r="L854" s="17">
        <v>120</v>
      </c>
      <c r="M854" s="17">
        <v>30800</v>
      </c>
      <c r="N854" s="17">
        <f t="shared" si="119"/>
        <v>46680</v>
      </c>
      <c r="O854" s="17">
        <f t="shared" si="120"/>
        <v>15880</v>
      </c>
      <c r="P854" s="10">
        <f t="shared" si="121"/>
        <v>0.96341463414634143</v>
      </c>
      <c r="Q854" s="10">
        <f t="shared" si="122"/>
        <v>1.5189873417721518E-2</v>
      </c>
      <c r="R854" s="10">
        <f t="shared" si="123"/>
        <v>0.34018851756640961</v>
      </c>
      <c r="S854" s="18">
        <f t="shared" si="124"/>
        <v>79.177377892030847</v>
      </c>
      <c r="T854" s="8">
        <f>480-ProductionData[[#This Row],[Downtime Minutes]]</f>
        <v>460</v>
      </c>
      <c r="U854" s="11">
        <f t="shared" si="125"/>
        <v>0.85869565217391308</v>
      </c>
      <c r="V854" s="18">
        <f>ProductionData[[#This Row],[Profit]]/ProductionData[[#This Row],[Good Units]]</f>
        <v>40.822622107969153</v>
      </c>
      <c r="W854" s="11">
        <f>ProductionData[[#This Row],[Good Units]]/ProductionData[[#This Row],[Operating Minutes]]</f>
        <v>0.84565217391304348</v>
      </c>
    </row>
    <row r="855" spans="1:23">
      <c r="A855" s="7">
        <v>46298</v>
      </c>
      <c r="B855" s="8" t="s">
        <v>31</v>
      </c>
      <c r="C855" s="8" t="s">
        <v>28</v>
      </c>
      <c r="D855" s="8" t="s">
        <v>23</v>
      </c>
      <c r="E855" s="8" t="s">
        <v>26</v>
      </c>
      <c r="F855" s="9">
        <v>520</v>
      </c>
      <c r="G855" s="9">
        <v>518</v>
      </c>
      <c r="H855" s="9">
        <v>15</v>
      </c>
      <c r="I855" s="9">
        <f t="shared" si="117"/>
        <v>503</v>
      </c>
      <c r="J855" s="9">
        <v>29</v>
      </c>
      <c r="K855" s="10">
        <f t="shared" si="118"/>
        <v>6.0416666666666667E-2</v>
      </c>
      <c r="L855" s="17">
        <v>90</v>
      </c>
      <c r="M855" s="17">
        <v>30800</v>
      </c>
      <c r="N855" s="17">
        <f t="shared" si="119"/>
        <v>45270</v>
      </c>
      <c r="O855" s="17">
        <f t="shared" si="120"/>
        <v>14470</v>
      </c>
      <c r="P855" s="10">
        <f t="shared" si="121"/>
        <v>0.99615384615384617</v>
      </c>
      <c r="Q855" s="10">
        <f t="shared" si="122"/>
        <v>2.8957528957528959E-2</v>
      </c>
      <c r="R855" s="10">
        <f t="shared" si="123"/>
        <v>0.31963772918047273</v>
      </c>
      <c r="S855" s="18">
        <f t="shared" si="124"/>
        <v>61.232604373757454</v>
      </c>
      <c r="T855" s="8">
        <f>480-ProductionData[[#This Row],[Downtime Minutes]]</f>
        <v>451</v>
      </c>
      <c r="U855" s="11">
        <f t="shared" si="125"/>
        <v>1.1485587583148558</v>
      </c>
      <c r="V855" s="18">
        <f>ProductionData[[#This Row],[Profit]]/ProductionData[[#This Row],[Good Units]]</f>
        <v>28.767395626242546</v>
      </c>
      <c r="W855" s="11">
        <f>ProductionData[[#This Row],[Good Units]]/ProductionData[[#This Row],[Operating Minutes]]</f>
        <v>1.1152993348115299</v>
      </c>
    </row>
    <row r="856" spans="1:23">
      <c r="A856" s="7">
        <v>46298</v>
      </c>
      <c r="B856" s="8" t="s">
        <v>31</v>
      </c>
      <c r="C856" s="8" t="s">
        <v>28</v>
      </c>
      <c r="D856" s="8" t="s">
        <v>25</v>
      </c>
      <c r="E856" s="8" t="s">
        <v>22</v>
      </c>
      <c r="F856" s="9">
        <v>430</v>
      </c>
      <c r="G856" s="9">
        <v>405</v>
      </c>
      <c r="H856" s="9">
        <v>22</v>
      </c>
      <c r="I856" s="9">
        <f t="shared" si="117"/>
        <v>383</v>
      </c>
      <c r="J856" s="9">
        <v>44</v>
      </c>
      <c r="K856" s="10">
        <f t="shared" si="118"/>
        <v>9.166666666666666E-2</v>
      </c>
      <c r="L856" s="17">
        <v>100</v>
      </c>
      <c r="M856" s="17">
        <v>30800</v>
      </c>
      <c r="N856" s="17">
        <f t="shared" si="119"/>
        <v>38300</v>
      </c>
      <c r="O856" s="17">
        <f t="shared" si="120"/>
        <v>7500</v>
      </c>
      <c r="P856" s="10">
        <f t="shared" si="121"/>
        <v>0.94186046511627908</v>
      </c>
      <c r="Q856" s="10">
        <f t="shared" si="122"/>
        <v>5.4320987654320987E-2</v>
      </c>
      <c r="R856" s="10">
        <f t="shared" si="123"/>
        <v>0.195822454308094</v>
      </c>
      <c r="S856" s="18">
        <f t="shared" si="124"/>
        <v>80.417754569190606</v>
      </c>
      <c r="T856" s="8">
        <f>480-ProductionData[[#This Row],[Downtime Minutes]]</f>
        <v>436</v>
      </c>
      <c r="U856" s="11">
        <f t="shared" si="125"/>
        <v>0.92889908256880738</v>
      </c>
      <c r="V856" s="18">
        <f>ProductionData[[#This Row],[Profit]]/ProductionData[[#This Row],[Good Units]]</f>
        <v>19.582245430809401</v>
      </c>
      <c r="W856" s="11">
        <f>ProductionData[[#This Row],[Good Units]]/ProductionData[[#This Row],[Operating Minutes]]</f>
        <v>0.87844036697247707</v>
      </c>
    </row>
    <row r="857" spans="1:23">
      <c r="A857" s="7">
        <v>46299</v>
      </c>
      <c r="B857" s="8" t="s">
        <v>31</v>
      </c>
      <c r="C857" s="8" t="s">
        <v>20</v>
      </c>
      <c r="D857" s="8" t="s">
        <v>21</v>
      </c>
      <c r="E857" s="8" t="s">
        <v>22</v>
      </c>
      <c r="F857" s="9">
        <v>450</v>
      </c>
      <c r="G857" s="9">
        <v>420</v>
      </c>
      <c r="H857" s="9">
        <v>21</v>
      </c>
      <c r="I857" s="9">
        <f t="shared" si="117"/>
        <v>399</v>
      </c>
      <c r="J857" s="9">
        <v>29</v>
      </c>
      <c r="K857" s="10">
        <f t="shared" si="118"/>
        <v>6.0416666666666667E-2</v>
      </c>
      <c r="L857" s="17">
        <v>100</v>
      </c>
      <c r="M857" s="17">
        <v>30800</v>
      </c>
      <c r="N857" s="17">
        <f t="shared" si="119"/>
        <v>39900</v>
      </c>
      <c r="O857" s="17">
        <f t="shared" si="120"/>
        <v>9100</v>
      </c>
      <c r="P857" s="10">
        <f t="shared" si="121"/>
        <v>0.93333333333333335</v>
      </c>
      <c r="Q857" s="10">
        <f t="shared" si="122"/>
        <v>0.05</v>
      </c>
      <c r="R857" s="10">
        <f t="shared" si="123"/>
        <v>0.22807017543859648</v>
      </c>
      <c r="S857" s="18">
        <f t="shared" si="124"/>
        <v>77.192982456140356</v>
      </c>
      <c r="T857" s="8">
        <f>480-ProductionData[[#This Row],[Downtime Minutes]]</f>
        <v>451</v>
      </c>
      <c r="U857" s="11">
        <f t="shared" si="125"/>
        <v>0.9312638580931264</v>
      </c>
      <c r="V857" s="18">
        <f>ProductionData[[#This Row],[Profit]]/ProductionData[[#This Row],[Good Units]]</f>
        <v>22.807017543859651</v>
      </c>
      <c r="W857" s="11">
        <f>ProductionData[[#This Row],[Good Units]]/ProductionData[[#This Row],[Operating Minutes]]</f>
        <v>0.88470066518847001</v>
      </c>
    </row>
    <row r="858" spans="1:23">
      <c r="A858" s="7">
        <v>46299</v>
      </c>
      <c r="B858" s="8" t="s">
        <v>31</v>
      </c>
      <c r="C858" s="8" t="s">
        <v>20</v>
      </c>
      <c r="D858" s="8" t="s">
        <v>23</v>
      </c>
      <c r="E858" s="8" t="s">
        <v>24</v>
      </c>
      <c r="F858" s="9">
        <v>400</v>
      </c>
      <c r="G858" s="9">
        <v>391</v>
      </c>
      <c r="H858" s="9">
        <v>11</v>
      </c>
      <c r="I858" s="9">
        <f t="shared" si="117"/>
        <v>380</v>
      </c>
      <c r="J858" s="9">
        <v>49</v>
      </c>
      <c r="K858" s="10">
        <f t="shared" si="118"/>
        <v>0.10208333333333333</v>
      </c>
      <c r="L858" s="17">
        <v>120</v>
      </c>
      <c r="M858" s="17">
        <v>30800</v>
      </c>
      <c r="N858" s="17">
        <f t="shared" si="119"/>
        <v>45600</v>
      </c>
      <c r="O858" s="17">
        <f t="shared" si="120"/>
        <v>14800</v>
      </c>
      <c r="P858" s="10">
        <f t="shared" si="121"/>
        <v>0.97750000000000004</v>
      </c>
      <c r="Q858" s="10">
        <f t="shared" si="122"/>
        <v>2.8132992327365727E-2</v>
      </c>
      <c r="R858" s="10">
        <f t="shared" si="123"/>
        <v>0.32456140350877194</v>
      </c>
      <c r="S858" s="18">
        <f t="shared" si="124"/>
        <v>81.05263157894737</v>
      </c>
      <c r="T858" s="8">
        <f>480-ProductionData[[#This Row],[Downtime Minutes]]</f>
        <v>431</v>
      </c>
      <c r="U858" s="11">
        <f t="shared" si="125"/>
        <v>0.90719257540603249</v>
      </c>
      <c r="V858" s="18">
        <f>ProductionData[[#This Row],[Profit]]/ProductionData[[#This Row],[Good Units]]</f>
        <v>38.94736842105263</v>
      </c>
      <c r="W858" s="11">
        <f>ProductionData[[#This Row],[Good Units]]/ProductionData[[#This Row],[Operating Minutes]]</f>
        <v>0.88167053364269143</v>
      </c>
    </row>
    <row r="859" spans="1:23">
      <c r="A859" s="7">
        <v>46299</v>
      </c>
      <c r="B859" s="8" t="s">
        <v>31</v>
      </c>
      <c r="C859" s="8" t="s">
        <v>20</v>
      </c>
      <c r="D859" s="8" t="s">
        <v>25</v>
      </c>
      <c r="E859" s="8" t="s">
        <v>26</v>
      </c>
      <c r="F859" s="9">
        <v>500</v>
      </c>
      <c r="G859" s="9">
        <v>464</v>
      </c>
      <c r="H859" s="9">
        <v>19</v>
      </c>
      <c r="I859" s="9">
        <f t="shared" si="117"/>
        <v>445</v>
      </c>
      <c r="J859" s="9">
        <v>46</v>
      </c>
      <c r="K859" s="10">
        <f t="shared" si="118"/>
        <v>9.583333333333334E-2</v>
      </c>
      <c r="L859" s="17">
        <v>90</v>
      </c>
      <c r="M859" s="17">
        <v>30800</v>
      </c>
      <c r="N859" s="17">
        <f t="shared" si="119"/>
        <v>40050</v>
      </c>
      <c r="O859" s="17">
        <f t="shared" si="120"/>
        <v>9250</v>
      </c>
      <c r="P859" s="10">
        <f t="shared" si="121"/>
        <v>0.92800000000000005</v>
      </c>
      <c r="Q859" s="10">
        <f t="shared" si="122"/>
        <v>4.0948275862068964E-2</v>
      </c>
      <c r="R859" s="10">
        <f t="shared" si="123"/>
        <v>0.23096129837702872</v>
      </c>
      <c r="S859" s="18">
        <f t="shared" si="124"/>
        <v>69.213483146067418</v>
      </c>
      <c r="T859" s="8">
        <f>480-ProductionData[[#This Row],[Downtime Minutes]]</f>
        <v>434</v>
      </c>
      <c r="U859" s="11">
        <f t="shared" si="125"/>
        <v>1.0691244239631337</v>
      </c>
      <c r="V859" s="18">
        <f>ProductionData[[#This Row],[Profit]]/ProductionData[[#This Row],[Good Units]]</f>
        <v>20.786516853932586</v>
      </c>
      <c r="W859" s="11">
        <f>ProductionData[[#This Row],[Good Units]]/ProductionData[[#This Row],[Operating Minutes]]</f>
        <v>1.0253456221198156</v>
      </c>
    </row>
    <row r="860" spans="1:23">
      <c r="A860" s="7">
        <v>46299</v>
      </c>
      <c r="B860" s="8" t="s">
        <v>31</v>
      </c>
      <c r="C860" s="8" t="s">
        <v>27</v>
      </c>
      <c r="D860" s="8" t="s">
        <v>21</v>
      </c>
      <c r="E860" s="8" t="s">
        <v>24</v>
      </c>
      <c r="F860" s="9">
        <v>410</v>
      </c>
      <c r="G860" s="9">
        <v>371</v>
      </c>
      <c r="H860" s="9">
        <v>15</v>
      </c>
      <c r="I860" s="9">
        <f t="shared" si="117"/>
        <v>356</v>
      </c>
      <c r="J860" s="9">
        <v>53</v>
      </c>
      <c r="K860" s="10">
        <f t="shared" si="118"/>
        <v>0.11041666666666666</v>
      </c>
      <c r="L860" s="17">
        <v>120</v>
      </c>
      <c r="M860" s="17">
        <v>30800</v>
      </c>
      <c r="N860" s="17">
        <f t="shared" si="119"/>
        <v>42720</v>
      </c>
      <c r="O860" s="17">
        <f t="shared" si="120"/>
        <v>11920</v>
      </c>
      <c r="P860" s="10">
        <f t="shared" si="121"/>
        <v>0.90487804878048783</v>
      </c>
      <c r="Q860" s="10">
        <f t="shared" si="122"/>
        <v>4.0431266846361183E-2</v>
      </c>
      <c r="R860" s="10">
        <f t="shared" si="123"/>
        <v>0.27902621722846443</v>
      </c>
      <c r="S860" s="18">
        <f t="shared" si="124"/>
        <v>86.516853932584269</v>
      </c>
      <c r="T860" s="8">
        <f>480-ProductionData[[#This Row],[Downtime Minutes]]</f>
        <v>427</v>
      </c>
      <c r="U860" s="11">
        <f t="shared" si="125"/>
        <v>0.86885245901639341</v>
      </c>
      <c r="V860" s="18">
        <f>ProductionData[[#This Row],[Profit]]/ProductionData[[#This Row],[Good Units]]</f>
        <v>33.483146067415731</v>
      </c>
      <c r="W860" s="11">
        <f>ProductionData[[#This Row],[Good Units]]/ProductionData[[#This Row],[Operating Minutes]]</f>
        <v>0.83372365339578458</v>
      </c>
    </row>
    <row r="861" spans="1:23">
      <c r="A861" s="7">
        <v>46299</v>
      </c>
      <c r="B861" s="8" t="s">
        <v>31</v>
      </c>
      <c r="C861" s="8" t="s">
        <v>27</v>
      </c>
      <c r="D861" s="8" t="s">
        <v>23</v>
      </c>
      <c r="E861" s="8" t="s">
        <v>26</v>
      </c>
      <c r="F861" s="9">
        <v>510</v>
      </c>
      <c r="G861" s="9">
        <v>472</v>
      </c>
      <c r="H861" s="9">
        <v>28</v>
      </c>
      <c r="I861" s="9">
        <f t="shared" si="117"/>
        <v>444</v>
      </c>
      <c r="J861" s="9">
        <v>42</v>
      </c>
      <c r="K861" s="10">
        <f t="shared" si="118"/>
        <v>8.7499999999999994E-2</v>
      </c>
      <c r="L861" s="17">
        <v>90</v>
      </c>
      <c r="M861" s="17">
        <v>30800</v>
      </c>
      <c r="N861" s="17">
        <f t="shared" si="119"/>
        <v>39960</v>
      </c>
      <c r="O861" s="17">
        <f t="shared" si="120"/>
        <v>9160</v>
      </c>
      <c r="P861" s="10">
        <f t="shared" si="121"/>
        <v>0.92549019607843142</v>
      </c>
      <c r="Q861" s="10">
        <f t="shared" si="122"/>
        <v>5.9322033898305086E-2</v>
      </c>
      <c r="R861" s="10">
        <f t="shared" si="123"/>
        <v>0.22922922922922923</v>
      </c>
      <c r="S861" s="18">
        <f t="shared" si="124"/>
        <v>69.369369369369366</v>
      </c>
      <c r="T861" s="8">
        <f>480-ProductionData[[#This Row],[Downtime Minutes]]</f>
        <v>438</v>
      </c>
      <c r="U861" s="11">
        <f t="shared" si="125"/>
        <v>1.0776255707762556</v>
      </c>
      <c r="V861" s="18">
        <f>ProductionData[[#This Row],[Profit]]/ProductionData[[#This Row],[Good Units]]</f>
        <v>20.63063063063063</v>
      </c>
      <c r="W861" s="11">
        <f>ProductionData[[#This Row],[Good Units]]/ProductionData[[#This Row],[Operating Minutes]]</f>
        <v>1.0136986301369864</v>
      </c>
    </row>
    <row r="862" spans="1:23">
      <c r="A862" s="7">
        <v>46299</v>
      </c>
      <c r="B862" s="8" t="s">
        <v>31</v>
      </c>
      <c r="C862" s="8" t="s">
        <v>27</v>
      </c>
      <c r="D862" s="8" t="s">
        <v>25</v>
      </c>
      <c r="E862" s="8" t="s">
        <v>22</v>
      </c>
      <c r="F862" s="9">
        <v>450</v>
      </c>
      <c r="G862" s="9">
        <v>387</v>
      </c>
      <c r="H862" s="9">
        <v>26</v>
      </c>
      <c r="I862" s="9">
        <f t="shared" si="117"/>
        <v>361</v>
      </c>
      <c r="J862" s="9">
        <v>55</v>
      </c>
      <c r="K862" s="10">
        <f t="shared" si="118"/>
        <v>0.11458333333333333</v>
      </c>
      <c r="L862" s="17">
        <v>100</v>
      </c>
      <c r="M862" s="17">
        <v>30800</v>
      </c>
      <c r="N862" s="17">
        <f t="shared" si="119"/>
        <v>36100</v>
      </c>
      <c r="O862" s="17">
        <f t="shared" si="120"/>
        <v>5300</v>
      </c>
      <c r="P862" s="10">
        <f t="shared" si="121"/>
        <v>0.86</v>
      </c>
      <c r="Q862" s="10">
        <f t="shared" si="122"/>
        <v>6.7183462532299745E-2</v>
      </c>
      <c r="R862" s="10">
        <f t="shared" si="123"/>
        <v>0.14681440443213298</v>
      </c>
      <c r="S862" s="18">
        <f t="shared" si="124"/>
        <v>85.31855955678671</v>
      </c>
      <c r="T862" s="8">
        <f>480-ProductionData[[#This Row],[Downtime Minutes]]</f>
        <v>425</v>
      </c>
      <c r="U862" s="11">
        <f t="shared" si="125"/>
        <v>0.9105882352941177</v>
      </c>
      <c r="V862" s="18">
        <f>ProductionData[[#This Row],[Profit]]/ProductionData[[#This Row],[Good Units]]</f>
        <v>14.681440443213296</v>
      </c>
      <c r="W862" s="11">
        <f>ProductionData[[#This Row],[Good Units]]/ProductionData[[#This Row],[Operating Minutes]]</f>
        <v>0.84941176470588231</v>
      </c>
    </row>
    <row r="863" spans="1:23">
      <c r="A863" s="7">
        <v>46299</v>
      </c>
      <c r="B863" s="8" t="s">
        <v>31</v>
      </c>
      <c r="C863" s="8" t="s">
        <v>28</v>
      </c>
      <c r="D863" s="8" t="s">
        <v>21</v>
      </c>
      <c r="E863" s="8" t="s">
        <v>26</v>
      </c>
      <c r="F863" s="9">
        <v>510</v>
      </c>
      <c r="G863" s="9">
        <v>502</v>
      </c>
      <c r="H863" s="9">
        <v>14</v>
      </c>
      <c r="I863" s="9">
        <f t="shared" si="117"/>
        <v>488</v>
      </c>
      <c r="J863" s="9">
        <v>12</v>
      </c>
      <c r="K863" s="10">
        <f t="shared" si="118"/>
        <v>2.5000000000000001E-2</v>
      </c>
      <c r="L863" s="17">
        <v>90</v>
      </c>
      <c r="M863" s="17">
        <v>30800</v>
      </c>
      <c r="N863" s="17">
        <f t="shared" si="119"/>
        <v>43920</v>
      </c>
      <c r="O863" s="17">
        <f t="shared" si="120"/>
        <v>13120</v>
      </c>
      <c r="P863" s="10">
        <f t="shared" si="121"/>
        <v>0.98431372549019602</v>
      </c>
      <c r="Q863" s="10">
        <f t="shared" si="122"/>
        <v>2.7888446215139442E-2</v>
      </c>
      <c r="R863" s="10">
        <f t="shared" si="123"/>
        <v>0.2987249544626594</v>
      </c>
      <c r="S863" s="18">
        <f t="shared" si="124"/>
        <v>63.114754098360656</v>
      </c>
      <c r="T863" s="8">
        <f>480-ProductionData[[#This Row],[Downtime Minutes]]</f>
        <v>468</v>
      </c>
      <c r="U863" s="11">
        <f t="shared" si="125"/>
        <v>1.0726495726495726</v>
      </c>
      <c r="V863" s="18">
        <f>ProductionData[[#This Row],[Profit]]/ProductionData[[#This Row],[Good Units]]</f>
        <v>26.885245901639344</v>
      </c>
      <c r="W863" s="11">
        <f>ProductionData[[#This Row],[Good Units]]/ProductionData[[#This Row],[Operating Minutes]]</f>
        <v>1.0427350427350428</v>
      </c>
    </row>
    <row r="864" spans="1:23">
      <c r="A864" s="7">
        <v>46299</v>
      </c>
      <c r="B864" s="8" t="s">
        <v>31</v>
      </c>
      <c r="C864" s="8" t="s">
        <v>28</v>
      </c>
      <c r="D864" s="8" t="s">
        <v>23</v>
      </c>
      <c r="E864" s="8" t="s">
        <v>22</v>
      </c>
      <c r="F864" s="9">
        <v>450</v>
      </c>
      <c r="G864" s="9">
        <v>435</v>
      </c>
      <c r="H864" s="9">
        <v>18</v>
      </c>
      <c r="I864" s="9">
        <f t="shared" si="117"/>
        <v>417</v>
      </c>
      <c r="J864" s="9">
        <v>32</v>
      </c>
      <c r="K864" s="10">
        <f t="shared" si="118"/>
        <v>6.6666666666666666E-2</v>
      </c>
      <c r="L864" s="17">
        <v>100</v>
      </c>
      <c r="M864" s="17">
        <v>30800</v>
      </c>
      <c r="N864" s="17">
        <f t="shared" si="119"/>
        <v>41700</v>
      </c>
      <c r="O864" s="17">
        <f t="shared" si="120"/>
        <v>10900</v>
      </c>
      <c r="P864" s="10">
        <f t="shared" si="121"/>
        <v>0.96666666666666667</v>
      </c>
      <c r="Q864" s="10">
        <f t="shared" si="122"/>
        <v>4.1379310344827586E-2</v>
      </c>
      <c r="R864" s="10">
        <f t="shared" si="123"/>
        <v>0.26139088729016785</v>
      </c>
      <c r="S864" s="18">
        <f t="shared" si="124"/>
        <v>73.860911270983209</v>
      </c>
      <c r="T864" s="8">
        <f>480-ProductionData[[#This Row],[Downtime Minutes]]</f>
        <v>448</v>
      </c>
      <c r="U864" s="11">
        <f t="shared" si="125"/>
        <v>0.9709821428571429</v>
      </c>
      <c r="V864" s="18">
        <f>ProductionData[[#This Row],[Profit]]/ProductionData[[#This Row],[Good Units]]</f>
        <v>26.139088729016787</v>
      </c>
      <c r="W864" s="11">
        <f>ProductionData[[#This Row],[Good Units]]/ProductionData[[#This Row],[Operating Minutes]]</f>
        <v>0.9308035714285714</v>
      </c>
    </row>
    <row r="865" spans="1:23">
      <c r="A865" s="7">
        <v>46299</v>
      </c>
      <c r="B865" s="8" t="s">
        <v>31</v>
      </c>
      <c r="C865" s="8" t="s">
        <v>28</v>
      </c>
      <c r="D865" s="8" t="s">
        <v>25</v>
      </c>
      <c r="E865" s="8" t="s">
        <v>24</v>
      </c>
      <c r="F865" s="9">
        <v>400</v>
      </c>
      <c r="G865" s="9">
        <v>367</v>
      </c>
      <c r="H865" s="9">
        <v>10</v>
      </c>
      <c r="I865" s="9">
        <f t="shared" si="117"/>
        <v>357</v>
      </c>
      <c r="J865" s="9">
        <v>46</v>
      </c>
      <c r="K865" s="10">
        <f t="shared" si="118"/>
        <v>9.583333333333334E-2</v>
      </c>
      <c r="L865" s="17">
        <v>120</v>
      </c>
      <c r="M865" s="17">
        <v>30800</v>
      </c>
      <c r="N865" s="17">
        <f t="shared" si="119"/>
        <v>42840</v>
      </c>
      <c r="O865" s="17">
        <f t="shared" si="120"/>
        <v>12040</v>
      </c>
      <c r="P865" s="10">
        <f t="shared" si="121"/>
        <v>0.91749999999999998</v>
      </c>
      <c r="Q865" s="10">
        <f t="shared" si="122"/>
        <v>2.7247956403269755E-2</v>
      </c>
      <c r="R865" s="10">
        <f t="shared" si="123"/>
        <v>0.28104575163398693</v>
      </c>
      <c r="S865" s="18">
        <f t="shared" si="124"/>
        <v>86.274509803921575</v>
      </c>
      <c r="T865" s="8">
        <f>480-ProductionData[[#This Row],[Downtime Minutes]]</f>
        <v>434</v>
      </c>
      <c r="U865" s="11">
        <f t="shared" si="125"/>
        <v>0.84562211981566815</v>
      </c>
      <c r="V865" s="18">
        <f>ProductionData[[#This Row],[Profit]]/ProductionData[[#This Row],[Good Units]]</f>
        <v>33.725490196078432</v>
      </c>
      <c r="W865" s="11">
        <f>ProductionData[[#This Row],[Good Units]]/ProductionData[[#This Row],[Operating Minutes]]</f>
        <v>0.82258064516129037</v>
      </c>
    </row>
    <row r="866" spans="1:23">
      <c r="A866" s="7">
        <v>46300</v>
      </c>
      <c r="B866" s="8" t="s">
        <v>31</v>
      </c>
      <c r="C866" s="8" t="s">
        <v>20</v>
      </c>
      <c r="D866" s="8" t="s">
        <v>21</v>
      </c>
      <c r="E866" s="8" t="s">
        <v>24</v>
      </c>
      <c r="F866" s="9">
        <v>390</v>
      </c>
      <c r="G866" s="9">
        <v>380</v>
      </c>
      <c r="H866" s="9">
        <v>8</v>
      </c>
      <c r="I866" s="9">
        <f t="shared" si="117"/>
        <v>372</v>
      </c>
      <c r="J866" s="9">
        <v>20</v>
      </c>
      <c r="K866" s="10">
        <f t="shared" si="118"/>
        <v>4.1666666666666664E-2</v>
      </c>
      <c r="L866" s="17">
        <v>120</v>
      </c>
      <c r="M866" s="17">
        <v>30800</v>
      </c>
      <c r="N866" s="17">
        <f t="shared" si="119"/>
        <v>44640</v>
      </c>
      <c r="O866" s="17">
        <f t="shared" si="120"/>
        <v>13840</v>
      </c>
      <c r="P866" s="10">
        <f t="shared" si="121"/>
        <v>0.97435897435897434</v>
      </c>
      <c r="Q866" s="10">
        <f t="shared" si="122"/>
        <v>2.1052631578947368E-2</v>
      </c>
      <c r="R866" s="10">
        <f t="shared" si="123"/>
        <v>0.31003584229390679</v>
      </c>
      <c r="S866" s="18">
        <f t="shared" si="124"/>
        <v>82.795698924731184</v>
      </c>
      <c r="T866" s="8">
        <f>480-ProductionData[[#This Row],[Downtime Minutes]]</f>
        <v>460</v>
      </c>
      <c r="U866" s="11">
        <f t="shared" si="125"/>
        <v>0.82608695652173914</v>
      </c>
      <c r="V866" s="18">
        <f>ProductionData[[#This Row],[Profit]]/ProductionData[[#This Row],[Good Units]]</f>
        <v>37.204301075268816</v>
      </c>
      <c r="W866" s="11">
        <f>ProductionData[[#This Row],[Good Units]]/ProductionData[[#This Row],[Operating Minutes]]</f>
        <v>0.80869565217391304</v>
      </c>
    </row>
    <row r="867" spans="1:23">
      <c r="A867" s="7">
        <v>46300</v>
      </c>
      <c r="B867" s="8" t="s">
        <v>31</v>
      </c>
      <c r="C867" s="8" t="s">
        <v>20</v>
      </c>
      <c r="D867" s="8" t="s">
        <v>23</v>
      </c>
      <c r="E867" s="8" t="s">
        <v>26</v>
      </c>
      <c r="F867" s="9">
        <v>520</v>
      </c>
      <c r="G867" s="9">
        <v>482</v>
      </c>
      <c r="H867" s="9">
        <v>20</v>
      </c>
      <c r="I867" s="9">
        <f t="shared" si="117"/>
        <v>462</v>
      </c>
      <c r="J867" s="9">
        <v>29</v>
      </c>
      <c r="K867" s="10">
        <f t="shared" si="118"/>
        <v>6.0416666666666667E-2</v>
      </c>
      <c r="L867" s="17">
        <v>90</v>
      </c>
      <c r="M867" s="17">
        <v>30800</v>
      </c>
      <c r="N867" s="17">
        <f t="shared" si="119"/>
        <v>41580</v>
      </c>
      <c r="O867" s="17">
        <f t="shared" si="120"/>
        <v>10780</v>
      </c>
      <c r="P867" s="10">
        <f t="shared" si="121"/>
        <v>0.92692307692307696</v>
      </c>
      <c r="Q867" s="10">
        <f t="shared" si="122"/>
        <v>4.1493775933609957E-2</v>
      </c>
      <c r="R867" s="10">
        <f t="shared" si="123"/>
        <v>0.25925925925925924</v>
      </c>
      <c r="S867" s="18">
        <f t="shared" si="124"/>
        <v>66.666666666666671</v>
      </c>
      <c r="T867" s="8">
        <f>480-ProductionData[[#This Row],[Downtime Minutes]]</f>
        <v>451</v>
      </c>
      <c r="U867" s="11">
        <f t="shared" si="125"/>
        <v>1.0687361419068737</v>
      </c>
      <c r="V867" s="18">
        <f>ProductionData[[#This Row],[Profit]]/ProductionData[[#This Row],[Good Units]]</f>
        <v>23.333333333333332</v>
      </c>
      <c r="W867" s="11">
        <f>ProductionData[[#This Row],[Good Units]]/ProductionData[[#This Row],[Operating Minutes]]</f>
        <v>1.024390243902439</v>
      </c>
    </row>
    <row r="868" spans="1:23">
      <c r="A868" s="7">
        <v>46300</v>
      </c>
      <c r="B868" s="8" t="s">
        <v>31</v>
      </c>
      <c r="C868" s="8" t="s">
        <v>20</v>
      </c>
      <c r="D868" s="8" t="s">
        <v>25</v>
      </c>
      <c r="E868" s="8" t="s">
        <v>22</v>
      </c>
      <c r="F868" s="9">
        <v>440</v>
      </c>
      <c r="G868" s="9">
        <v>412</v>
      </c>
      <c r="H868" s="9">
        <v>23</v>
      </c>
      <c r="I868" s="9">
        <f t="shared" si="117"/>
        <v>389</v>
      </c>
      <c r="J868" s="9">
        <v>48</v>
      </c>
      <c r="K868" s="10">
        <f t="shared" si="118"/>
        <v>0.1</v>
      </c>
      <c r="L868" s="17">
        <v>100</v>
      </c>
      <c r="M868" s="17">
        <v>30800</v>
      </c>
      <c r="N868" s="17">
        <f t="shared" si="119"/>
        <v>38900</v>
      </c>
      <c r="O868" s="17">
        <f t="shared" si="120"/>
        <v>8100</v>
      </c>
      <c r="P868" s="10">
        <f t="shared" si="121"/>
        <v>0.9363636363636364</v>
      </c>
      <c r="Q868" s="10">
        <f t="shared" si="122"/>
        <v>5.5825242718446605E-2</v>
      </c>
      <c r="R868" s="10">
        <f t="shared" si="123"/>
        <v>0.20822622107969152</v>
      </c>
      <c r="S868" s="18">
        <f t="shared" si="124"/>
        <v>79.177377892030847</v>
      </c>
      <c r="T868" s="8">
        <f>480-ProductionData[[#This Row],[Downtime Minutes]]</f>
        <v>432</v>
      </c>
      <c r="U868" s="11">
        <f t="shared" si="125"/>
        <v>0.95370370370370372</v>
      </c>
      <c r="V868" s="18">
        <f>ProductionData[[#This Row],[Profit]]/ProductionData[[#This Row],[Good Units]]</f>
        <v>20.822622107969153</v>
      </c>
      <c r="W868" s="11">
        <f>ProductionData[[#This Row],[Good Units]]/ProductionData[[#This Row],[Operating Minutes]]</f>
        <v>0.90046296296296291</v>
      </c>
    </row>
    <row r="869" spans="1:23">
      <c r="A869" s="7">
        <v>46300</v>
      </c>
      <c r="B869" s="8" t="s">
        <v>31</v>
      </c>
      <c r="C869" s="8" t="s">
        <v>27</v>
      </c>
      <c r="D869" s="8" t="s">
        <v>21</v>
      </c>
      <c r="E869" s="8" t="s">
        <v>26</v>
      </c>
      <c r="F869" s="9">
        <v>480</v>
      </c>
      <c r="G869" s="9">
        <v>427</v>
      </c>
      <c r="H869" s="9">
        <v>19</v>
      </c>
      <c r="I869" s="9">
        <f t="shared" si="117"/>
        <v>408</v>
      </c>
      <c r="J869" s="9">
        <v>54</v>
      </c>
      <c r="K869" s="10">
        <f t="shared" si="118"/>
        <v>0.1125</v>
      </c>
      <c r="L869" s="17">
        <v>90</v>
      </c>
      <c r="M869" s="17">
        <v>30800</v>
      </c>
      <c r="N869" s="17">
        <f t="shared" si="119"/>
        <v>36720</v>
      </c>
      <c r="O869" s="17">
        <f t="shared" si="120"/>
        <v>5920</v>
      </c>
      <c r="P869" s="10">
        <f t="shared" si="121"/>
        <v>0.88958333333333328</v>
      </c>
      <c r="Q869" s="10">
        <f t="shared" si="122"/>
        <v>4.449648711943794E-2</v>
      </c>
      <c r="R869" s="10">
        <f t="shared" si="123"/>
        <v>0.16122004357298475</v>
      </c>
      <c r="S869" s="18">
        <f t="shared" si="124"/>
        <v>75.490196078431367</v>
      </c>
      <c r="T869" s="8">
        <f>480-ProductionData[[#This Row],[Downtime Minutes]]</f>
        <v>426</v>
      </c>
      <c r="U869" s="11">
        <f t="shared" si="125"/>
        <v>1.0023474178403755</v>
      </c>
      <c r="V869" s="18">
        <f>ProductionData[[#This Row],[Profit]]/ProductionData[[#This Row],[Good Units]]</f>
        <v>14.509803921568627</v>
      </c>
      <c r="W869" s="11">
        <f>ProductionData[[#This Row],[Good Units]]/ProductionData[[#This Row],[Operating Minutes]]</f>
        <v>0.95774647887323938</v>
      </c>
    </row>
    <row r="870" spans="1:23">
      <c r="A870" s="7">
        <v>46300</v>
      </c>
      <c r="B870" s="8" t="s">
        <v>31</v>
      </c>
      <c r="C870" s="8" t="s">
        <v>27</v>
      </c>
      <c r="D870" s="8" t="s">
        <v>23</v>
      </c>
      <c r="E870" s="8" t="s">
        <v>22</v>
      </c>
      <c r="F870" s="9">
        <v>460</v>
      </c>
      <c r="G870" s="9">
        <v>424</v>
      </c>
      <c r="H870" s="9">
        <v>27</v>
      </c>
      <c r="I870" s="9">
        <f t="shared" si="117"/>
        <v>397</v>
      </c>
      <c r="J870" s="9">
        <v>68</v>
      </c>
      <c r="K870" s="10">
        <f t="shared" si="118"/>
        <v>0.14166666666666666</v>
      </c>
      <c r="L870" s="17">
        <v>100</v>
      </c>
      <c r="M870" s="17">
        <v>30800</v>
      </c>
      <c r="N870" s="17">
        <f t="shared" si="119"/>
        <v>39700</v>
      </c>
      <c r="O870" s="17">
        <f t="shared" si="120"/>
        <v>8900</v>
      </c>
      <c r="P870" s="10">
        <f t="shared" si="121"/>
        <v>0.92173913043478262</v>
      </c>
      <c r="Q870" s="10">
        <f t="shared" si="122"/>
        <v>6.3679245283018868E-2</v>
      </c>
      <c r="R870" s="10">
        <f t="shared" si="123"/>
        <v>0.22418136020151133</v>
      </c>
      <c r="S870" s="18">
        <f t="shared" si="124"/>
        <v>77.581863979848862</v>
      </c>
      <c r="T870" s="8">
        <f>480-ProductionData[[#This Row],[Downtime Minutes]]</f>
        <v>412</v>
      </c>
      <c r="U870" s="11">
        <f t="shared" si="125"/>
        <v>1.029126213592233</v>
      </c>
      <c r="V870" s="18">
        <f>ProductionData[[#This Row],[Profit]]/ProductionData[[#This Row],[Good Units]]</f>
        <v>22.418136020151135</v>
      </c>
      <c r="W870" s="11">
        <f>ProductionData[[#This Row],[Good Units]]/ProductionData[[#This Row],[Operating Minutes]]</f>
        <v>0.96359223300970875</v>
      </c>
    </row>
    <row r="871" spans="1:23">
      <c r="A871" s="7">
        <v>46300</v>
      </c>
      <c r="B871" s="8" t="s">
        <v>31</v>
      </c>
      <c r="C871" s="8" t="s">
        <v>27</v>
      </c>
      <c r="D871" s="8" t="s">
        <v>25</v>
      </c>
      <c r="E871" s="8" t="s">
        <v>24</v>
      </c>
      <c r="F871" s="9">
        <v>390</v>
      </c>
      <c r="G871" s="9">
        <v>348</v>
      </c>
      <c r="H871" s="9">
        <v>23</v>
      </c>
      <c r="I871" s="9">
        <f t="shared" si="117"/>
        <v>325</v>
      </c>
      <c r="J871" s="9">
        <v>72</v>
      </c>
      <c r="K871" s="10">
        <f t="shared" si="118"/>
        <v>0.15</v>
      </c>
      <c r="L871" s="17">
        <v>120</v>
      </c>
      <c r="M871" s="17">
        <v>30800</v>
      </c>
      <c r="N871" s="17">
        <f t="shared" si="119"/>
        <v>39000</v>
      </c>
      <c r="O871" s="17">
        <f t="shared" si="120"/>
        <v>8200</v>
      </c>
      <c r="P871" s="10">
        <f t="shared" si="121"/>
        <v>0.89230769230769236</v>
      </c>
      <c r="Q871" s="10">
        <f t="shared" si="122"/>
        <v>6.6091954022988508E-2</v>
      </c>
      <c r="R871" s="10">
        <f t="shared" si="123"/>
        <v>0.21025641025641026</v>
      </c>
      <c r="S871" s="18">
        <f t="shared" si="124"/>
        <v>94.769230769230774</v>
      </c>
      <c r="T871" s="8">
        <f>480-ProductionData[[#This Row],[Downtime Minutes]]</f>
        <v>408</v>
      </c>
      <c r="U871" s="11">
        <f t="shared" si="125"/>
        <v>0.8529411764705882</v>
      </c>
      <c r="V871" s="18">
        <f>ProductionData[[#This Row],[Profit]]/ProductionData[[#This Row],[Good Units]]</f>
        <v>25.23076923076923</v>
      </c>
      <c r="W871" s="11">
        <f>ProductionData[[#This Row],[Good Units]]/ProductionData[[#This Row],[Operating Minutes]]</f>
        <v>0.79656862745098034</v>
      </c>
    </row>
    <row r="872" spans="1:23">
      <c r="A872" s="7">
        <v>46300</v>
      </c>
      <c r="B872" s="8" t="s">
        <v>31</v>
      </c>
      <c r="C872" s="8" t="s">
        <v>28</v>
      </c>
      <c r="D872" s="8" t="s">
        <v>21</v>
      </c>
      <c r="E872" s="8" t="s">
        <v>22</v>
      </c>
      <c r="F872" s="9">
        <v>450</v>
      </c>
      <c r="G872" s="9">
        <v>453</v>
      </c>
      <c r="H872" s="9">
        <v>18</v>
      </c>
      <c r="I872" s="9">
        <f t="shared" si="117"/>
        <v>435</v>
      </c>
      <c r="J872" s="9">
        <v>32</v>
      </c>
      <c r="K872" s="10">
        <f t="shared" si="118"/>
        <v>6.6666666666666666E-2</v>
      </c>
      <c r="L872" s="17">
        <v>100</v>
      </c>
      <c r="M872" s="17">
        <v>30800</v>
      </c>
      <c r="N872" s="17">
        <f t="shared" si="119"/>
        <v>43500</v>
      </c>
      <c r="O872" s="17">
        <f t="shared" si="120"/>
        <v>12700</v>
      </c>
      <c r="P872" s="10">
        <f t="shared" si="121"/>
        <v>1.0066666666666666</v>
      </c>
      <c r="Q872" s="10">
        <f t="shared" si="122"/>
        <v>3.9735099337748346E-2</v>
      </c>
      <c r="R872" s="10">
        <f t="shared" si="123"/>
        <v>0.29195402298850576</v>
      </c>
      <c r="S872" s="18">
        <f t="shared" si="124"/>
        <v>70.804597701149419</v>
      </c>
      <c r="T872" s="8">
        <f>480-ProductionData[[#This Row],[Downtime Minutes]]</f>
        <v>448</v>
      </c>
      <c r="U872" s="11">
        <f t="shared" si="125"/>
        <v>1.0111607142857142</v>
      </c>
      <c r="V872" s="18">
        <f>ProductionData[[#This Row],[Profit]]/ProductionData[[#This Row],[Good Units]]</f>
        <v>29.195402298850574</v>
      </c>
      <c r="W872" s="11">
        <f>ProductionData[[#This Row],[Good Units]]/ProductionData[[#This Row],[Operating Minutes]]</f>
        <v>0.9709821428571429</v>
      </c>
    </row>
    <row r="873" spans="1:23">
      <c r="A873" s="7">
        <v>46300</v>
      </c>
      <c r="B873" s="8" t="s">
        <v>31</v>
      </c>
      <c r="C873" s="8" t="s">
        <v>28</v>
      </c>
      <c r="D873" s="8" t="s">
        <v>23</v>
      </c>
      <c r="E873" s="8" t="s">
        <v>24</v>
      </c>
      <c r="F873" s="9">
        <v>390</v>
      </c>
      <c r="G873" s="9">
        <v>367</v>
      </c>
      <c r="H873" s="9">
        <v>10</v>
      </c>
      <c r="I873" s="9">
        <f t="shared" si="117"/>
        <v>357</v>
      </c>
      <c r="J873" s="9">
        <v>34</v>
      </c>
      <c r="K873" s="10">
        <f t="shared" si="118"/>
        <v>7.0833333333333331E-2</v>
      </c>
      <c r="L873" s="17">
        <v>120</v>
      </c>
      <c r="M873" s="17">
        <v>30800</v>
      </c>
      <c r="N873" s="17">
        <f t="shared" si="119"/>
        <v>42840</v>
      </c>
      <c r="O873" s="17">
        <f t="shared" si="120"/>
        <v>12040</v>
      </c>
      <c r="P873" s="10">
        <f t="shared" si="121"/>
        <v>0.94102564102564101</v>
      </c>
      <c r="Q873" s="10">
        <f t="shared" si="122"/>
        <v>2.7247956403269755E-2</v>
      </c>
      <c r="R873" s="10">
        <f t="shared" si="123"/>
        <v>0.28104575163398693</v>
      </c>
      <c r="S873" s="18">
        <f t="shared" si="124"/>
        <v>86.274509803921575</v>
      </c>
      <c r="T873" s="8">
        <f>480-ProductionData[[#This Row],[Downtime Minutes]]</f>
        <v>446</v>
      </c>
      <c r="U873" s="11">
        <f t="shared" si="125"/>
        <v>0.82286995515695072</v>
      </c>
      <c r="V873" s="18">
        <f>ProductionData[[#This Row],[Profit]]/ProductionData[[#This Row],[Good Units]]</f>
        <v>33.725490196078432</v>
      </c>
      <c r="W873" s="11">
        <f>ProductionData[[#This Row],[Good Units]]/ProductionData[[#This Row],[Operating Minutes]]</f>
        <v>0.80044843049327352</v>
      </c>
    </row>
    <row r="874" spans="1:23">
      <c r="A874" s="7">
        <v>46300</v>
      </c>
      <c r="B874" s="8" t="s">
        <v>31</v>
      </c>
      <c r="C874" s="8" t="s">
        <v>28</v>
      </c>
      <c r="D874" s="8" t="s">
        <v>25</v>
      </c>
      <c r="E874" s="8" t="s">
        <v>26</v>
      </c>
      <c r="F874" s="9">
        <v>520</v>
      </c>
      <c r="G874" s="9">
        <v>483</v>
      </c>
      <c r="H874" s="9">
        <v>21</v>
      </c>
      <c r="I874" s="9">
        <f t="shared" si="117"/>
        <v>462</v>
      </c>
      <c r="J874" s="9">
        <v>41</v>
      </c>
      <c r="K874" s="10">
        <f t="shared" si="118"/>
        <v>8.5416666666666669E-2</v>
      </c>
      <c r="L874" s="17">
        <v>90</v>
      </c>
      <c r="M874" s="17">
        <v>30800</v>
      </c>
      <c r="N874" s="17">
        <f t="shared" si="119"/>
        <v>41580</v>
      </c>
      <c r="O874" s="17">
        <f t="shared" si="120"/>
        <v>10780</v>
      </c>
      <c r="P874" s="10">
        <f t="shared" si="121"/>
        <v>0.92884615384615388</v>
      </c>
      <c r="Q874" s="10">
        <f t="shared" si="122"/>
        <v>4.3478260869565216E-2</v>
      </c>
      <c r="R874" s="10">
        <f t="shared" si="123"/>
        <v>0.25925925925925924</v>
      </c>
      <c r="S874" s="18">
        <f t="shared" si="124"/>
        <v>66.666666666666671</v>
      </c>
      <c r="T874" s="8">
        <f>480-ProductionData[[#This Row],[Downtime Minutes]]</f>
        <v>439</v>
      </c>
      <c r="U874" s="11">
        <f t="shared" si="125"/>
        <v>1.1002277904328017</v>
      </c>
      <c r="V874" s="18">
        <f>ProductionData[[#This Row],[Profit]]/ProductionData[[#This Row],[Good Units]]</f>
        <v>23.333333333333332</v>
      </c>
      <c r="W874" s="11">
        <f>ProductionData[[#This Row],[Good Units]]/ProductionData[[#This Row],[Operating Minutes]]</f>
        <v>1.0523917995444192</v>
      </c>
    </row>
    <row r="875" spans="1:23">
      <c r="A875" s="7">
        <v>46301</v>
      </c>
      <c r="B875" s="8" t="s">
        <v>31</v>
      </c>
      <c r="C875" s="8" t="s">
        <v>20</v>
      </c>
      <c r="D875" s="8" t="s">
        <v>21</v>
      </c>
      <c r="E875" s="8" t="s">
        <v>26</v>
      </c>
      <c r="F875" s="9">
        <v>490</v>
      </c>
      <c r="G875" s="9">
        <v>482</v>
      </c>
      <c r="H875" s="9">
        <v>18</v>
      </c>
      <c r="I875" s="9">
        <f t="shared" si="117"/>
        <v>464</v>
      </c>
      <c r="J875" s="9">
        <v>17</v>
      </c>
      <c r="K875" s="10">
        <f t="shared" si="118"/>
        <v>3.5416666666666666E-2</v>
      </c>
      <c r="L875" s="17">
        <v>90</v>
      </c>
      <c r="M875" s="17">
        <v>30800</v>
      </c>
      <c r="N875" s="17">
        <f t="shared" si="119"/>
        <v>41760</v>
      </c>
      <c r="O875" s="17">
        <f t="shared" si="120"/>
        <v>10960</v>
      </c>
      <c r="P875" s="10">
        <f t="shared" si="121"/>
        <v>0.98367346938775513</v>
      </c>
      <c r="Q875" s="10">
        <f t="shared" si="122"/>
        <v>3.7344398340248962E-2</v>
      </c>
      <c r="R875" s="10">
        <f t="shared" si="123"/>
        <v>0.26245210727969348</v>
      </c>
      <c r="S875" s="18">
        <f t="shared" si="124"/>
        <v>66.379310344827587</v>
      </c>
      <c r="T875" s="8">
        <f>480-ProductionData[[#This Row],[Downtime Minutes]]</f>
        <v>463</v>
      </c>
      <c r="U875" s="11">
        <f t="shared" si="125"/>
        <v>1.0410367170626349</v>
      </c>
      <c r="V875" s="18">
        <f>ProductionData[[#This Row],[Profit]]/ProductionData[[#This Row],[Good Units]]</f>
        <v>23.620689655172413</v>
      </c>
      <c r="W875" s="11">
        <f>ProductionData[[#This Row],[Good Units]]/ProductionData[[#This Row],[Operating Minutes]]</f>
        <v>1.0021598272138228</v>
      </c>
    </row>
    <row r="876" spans="1:23">
      <c r="A876" s="7">
        <v>46301</v>
      </c>
      <c r="B876" s="8" t="s">
        <v>31</v>
      </c>
      <c r="C876" s="8" t="s">
        <v>20</v>
      </c>
      <c r="D876" s="8" t="s">
        <v>23</v>
      </c>
      <c r="E876" s="8" t="s">
        <v>22</v>
      </c>
      <c r="F876" s="9">
        <v>440</v>
      </c>
      <c r="G876" s="9">
        <v>421</v>
      </c>
      <c r="H876" s="9">
        <v>19</v>
      </c>
      <c r="I876" s="9">
        <f t="shared" si="117"/>
        <v>402</v>
      </c>
      <c r="J876" s="9">
        <v>33</v>
      </c>
      <c r="K876" s="10">
        <f t="shared" si="118"/>
        <v>6.8750000000000006E-2</v>
      </c>
      <c r="L876" s="17">
        <v>100</v>
      </c>
      <c r="M876" s="17">
        <v>30800</v>
      </c>
      <c r="N876" s="17">
        <f t="shared" si="119"/>
        <v>40200</v>
      </c>
      <c r="O876" s="17">
        <f t="shared" si="120"/>
        <v>9400</v>
      </c>
      <c r="P876" s="10">
        <f t="shared" si="121"/>
        <v>0.95681818181818179</v>
      </c>
      <c r="Q876" s="10">
        <f t="shared" si="122"/>
        <v>4.5130641330166268E-2</v>
      </c>
      <c r="R876" s="10">
        <f t="shared" si="123"/>
        <v>0.23383084577114427</v>
      </c>
      <c r="S876" s="18">
        <f t="shared" si="124"/>
        <v>76.616915422885569</v>
      </c>
      <c r="T876" s="8">
        <f>480-ProductionData[[#This Row],[Downtime Minutes]]</f>
        <v>447</v>
      </c>
      <c r="U876" s="11">
        <f t="shared" si="125"/>
        <v>0.94183445190156601</v>
      </c>
      <c r="V876" s="18">
        <f>ProductionData[[#This Row],[Profit]]/ProductionData[[#This Row],[Good Units]]</f>
        <v>23.383084577114428</v>
      </c>
      <c r="W876" s="11">
        <f>ProductionData[[#This Row],[Good Units]]/ProductionData[[#This Row],[Operating Minutes]]</f>
        <v>0.89932885906040272</v>
      </c>
    </row>
    <row r="877" spans="1:23">
      <c r="A877" s="7">
        <v>46301</v>
      </c>
      <c r="B877" s="8" t="s">
        <v>31</v>
      </c>
      <c r="C877" s="8" t="s">
        <v>20</v>
      </c>
      <c r="D877" s="8" t="s">
        <v>25</v>
      </c>
      <c r="E877" s="8" t="s">
        <v>24</v>
      </c>
      <c r="F877" s="9">
        <v>410</v>
      </c>
      <c r="G877" s="9">
        <v>379</v>
      </c>
      <c r="H877" s="9">
        <v>13</v>
      </c>
      <c r="I877" s="9">
        <f t="shared" si="117"/>
        <v>366</v>
      </c>
      <c r="J877" s="9">
        <v>55</v>
      </c>
      <c r="K877" s="10">
        <f t="shared" si="118"/>
        <v>0.11458333333333333</v>
      </c>
      <c r="L877" s="17">
        <v>120</v>
      </c>
      <c r="M877" s="17">
        <v>30800</v>
      </c>
      <c r="N877" s="17">
        <f t="shared" si="119"/>
        <v>43920</v>
      </c>
      <c r="O877" s="17">
        <f t="shared" si="120"/>
        <v>13120</v>
      </c>
      <c r="P877" s="10">
        <f t="shared" si="121"/>
        <v>0.92439024390243907</v>
      </c>
      <c r="Q877" s="10">
        <f t="shared" si="122"/>
        <v>3.430079155672823E-2</v>
      </c>
      <c r="R877" s="10">
        <f t="shared" si="123"/>
        <v>0.2987249544626594</v>
      </c>
      <c r="S877" s="18">
        <f t="shared" si="124"/>
        <v>84.15300546448087</v>
      </c>
      <c r="T877" s="8">
        <f>480-ProductionData[[#This Row],[Downtime Minutes]]</f>
        <v>425</v>
      </c>
      <c r="U877" s="11">
        <f t="shared" si="125"/>
        <v>0.8917647058823529</v>
      </c>
      <c r="V877" s="18">
        <f>ProductionData[[#This Row],[Profit]]/ProductionData[[#This Row],[Good Units]]</f>
        <v>35.846994535519123</v>
      </c>
      <c r="W877" s="11">
        <f>ProductionData[[#This Row],[Good Units]]/ProductionData[[#This Row],[Operating Minutes]]</f>
        <v>0.86117647058823532</v>
      </c>
    </row>
    <row r="878" spans="1:23">
      <c r="A878" s="7">
        <v>46301</v>
      </c>
      <c r="B878" s="8" t="s">
        <v>31</v>
      </c>
      <c r="C878" s="8" t="s">
        <v>27</v>
      </c>
      <c r="D878" s="8" t="s">
        <v>21</v>
      </c>
      <c r="E878" s="8" t="s">
        <v>22</v>
      </c>
      <c r="F878" s="9">
        <v>450</v>
      </c>
      <c r="G878" s="9">
        <v>411</v>
      </c>
      <c r="H878" s="9">
        <v>24</v>
      </c>
      <c r="I878" s="9">
        <f t="shared" si="117"/>
        <v>387</v>
      </c>
      <c r="J878" s="9">
        <v>43</v>
      </c>
      <c r="K878" s="10">
        <f t="shared" si="118"/>
        <v>8.9583333333333334E-2</v>
      </c>
      <c r="L878" s="17">
        <v>100</v>
      </c>
      <c r="M878" s="17">
        <v>30800</v>
      </c>
      <c r="N878" s="17">
        <f t="shared" si="119"/>
        <v>38700</v>
      </c>
      <c r="O878" s="17">
        <f t="shared" si="120"/>
        <v>7900</v>
      </c>
      <c r="P878" s="10">
        <f t="shared" si="121"/>
        <v>0.91333333333333333</v>
      </c>
      <c r="Q878" s="10">
        <f t="shared" si="122"/>
        <v>5.8394160583941604E-2</v>
      </c>
      <c r="R878" s="10">
        <f t="shared" si="123"/>
        <v>0.20413436692506459</v>
      </c>
      <c r="S878" s="18">
        <f t="shared" si="124"/>
        <v>79.586563307493535</v>
      </c>
      <c r="T878" s="8">
        <f>480-ProductionData[[#This Row],[Downtime Minutes]]</f>
        <v>437</v>
      </c>
      <c r="U878" s="11">
        <f t="shared" si="125"/>
        <v>0.94050343249427915</v>
      </c>
      <c r="V878" s="18">
        <f>ProductionData[[#This Row],[Profit]]/ProductionData[[#This Row],[Good Units]]</f>
        <v>20.413436692506458</v>
      </c>
      <c r="W878" s="11">
        <f>ProductionData[[#This Row],[Good Units]]/ProductionData[[#This Row],[Operating Minutes]]</f>
        <v>0.88558352402745999</v>
      </c>
    </row>
    <row r="879" spans="1:23">
      <c r="A879" s="7">
        <v>46301</v>
      </c>
      <c r="B879" s="8" t="s">
        <v>31</v>
      </c>
      <c r="C879" s="8" t="s">
        <v>27</v>
      </c>
      <c r="D879" s="8" t="s">
        <v>23</v>
      </c>
      <c r="E879" s="8" t="s">
        <v>24</v>
      </c>
      <c r="F879" s="9">
        <v>390</v>
      </c>
      <c r="G879" s="9">
        <v>356</v>
      </c>
      <c r="H879" s="9">
        <v>18</v>
      </c>
      <c r="I879" s="9">
        <f t="shared" si="117"/>
        <v>338</v>
      </c>
      <c r="J879" s="9">
        <v>53</v>
      </c>
      <c r="K879" s="10">
        <f t="shared" si="118"/>
        <v>0.11041666666666666</v>
      </c>
      <c r="L879" s="17">
        <v>120</v>
      </c>
      <c r="M879" s="17">
        <v>30800</v>
      </c>
      <c r="N879" s="17">
        <f t="shared" si="119"/>
        <v>40560</v>
      </c>
      <c r="O879" s="17">
        <f t="shared" si="120"/>
        <v>9760</v>
      </c>
      <c r="P879" s="10">
        <f t="shared" si="121"/>
        <v>0.9128205128205128</v>
      </c>
      <c r="Q879" s="10">
        <f t="shared" si="122"/>
        <v>5.0561797752808987E-2</v>
      </c>
      <c r="R879" s="10">
        <f t="shared" si="123"/>
        <v>0.24063116370808679</v>
      </c>
      <c r="S879" s="18">
        <f t="shared" si="124"/>
        <v>91.124260355029591</v>
      </c>
      <c r="T879" s="8">
        <f>480-ProductionData[[#This Row],[Downtime Minutes]]</f>
        <v>427</v>
      </c>
      <c r="U879" s="11">
        <f t="shared" si="125"/>
        <v>0.83372365339578458</v>
      </c>
      <c r="V879" s="18">
        <f>ProductionData[[#This Row],[Profit]]/ProductionData[[#This Row],[Good Units]]</f>
        <v>28.875739644970412</v>
      </c>
      <c r="W879" s="11">
        <f>ProductionData[[#This Row],[Good Units]]/ProductionData[[#This Row],[Operating Minutes]]</f>
        <v>0.79156908665105385</v>
      </c>
    </row>
    <row r="880" spans="1:23">
      <c r="A880" s="7">
        <v>46301</v>
      </c>
      <c r="B880" s="8" t="s">
        <v>31</v>
      </c>
      <c r="C880" s="8" t="s">
        <v>27</v>
      </c>
      <c r="D880" s="8" t="s">
        <v>25</v>
      </c>
      <c r="E880" s="8" t="s">
        <v>26</v>
      </c>
      <c r="F880" s="9">
        <v>490</v>
      </c>
      <c r="G880" s="9">
        <v>431</v>
      </c>
      <c r="H880" s="9">
        <v>24</v>
      </c>
      <c r="I880" s="9">
        <f t="shared" si="117"/>
        <v>407</v>
      </c>
      <c r="J880" s="9">
        <v>63</v>
      </c>
      <c r="K880" s="10">
        <f t="shared" si="118"/>
        <v>0.13125000000000001</v>
      </c>
      <c r="L880" s="17">
        <v>90</v>
      </c>
      <c r="M880" s="17">
        <v>30800</v>
      </c>
      <c r="N880" s="17">
        <f t="shared" si="119"/>
        <v>36630</v>
      </c>
      <c r="O880" s="17">
        <f t="shared" si="120"/>
        <v>5830</v>
      </c>
      <c r="P880" s="10">
        <f t="shared" si="121"/>
        <v>0.87959183673469388</v>
      </c>
      <c r="Q880" s="10">
        <f t="shared" si="122"/>
        <v>5.5684454756380508E-2</v>
      </c>
      <c r="R880" s="10">
        <f t="shared" si="123"/>
        <v>0.15915915915915915</v>
      </c>
      <c r="S880" s="18">
        <f t="shared" si="124"/>
        <v>75.675675675675677</v>
      </c>
      <c r="T880" s="8">
        <f>480-ProductionData[[#This Row],[Downtime Minutes]]</f>
        <v>417</v>
      </c>
      <c r="U880" s="11">
        <f t="shared" si="125"/>
        <v>1.0335731414868106</v>
      </c>
      <c r="V880" s="18">
        <f>ProductionData[[#This Row],[Profit]]/ProductionData[[#This Row],[Good Units]]</f>
        <v>14.324324324324325</v>
      </c>
      <c r="W880" s="11">
        <f>ProductionData[[#This Row],[Good Units]]/ProductionData[[#This Row],[Operating Minutes]]</f>
        <v>0.97601918465227822</v>
      </c>
    </row>
    <row r="881" spans="1:23">
      <c r="A881" s="7">
        <v>46301</v>
      </c>
      <c r="B881" s="8" t="s">
        <v>31</v>
      </c>
      <c r="C881" s="8" t="s">
        <v>28</v>
      </c>
      <c r="D881" s="8" t="s">
        <v>21</v>
      </c>
      <c r="E881" s="8" t="s">
        <v>24</v>
      </c>
      <c r="F881" s="9">
        <v>410</v>
      </c>
      <c r="G881" s="9">
        <v>397</v>
      </c>
      <c r="H881" s="9">
        <v>8</v>
      </c>
      <c r="I881" s="9">
        <f t="shared" si="117"/>
        <v>389</v>
      </c>
      <c r="J881" s="9">
        <v>29</v>
      </c>
      <c r="K881" s="10">
        <f t="shared" si="118"/>
        <v>6.0416666666666667E-2</v>
      </c>
      <c r="L881" s="17">
        <v>120</v>
      </c>
      <c r="M881" s="17">
        <v>30800</v>
      </c>
      <c r="N881" s="17">
        <f t="shared" si="119"/>
        <v>46680</v>
      </c>
      <c r="O881" s="17">
        <f t="shared" si="120"/>
        <v>15880</v>
      </c>
      <c r="P881" s="10">
        <f t="shared" si="121"/>
        <v>0.96829268292682924</v>
      </c>
      <c r="Q881" s="10">
        <f t="shared" si="122"/>
        <v>2.0151133501259445E-2</v>
      </c>
      <c r="R881" s="10">
        <f t="shared" si="123"/>
        <v>0.34018851756640961</v>
      </c>
      <c r="S881" s="18">
        <f t="shared" si="124"/>
        <v>79.177377892030847</v>
      </c>
      <c r="T881" s="8">
        <f>480-ProductionData[[#This Row],[Downtime Minutes]]</f>
        <v>451</v>
      </c>
      <c r="U881" s="11">
        <f t="shared" si="125"/>
        <v>0.88026607538802659</v>
      </c>
      <c r="V881" s="18">
        <f>ProductionData[[#This Row],[Profit]]/ProductionData[[#This Row],[Good Units]]</f>
        <v>40.822622107969153</v>
      </c>
      <c r="W881" s="11">
        <f>ProductionData[[#This Row],[Good Units]]/ProductionData[[#This Row],[Operating Minutes]]</f>
        <v>0.86252771618625279</v>
      </c>
    </row>
    <row r="882" spans="1:23">
      <c r="A882" s="7">
        <v>46301</v>
      </c>
      <c r="B882" s="8" t="s">
        <v>31</v>
      </c>
      <c r="C882" s="8" t="s">
        <v>28</v>
      </c>
      <c r="D882" s="8" t="s">
        <v>23</v>
      </c>
      <c r="E882" s="8" t="s">
        <v>26</v>
      </c>
      <c r="F882" s="9">
        <v>490</v>
      </c>
      <c r="G882" s="9">
        <v>478</v>
      </c>
      <c r="H882" s="9">
        <v>15</v>
      </c>
      <c r="I882" s="9">
        <f t="shared" si="117"/>
        <v>463</v>
      </c>
      <c r="J882" s="9">
        <v>23</v>
      </c>
      <c r="K882" s="10">
        <f t="shared" si="118"/>
        <v>4.791666666666667E-2</v>
      </c>
      <c r="L882" s="17">
        <v>90</v>
      </c>
      <c r="M882" s="17">
        <v>30800</v>
      </c>
      <c r="N882" s="17">
        <f t="shared" si="119"/>
        <v>41670</v>
      </c>
      <c r="O882" s="17">
        <f t="shared" si="120"/>
        <v>10870</v>
      </c>
      <c r="P882" s="10">
        <f t="shared" si="121"/>
        <v>0.97551020408163269</v>
      </c>
      <c r="Q882" s="10">
        <f t="shared" si="122"/>
        <v>3.1380753138075312E-2</v>
      </c>
      <c r="R882" s="10">
        <f t="shared" si="123"/>
        <v>0.26085913126949845</v>
      </c>
      <c r="S882" s="18">
        <f t="shared" si="124"/>
        <v>66.522678185745136</v>
      </c>
      <c r="T882" s="8">
        <f>480-ProductionData[[#This Row],[Downtime Minutes]]</f>
        <v>457</v>
      </c>
      <c r="U882" s="11">
        <f t="shared" si="125"/>
        <v>1.0459518599562363</v>
      </c>
      <c r="V882" s="18">
        <f>ProductionData[[#This Row],[Profit]]/ProductionData[[#This Row],[Good Units]]</f>
        <v>23.477321814254861</v>
      </c>
      <c r="W882" s="11">
        <f>ProductionData[[#This Row],[Good Units]]/ProductionData[[#This Row],[Operating Minutes]]</f>
        <v>1.013129102844639</v>
      </c>
    </row>
    <row r="883" spans="1:23">
      <c r="A883" s="7">
        <v>46301</v>
      </c>
      <c r="B883" s="8" t="s">
        <v>31</v>
      </c>
      <c r="C883" s="8" t="s">
        <v>28</v>
      </c>
      <c r="D883" s="8" t="s">
        <v>25</v>
      </c>
      <c r="E883" s="8" t="s">
        <v>22</v>
      </c>
      <c r="F883" s="9">
        <v>470</v>
      </c>
      <c r="G883" s="9">
        <v>432</v>
      </c>
      <c r="H883" s="9">
        <v>21</v>
      </c>
      <c r="I883" s="9">
        <f t="shared" si="117"/>
        <v>411</v>
      </c>
      <c r="J883" s="9">
        <v>35</v>
      </c>
      <c r="K883" s="10">
        <f t="shared" si="118"/>
        <v>7.2916666666666671E-2</v>
      </c>
      <c r="L883" s="17">
        <v>100</v>
      </c>
      <c r="M883" s="17">
        <v>30800</v>
      </c>
      <c r="N883" s="17">
        <f t="shared" si="119"/>
        <v>41100</v>
      </c>
      <c r="O883" s="17">
        <f t="shared" si="120"/>
        <v>10300</v>
      </c>
      <c r="P883" s="10">
        <f t="shared" si="121"/>
        <v>0.91914893617021276</v>
      </c>
      <c r="Q883" s="10">
        <f t="shared" si="122"/>
        <v>4.8611111111111112E-2</v>
      </c>
      <c r="R883" s="10">
        <f t="shared" si="123"/>
        <v>0.25060827250608275</v>
      </c>
      <c r="S883" s="18">
        <f t="shared" si="124"/>
        <v>74.93917274939173</v>
      </c>
      <c r="T883" s="8">
        <f>480-ProductionData[[#This Row],[Downtime Minutes]]</f>
        <v>445</v>
      </c>
      <c r="U883" s="11">
        <f t="shared" si="125"/>
        <v>0.97078651685393258</v>
      </c>
      <c r="V883" s="18">
        <f>ProductionData[[#This Row],[Profit]]/ProductionData[[#This Row],[Good Units]]</f>
        <v>25.060827250608273</v>
      </c>
      <c r="W883" s="11">
        <f>ProductionData[[#This Row],[Good Units]]/ProductionData[[#This Row],[Operating Minutes]]</f>
        <v>0.92359550561797754</v>
      </c>
    </row>
    <row r="884" spans="1:23">
      <c r="A884" s="7">
        <v>46302</v>
      </c>
      <c r="B884" s="8" t="s">
        <v>31</v>
      </c>
      <c r="C884" s="8" t="s">
        <v>20</v>
      </c>
      <c r="D884" s="8" t="s">
        <v>21</v>
      </c>
      <c r="E884" s="8" t="s">
        <v>22</v>
      </c>
      <c r="F884" s="9">
        <v>450</v>
      </c>
      <c r="G884" s="9">
        <v>441</v>
      </c>
      <c r="H884" s="9">
        <v>17</v>
      </c>
      <c r="I884" s="9">
        <f t="shared" si="117"/>
        <v>424</v>
      </c>
      <c r="J884" s="9">
        <v>46</v>
      </c>
      <c r="K884" s="10">
        <f t="shared" si="118"/>
        <v>9.583333333333334E-2</v>
      </c>
      <c r="L884" s="17">
        <v>100</v>
      </c>
      <c r="M884" s="17">
        <v>30800</v>
      </c>
      <c r="N884" s="17">
        <f t="shared" si="119"/>
        <v>42400</v>
      </c>
      <c r="O884" s="17">
        <f t="shared" si="120"/>
        <v>11600</v>
      </c>
      <c r="P884" s="10">
        <f t="shared" si="121"/>
        <v>0.98</v>
      </c>
      <c r="Q884" s="10">
        <f t="shared" si="122"/>
        <v>3.8548752834467119E-2</v>
      </c>
      <c r="R884" s="10">
        <f t="shared" si="123"/>
        <v>0.27358490566037735</v>
      </c>
      <c r="S884" s="18">
        <f t="shared" si="124"/>
        <v>72.64150943396227</v>
      </c>
      <c r="T884" s="8">
        <f>480-ProductionData[[#This Row],[Downtime Minutes]]</f>
        <v>434</v>
      </c>
      <c r="U884" s="11">
        <f t="shared" si="125"/>
        <v>1.0161290322580645</v>
      </c>
      <c r="V884" s="18">
        <f>ProductionData[[#This Row],[Profit]]/ProductionData[[#This Row],[Good Units]]</f>
        <v>27.358490566037737</v>
      </c>
      <c r="W884" s="11">
        <f>ProductionData[[#This Row],[Good Units]]/ProductionData[[#This Row],[Operating Minutes]]</f>
        <v>0.97695852534562211</v>
      </c>
    </row>
    <row r="885" spans="1:23">
      <c r="A885" s="7">
        <v>46302</v>
      </c>
      <c r="B885" s="8" t="s">
        <v>31</v>
      </c>
      <c r="C885" s="8" t="s">
        <v>20</v>
      </c>
      <c r="D885" s="8" t="s">
        <v>23</v>
      </c>
      <c r="E885" s="8" t="s">
        <v>24</v>
      </c>
      <c r="F885" s="9">
        <v>410</v>
      </c>
      <c r="G885" s="9">
        <v>388</v>
      </c>
      <c r="H885" s="9">
        <v>12</v>
      </c>
      <c r="I885" s="9">
        <f t="shared" si="117"/>
        <v>376</v>
      </c>
      <c r="J885" s="9">
        <v>34</v>
      </c>
      <c r="K885" s="10">
        <f t="shared" si="118"/>
        <v>7.0833333333333331E-2</v>
      </c>
      <c r="L885" s="17">
        <v>120</v>
      </c>
      <c r="M885" s="17">
        <v>30800</v>
      </c>
      <c r="N885" s="17">
        <f t="shared" si="119"/>
        <v>45120</v>
      </c>
      <c r="O885" s="17">
        <f t="shared" si="120"/>
        <v>14320</v>
      </c>
      <c r="P885" s="10">
        <f t="shared" si="121"/>
        <v>0.9463414634146341</v>
      </c>
      <c r="Q885" s="10">
        <f t="shared" si="122"/>
        <v>3.0927835051546393E-2</v>
      </c>
      <c r="R885" s="10">
        <f t="shared" si="123"/>
        <v>0.31737588652482268</v>
      </c>
      <c r="S885" s="18">
        <f t="shared" si="124"/>
        <v>81.914893617021278</v>
      </c>
      <c r="T885" s="8">
        <f>480-ProductionData[[#This Row],[Downtime Minutes]]</f>
        <v>446</v>
      </c>
      <c r="U885" s="11">
        <f t="shared" si="125"/>
        <v>0.8699551569506726</v>
      </c>
      <c r="V885" s="18">
        <f>ProductionData[[#This Row],[Profit]]/ProductionData[[#This Row],[Good Units]]</f>
        <v>38.085106382978722</v>
      </c>
      <c r="W885" s="11">
        <f>ProductionData[[#This Row],[Good Units]]/ProductionData[[#This Row],[Operating Minutes]]</f>
        <v>0.84304932735426008</v>
      </c>
    </row>
    <row r="886" spans="1:23">
      <c r="A886" s="7">
        <v>46302</v>
      </c>
      <c r="B886" s="8" t="s">
        <v>31</v>
      </c>
      <c r="C886" s="8" t="s">
        <v>20</v>
      </c>
      <c r="D886" s="8" t="s">
        <v>25</v>
      </c>
      <c r="E886" s="8" t="s">
        <v>26</v>
      </c>
      <c r="F886" s="9">
        <v>500</v>
      </c>
      <c r="G886" s="9">
        <v>450</v>
      </c>
      <c r="H886" s="9">
        <v>21</v>
      </c>
      <c r="I886" s="9">
        <f t="shared" si="117"/>
        <v>429</v>
      </c>
      <c r="J886" s="9">
        <v>34</v>
      </c>
      <c r="K886" s="10">
        <f t="shared" si="118"/>
        <v>7.0833333333333331E-2</v>
      </c>
      <c r="L886" s="17">
        <v>90</v>
      </c>
      <c r="M886" s="17">
        <v>30800</v>
      </c>
      <c r="N886" s="17">
        <f t="shared" si="119"/>
        <v>38610</v>
      </c>
      <c r="O886" s="17">
        <f t="shared" si="120"/>
        <v>7810</v>
      </c>
      <c r="P886" s="10">
        <f t="shared" si="121"/>
        <v>0.9</v>
      </c>
      <c r="Q886" s="10">
        <f t="shared" si="122"/>
        <v>4.6666666666666669E-2</v>
      </c>
      <c r="R886" s="10">
        <f t="shared" si="123"/>
        <v>0.20227920227920229</v>
      </c>
      <c r="S886" s="18">
        <f t="shared" si="124"/>
        <v>71.794871794871796</v>
      </c>
      <c r="T886" s="8">
        <f>480-ProductionData[[#This Row],[Downtime Minutes]]</f>
        <v>446</v>
      </c>
      <c r="U886" s="11">
        <f t="shared" si="125"/>
        <v>1.0089686098654709</v>
      </c>
      <c r="V886" s="18">
        <f>ProductionData[[#This Row],[Profit]]/ProductionData[[#This Row],[Good Units]]</f>
        <v>18.205128205128204</v>
      </c>
      <c r="W886" s="11">
        <f>ProductionData[[#This Row],[Good Units]]/ProductionData[[#This Row],[Operating Minutes]]</f>
        <v>0.96188340807174888</v>
      </c>
    </row>
    <row r="887" spans="1:23">
      <c r="A887" s="7">
        <v>46302</v>
      </c>
      <c r="B887" s="8" t="s">
        <v>31</v>
      </c>
      <c r="C887" s="8" t="s">
        <v>27</v>
      </c>
      <c r="D887" s="8" t="s">
        <v>21</v>
      </c>
      <c r="E887" s="8" t="s">
        <v>24</v>
      </c>
      <c r="F887" s="9">
        <v>410</v>
      </c>
      <c r="G887" s="9">
        <v>365</v>
      </c>
      <c r="H887" s="9">
        <v>18</v>
      </c>
      <c r="I887" s="9">
        <f t="shared" si="117"/>
        <v>347</v>
      </c>
      <c r="J887" s="9">
        <v>56</v>
      </c>
      <c r="K887" s="10">
        <f t="shared" si="118"/>
        <v>0.11666666666666667</v>
      </c>
      <c r="L887" s="17">
        <v>120</v>
      </c>
      <c r="M887" s="17">
        <v>30800</v>
      </c>
      <c r="N887" s="17">
        <f t="shared" si="119"/>
        <v>41640</v>
      </c>
      <c r="O887" s="17">
        <f t="shared" si="120"/>
        <v>10840</v>
      </c>
      <c r="P887" s="10">
        <f t="shared" si="121"/>
        <v>0.8902439024390244</v>
      </c>
      <c r="Q887" s="10">
        <f t="shared" si="122"/>
        <v>4.9315068493150684E-2</v>
      </c>
      <c r="R887" s="10">
        <f t="shared" si="123"/>
        <v>0.26032660902977905</v>
      </c>
      <c r="S887" s="18">
        <f t="shared" si="124"/>
        <v>88.760806916426517</v>
      </c>
      <c r="T887" s="8">
        <f>480-ProductionData[[#This Row],[Downtime Minutes]]</f>
        <v>424</v>
      </c>
      <c r="U887" s="11">
        <f t="shared" si="125"/>
        <v>0.86084905660377353</v>
      </c>
      <c r="V887" s="18">
        <f>ProductionData[[#This Row],[Profit]]/ProductionData[[#This Row],[Good Units]]</f>
        <v>31.239193083573486</v>
      </c>
      <c r="W887" s="11">
        <f>ProductionData[[#This Row],[Good Units]]/ProductionData[[#This Row],[Operating Minutes]]</f>
        <v>0.81839622641509435</v>
      </c>
    </row>
    <row r="888" spans="1:23">
      <c r="A888" s="7">
        <v>46302</v>
      </c>
      <c r="B888" s="8" t="s">
        <v>31</v>
      </c>
      <c r="C888" s="8" t="s">
        <v>27</v>
      </c>
      <c r="D888" s="8" t="s">
        <v>23</v>
      </c>
      <c r="E888" s="8" t="s">
        <v>26</v>
      </c>
      <c r="F888" s="9">
        <v>510</v>
      </c>
      <c r="G888" s="9">
        <v>471</v>
      </c>
      <c r="H888" s="9">
        <v>29</v>
      </c>
      <c r="I888" s="9">
        <f t="shared" si="117"/>
        <v>442</v>
      </c>
      <c r="J888" s="9">
        <v>58</v>
      </c>
      <c r="K888" s="10">
        <f t="shared" si="118"/>
        <v>0.12083333333333333</v>
      </c>
      <c r="L888" s="17">
        <v>90</v>
      </c>
      <c r="M888" s="17">
        <v>30800</v>
      </c>
      <c r="N888" s="17">
        <f t="shared" si="119"/>
        <v>39780</v>
      </c>
      <c r="O888" s="17">
        <f t="shared" si="120"/>
        <v>8980</v>
      </c>
      <c r="P888" s="10">
        <f t="shared" si="121"/>
        <v>0.92352941176470593</v>
      </c>
      <c r="Q888" s="10">
        <f t="shared" si="122"/>
        <v>6.1571125265392782E-2</v>
      </c>
      <c r="R888" s="10">
        <f t="shared" si="123"/>
        <v>0.22574157868275516</v>
      </c>
      <c r="S888" s="18">
        <f t="shared" si="124"/>
        <v>69.68325791855203</v>
      </c>
      <c r="T888" s="8">
        <f>480-ProductionData[[#This Row],[Downtime Minutes]]</f>
        <v>422</v>
      </c>
      <c r="U888" s="11">
        <f t="shared" si="125"/>
        <v>1.1161137440758293</v>
      </c>
      <c r="V888" s="18">
        <f>ProductionData[[#This Row],[Profit]]/ProductionData[[#This Row],[Good Units]]</f>
        <v>20.316742081447963</v>
      </c>
      <c r="W888" s="11">
        <f>ProductionData[[#This Row],[Good Units]]/ProductionData[[#This Row],[Operating Minutes]]</f>
        <v>1.04739336492891</v>
      </c>
    </row>
    <row r="889" spans="1:23">
      <c r="A889" s="7">
        <v>46302</v>
      </c>
      <c r="B889" s="8" t="s">
        <v>31</v>
      </c>
      <c r="C889" s="8" t="s">
        <v>27</v>
      </c>
      <c r="D889" s="8" t="s">
        <v>25</v>
      </c>
      <c r="E889" s="8" t="s">
        <v>22</v>
      </c>
      <c r="F889" s="9">
        <v>460</v>
      </c>
      <c r="G889" s="9">
        <v>402</v>
      </c>
      <c r="H889" s="9">
        <v>32</v>
      </c>
      <c r="I889" s="9">
        <f t="shared" si="117"/>
        <v>370</v>
      </c>
      <c r="J889" s="9">
        <v>60</v>
      </c>
      <c r="K889" s="10">
        <f t="shared" si="118"/>
        <v>0.125</v>
      </c>
      <c r="L889" s="17">
        <v>100</v>
      </c>
      <c r="M889" s="17">
        <v>30800</v>
      </c>
      <c r="N889" s="17">
        <f t="shared" si="119"/>
        <v>37000</v>
      </c>
      <c r="O889" s="17">
        <f t="shared" si="120"/>
        <v>6200</v>
      </c>
      <c r="P889" s="10">
        <f t="shared" si="121"/>
        <v>0.87391304347826082</v>
      </c>
      <c r="Q889" s="10">
        <f t="shared" si="122"/>
        <v>7.9601990049751242E-2</v>
      </c>
      <c r="R889" s="10">
        <f t="shared" si="123"/>
        <v>0.16756756756756758</v>
      </c>
      <c r="S889" s="18">
        <f t="shared" si="124"/>
        <v>83.243243243243242</v>
      </c>
      <c r="T889" s="8">
        <f>480-ProductionData[[#This Row],[Downtime Minutes]]</f>
        <v>420</v>
      </c>
      <c r="U889" s="11">
        <f t="shared" si="125"/>
        <v>0.95714285714285718</v>
      </c>
      <c r="V889" s="18">
        <f>ProductionData[[#This Row],[Profit]]/ProductionData[[#This Row],[Good Units]]</f>
        <v>16.756756756756758</v>
      </c>
      <c r="W889" s="11">
        <f>ProductionData[[#This Row],[Good Units]]/ProductionData[[#This Row],[Operating Minutes]]</f>
        <v>0.88095238095238093</v>
      </c>
    </row>
    <row r="890" spans="1:23">
      <c r="A890" s="7">
        <v>46302</v>
      </c>
      <c r="B890" s="8" t="s">
        <v>31</v>
      </c>
      <c r="C890" s="8" t="s">
        <v>28</v>
      </c>
      <c r="D890" s="8" t="s">
        <v>21</v>
      </c>
      <c r="E890" s="8" t="s">
        <v>26</v>
      </c>
      <c r="F890" s="9">
        <v>500</v>
      </c>
      <c r="G890" s="9">
        <v>491</v>
      </c>
      <c r="H890" s="9">
        <v>17</v>
      </c>
      <c r="I890" s="9">
        <f t="shared" si="117"/>
        <v>474</v>
      </c>
      <c r="J890" s="9">
        <v>20</v>
      </c>
      <c r="K890" s="10">
        <f t="shared" si="118"/>
        <v>4.1666666666666664E-2</v>
      </c>
      <c r="L890" s="17">
        <v>90</v>
      </c>
      <c r="M890" s="17">
        <v>30800</v>
      </c>
      <c r="N890" s="17">
        <f t="shared" si="119"/>
        <v>42660</v>
      </c>
      <c r="O890" s="17">
        <f t="shared" si="120"/>
        <v>11860</v>
      </c>
      <c r="P890" s="10">
        <f t="shared" si="121"/>
        <v>0.98199999999999998</v>
      </c>
      <c r="Q890" s="10">
        <f t="shared" si="122"/>
        <v>3.4623217922606926E-2</v>
      </c>
      <c r="R890" s="10">
        <f t="shared" si="123"/>
        <v>0.27801218940459449</v>
      </c>
      <c r="S890" s="18">
        <f t="shared" si="124"/>
        <v>64.978902953586498</v>
      </c>
      <c r="T890" s="8">
        <f>480-ProductionData[[#This Row],[Downtime Minutes]]</f>
        <v>460</v>
      </c>
      <c r="U890" s="11">
        <f t="shared" si="125"/>
        <v>1.067391304347826</v>
      </c>
      <c r="V890" s="18">
        <f>ProductionData[[#This Row],[Profit]]/ProductionData[[#This Row],[Good Units]]</f>
        <v>25.021097046413502</v>
      </c>
      <c r="W890" s="11">
        <f>ProductionData[[#This Row],[Good Units]]/ProductionData[[#This Row],[Operating Minutes]]</f>
        <v>1.0304347826086957</v>
      </c>
    </row>
    <row r="891" spans="1:23">
      <c r="A891" s="7">
        <v>46302</v>
      </c>
      <c r="B891" s="8" t="s">
        <v>31</v>
      </c>
      <c r="C891" s="8" t="s">
        <v>28</v>
      </c>
      <c r="D891" s="8" t="s">
        <v>23</v>
      </c>
      <c r="E891" s="8" t="s">
        <v>22</v>
      </c>
      <c r="F891" s="9">
        <v>460</v>
      </c>
      <c r="G891" s="9">
        <v>442</v>
      </c>
      <c r="H891" s="9">
        <v>17</v>
      </c>
      <c r="I891" s="9">
        <f t="shared" si="117"/>
        <v>425</v>
      </c>
      <c r="J891" s="9">
        <v>46</v>
      </c>
      <c r="K891" s="10">
        <f t="shared" si="118"/>
        <v>9.583333333333334E-2</v>
      </c>
      <c r="L891" s="17">
        <v>100</v>
      </c>
      <c r="M891" s="17">
        <v>30800</v>
      </c>
      <c r="N891" s="17">
        <f t="shared" si="119"/>
        <v>42500</v>
      </c>
      <c r="O891" s="17">
        <f t="shared" si="120"/>
        <v>11700</v>
      </c>
      <c r="P891" s="10">
        <f t="shared" si="121"/>
        <v>0.96086956521739131</v>
      </c>
      <c r="Q891" s="10">
        <f t="shared" si="122"/>
        <v>3.8461538461538464E-2</v>
      </c>
      <c r="R891" s="10">
        <f t="shared" si="123"/>
        <v>0.2752941176470588</v>
      </c>
      <c r="S891" s="18">
        <f t="shared" si="124"/>
        <v>72.470588235294116</v>
      </c>
      <c r="T891" s="8">
        <f>480-ProductionData[[#This Row],[Downtime Minutes]]</f>
        <v>434</v>
      </c>
      <c r="U891" s="11">
        <f t="shared" si="125"/>
        <v>1.0184331797235022</v>
      </c>
      <c r="V891" s="18">
        <f>ProductionData[[#This Row],[Profit]]/ProductionData[[#This Row],[Good Units]]</f>
        <v>27.529411764705884</v>
      </c>
      <c r="W891" s="11">
        <f>ProductionData[[#This Row],[Good Units]]/ProductionData[[#This Row],[Operating Minutes]]</f>
        <v>0.97926267281105994</v>
      </c>
    </row>
    <row r="892" spans="1:23">
      <c r="A892" s="7">
        <v>46302</v>
      </c>
      <c r="B892" s="8" t="s">
        <v>31</v>
      </c>
      <c r="C892" s="8" t="s">
        <v>28</v>
      </c>
      <c r="D892" s="8" t="s">
        <v>25</v>
      </c>
      <c r="E892" s="8" t="s">
        <v>24</v>
      </c>
      <c r="F892" s="9">
        <v>410</v>
      </c>
      <c r="G892" s="9">
        <v>380</v>
      </c>
      <c r="H892" s="9">
        <v>13</v>
      </c>
      <c r="I892" s="9">
        <f t="shared" si="117"/>
        <v>367</v>
      </c>
      <c r="J892" s="9">
        <v>39</v>
      </c>
      <c r="K892" s="10">
        <f t="shared" si="118"/>
        <v>8.1250000000000003E-2</v>
      </c>
      <c r="L892" s="17">
        <v>120</v>
      </c>
      <c r="M892" s="17">
        <v>30800</v>
      </c>
      <c r="N892" s="17">
        <f t="shared" si="119"/>
        <v>44040</v>
      </c>
      <c r="O892" s="17">
        <f t="shared" si="120"/>
        <v>13240</v>
      </c>
      <c r="P892" s="10">
        <f t="shared" si="121"/>
        <v>0.92682926829268297</v>
      </c>
      <c r="Q892" s="10">
        <f t="shared" si="122"/>
        <v>3.4210526315789476E-2</v>
      </c>
      <c r="R892" s="10">
        <f t="shared" si="123"/>
        <v>0.30063578564940963</v>
      </c>
      <c r="S892" s="18">
        <f t="shared" si="124"/>
        <v>83.923705722070849</v>
      </c>
      <c r="T892" s="8">
        <f>480-ProductionData[[#This Row],[Downtime Minutes]]</f>
        <v>441</v>
      </c>
      <c r="U892" s="11">
        <f t="shared" si="125"/>
        <v>0.86167800453514742</v>
      </c>
      <c r="V892" s="18">
        <f>ProductionData[[#This Row],[Profit]]/ProductionData[[#This Row],[Good Units]]</f>
        <v>36.076294277929158</v>
      </c>
      <c r="W892" s="11">
        <f>ProductionData[[#This Row],[Good Units]]/ProductionData[[#This Row],[Operating Minutes]]</f>
        <v>0.83219954648526073</v>
      </c>
    </row>
    <row r="893" spans="1:23">
      <c r="A893" s="7">
        <v>46303</v>
      </c>
      <c r="B893" s="8" t="s">
        <v>31</v>
      </c>
      <c r="C893" s="8" t="s">
        <v>20</v>
      </c>
      <c r="D893" s="8" t="s">
        <v>21</v>
      </c>
      <c r="E893" s="8" t="s">
        <v>24</v>
      </c>
      <c r="F893" s="9">
        <v>400</v>
      </c>
      <c r="G893" s="9">
        <v>384</v>
      </c>
      <c r="H893" s="9">
        <v>12</v>
      </c>
      <c r="I893" s="9">
        <f t="shared" si="117"/>
        <v>372</v>
      </c>
      <c r="J893" s="9">
        <v>37</v>
      </c>
      <c r="K893" s="10">
        <f t="shared" si="118"/>
        <v>7.7083333333333337E-2</v>
      </c>
      <c r="L893" s="17">
        <v>120</v>
      </c>
      <c r="M893" s="17">
        <v>30800</v>
      </c>
      <c r="N893" s="17">
        <f t="shared" si="119"/>
        <v>44640</v>
      </c>
      <c r="O893" s="17">
        <f t="shared" si="120"/>
        <v>13840</v>
      </c>
      <c r="P893" s="10">
        <f t="shared" si="121"/>
        <v>0.96</v>
      </c>
      <c r="Q893" s="10">
        <f t="shared" si="122"/>
        <v>3.125E-2</v>
      </c>
      <c r="R893" s="10">
        <f t="shared" si="123"/>
        <v>0.31003584229390679</v>
      </c>
      <c r="S893" s="18">
        <f t="shared" si="124"/>
        <v>82.795698924731184</v>
      </c>
      <c r="T893" s="8">
        <f>480-ProductionData[[#This Row],[Downtime Minutes]]</f>
        <v>443</v>
      </c>
      <c r="U893" s="11">
        <f t="shared" si="125"/>
        <v>0.86681715575620766</v>
      </c>
      <c r="V893" s="18">
        <f>ProductionData[[#This Row],[Profit]]/ProductionData[[#This Row],[Good Units]]</f>
        <v>37.204301075268816</v>
      </c>
      <c r="W893" s="11">
        <f>ProductionData[[#This Row],[Good Units]]/ProductionData[[#This Row],[Operating Minutes]]</f>
        <v>0.83972911963882624</v>
      </c>
    </row>
    <row r="894" spans="1:23">
      <c r="A894" s="7">
        <v>46303</v>
      </c>
      <c r="B894" s="8" t="s">
        <v>31</v>
      </c>
      <c r="C894" s="8" t="s">
        <v>20</v>
      </c>
      <c r="D894" s="8" t="s">
        <v>23</v>
      </c>
      <c r="E894" s="8" t="s">
        <v>26</v>
      </c>
      <c r="F894" s="9">
        <v>490</v>
      </c>
      <c r="G894" s="9">
        <v>465</v>
      </c>
      <c r="H894" s="9">
        <v>17</v>
      </c>
      <c r="I894" s="9">
        <f t="shared" si="117"/>
        <v>448</v>
      </c>
      <c r="J894" s="9">
        <v>25</v>
      </c>
      <c r="K894" s="10">
        <f t="shared" si="118"/>
        <v>5.2083333333333336E-2</v>
      </c>
      <c r="L894" s="17">
        <v>90</v>
      </c>
      <c r="M894" s="17">
        <v>30800</v>
      </c>
      <c r="N894" s="17">
        <f t="shared" si="119"/>
        <v>40320</v>
      </c>
      <c r="O894" s="17">
        <f t="shared" si="120"/>
        <v>9520</v>
      </c>
      <c r="P894" s="10">
        <f t="shared" si="121"/>
        <v>0.94897959183673475</v>
      </c>
      <c r="Q894" s="10">
        <f t="shared" si="122"/>
        <v>3.6559139784946237E-2</v>
      </c>
      <c r="R894" s="10">
        <f t="shared" si="123"/>
        <v>0.2361111111111111</v>
      </c>
      <c r="S894" s="18">
        <f t="shared" si="124"/>
        <v>68.75</v>
      </c>
      <c r="T894" s="8">
        <f>480-ProductionData[[#This Row],[Downtime Minutes]]</f>
        <v>455</v>
      </c>
      <c r="U894" s="11">
        <f t="shared" si="125"/>
        <v>1.0219780219780219</v>
      </c>
      <c r="V894" s="18">
        <f>ProductionData[[#This Row],[Profit]]/ProductionData[[#This Row],[Good Units]]</f>
        <v>21.25</v>
      </c>
      <c r="W894" s="11">
        <f>ProductionData[[#This Row],[Good Units]]/ProductionData[[#This Row],[Operating Minutes]]</f>
        <v>0.98461538461538467</v>
      </c>
    </row>
    <row r="895" spans="1:23">
      <c r="A895" s="7">
        <v>46303</v>
      </c>
      <c r="B895" s="8" t="s">
        <v>31</v>
      </c>
      <c r="C895" s="8" t="s">
        <v>20</v>
      </c>
      <c r="D895" s="8" t="s">
        <v>25</v>
      </c>
      <c r="E895" s="8" t="s">
        <v>22</v>
      </c>
      <c r="F895" s="9">
        <v>470</v>
      </c>
      <c r="G895" s="9">
        <v>436</v>
      </c>
      <c r="H895" s="9">
        <v>28</v>
      </c>
      <c r="I895" s="9">
        <f t="shared" si="117"/>
        <v>408</v>
      </c>
      <c r="J895" s="9">
        <v>59</v>
      </c>
      <c r="K895" s="10">
        <f t="shared" si="118"/>
        <v>0.12291666666666666</v>
      </c>
      <c r="L895" s="17">
        <v>100</v>
      </c>
      <c r="M895" s="17">
        <v>30800</v>
      </c>
      <c r="N895" s="17">
        <f t="shared" si="119"/>
        <v>40800</v>
      </c>
      <c r="O895" s="17">
        <f t="shared" si="120"/>
        <v>10000</v>
      </c>
      <c r="P895" s="10">
        <f t="shared" si="121"/>
        <v>0.92765957446808511</v>
      </c>
      <c r="Q895" s="10">
        <f t="shared" si="122"/>
        <v>6.4220183486238536E-2</v>
      </c>
      <c r="R895" s="10">
        <f t="shared" si="123"/>
        <v>0.24509803921568626</v>
      </c>
      <c r="S895" s="18">
        <f t="shared" si="124"/>
        <v>75.490196078431367</v>
      </c>
      <c r="T895" s="8">
        <f>480-ProductionData[[#This Row],[Downtime Minutes]]</f>
        <v>421</v>
      </c>
      <c r="U895" s="11">
        <f t="shared" si="125"/>
        <v>1.0356294536817101</v>
      </c>
      <c r="V895" s="18">
        <f>ProductionData[[#This Row],[Profit]]/ProductionData[[#This Row],[Good Units]]</f>
        <v>24.509803921568629</v>
      </c>
      <c r="W895" s="11">
        <f>ProductionData[[#This Row],[Good Units]]/ProductionData[[#This Row],[Operating Minutes]]</f>
        <v>0.96912114014251782</v>
      </c>
    </row>
    <row r="896" spans="1:23">
      <c r="A896" s="7">
        <v>46303</v>
      </c>
      <c r="B896" s="8" t="s">
        <v>31</v>
      </c>
      <c r="C896" s="8" t="s">
        <v>27</v>
      </c>
      <c r="D896" s="8" t="s">
        <v>21</v>
      </c>
      <c r="E896" s="8" t="s">
        <v>26</v>
      </c>
      <c r="F896" s="9">
        <v>520</v>
      </c>
      <c r="G896" s="9">
        <v>458</v>
      </c>
      <c r="H896" s="9">
        <v>25</v>
      </c>
      <c r="I896" s="9">
        <f t="shared" si="117"/>
        <v>433</v>
      </c>
      <c r="J896" s="9">
        <v>38</v>
      </c>
      <c r="K896" s="10">
        <f t="shared" si="118"/>
        <v>7.9166666666666663E-2</v>
      </c>
      <c r="L896" s="17">
        <v>90</v>
      </c>
      <c r="M896" s="17">
        <v>30800</v>
      </c>
      <c r="N896" s="17">
        <f t="shared" si="119"/>
        <v>38970</v>
      </c>
      <c r="O896" s="17">
        <f t="shared" si="120"/>
        <v>8170</v>
      </c>
      <c r="P896" s="10">
        <f t="shared" si="121"/>
        <v>0.88076923076923075</v>
      </c>
      <c r="Q896" s="10">
        <f t="shared" si="122"/>
        <v>5.458515283842795E-2</v>
      </c>
      <c r="R896" s="10">
        <f t="shared" si="123"/>
        <v>0.20964844752373621</v>
      </c>
      <c r="S896" s="18">
        <f t="shared" si="124"/>
        <v>71.131639722863738</v>
      </c>
      <c r="T896" s="8">
        <f>480-ProductionData[[#This Row],[Downtime Minutes]]</f>
        <v>442</v>
      </c>
      <c r="U896" s="11">
        <f t="shared" si="125"/>
        <v>1.0361990950226245</v>
      </c>
      <c r="V896" s="18">
        <f>ProductionData[[#This Row],[Profit]]/ProductionData[[#This Row],[Good Units]]</f>
        <v>18.868360277136258</v>
      </c>
      <c r="W896" s="11">
        <f>ProductionData[[#This Row],[Good Units]]/ProductionData[[#This Row],[Operating Minutes]]</f>
        <v>0.97963800904977372</v>
      </c>
    </row>
    <row r="897" spans="1:23">
      <c r="A897" s="7">
        <v>46303</v>
      </c>
      <c r="B897" s="8" t="s">
        <v>31</v>
      </c>
      <c r="C897" s="8" t="s">
        <v>27</v>
      </c>
      <c r="D897" s="8" t="s">
        <v>23</v>
      </c>
      <c r="E897" s="8" t="s">
        <v>22</v>
      </c>
      <c r="F897" s="9">
        <v>440</v>
      </c>
      <c r="G897" s="9">
        <v>388</v>
      </c>
      <c r="H897" s="9">
        <v>27</v>
      </c>
      <c r="I897" s="9">
        <f t="shared" si="117"/>
        <v>361</v>
      </c>
      <c r="J897" s="9">
        <v>64</v>
      </c>
      <c r="K897" s="10">
        <f t="shared" si="118"/>
        <v>0.13333333333333333</v>
      </c>
      <c r="L897" s="17">
        <v>100</v>
      </c>
      <c r="M897" s="17">
        <v>30800</v>
      </c>
      <c r="N897" s="17">
        <f t="shared" si="119"/>
        <v>36100</v>
      </c>
      <c r="O897" s="17">
        <f t="shared" si="120"/>
        <v>5300</v>
      </c>
      <c r="P897" s="10">
        <f t="shared" si="121"/>
        <v>0.88181818181818183</v>
      </c>
      <c r="Q897" s="10">
        <f t="shared" si="122"/>
        <v>6.9587628865979384E-2</v>
      </c>
      <c r="R897" s="10">
        <f t="shared" si="123"/>
        <v>0.14681440443213298</v>
      </c>
      <c r="S897" s="18">
        <f t="shared" si="124"/>
        <v>85.31855955678671</v>
      </c>
      <c r="T897" s="8">
        <f>480-ProductionData[[#This Row],[Downtime Minutes]]</f>
        <v>416</v>
      </c>
      <c r="U897" s="11">
        <f t="shared" si="125"/>
        <v>0.93269230769230771</v>
      </c>
      <c r="V897" s="18">
        <f>ProductionData[[#This Row],[Profit]]/ProductionData[[#This Row],[Good Units]]</f>
        <v>14.681440443213296</v>
      </c>
      <c r="W897" s="11">
        <f>ProductionData[[#This Row],[Good Units]]/ProductionData[[#This Row],[Operating Minutes]]</f>
        <v>0.86778846153846156</v>
      </c>
    </row>
    <row r="898" spans="1:23">
      <c r="A898" s="7">
        <v>46303</v>
      </c>
      <c r="B898" s="8" t="s">
        <v>31</v>
      </c>
      <c r="C898" s="8" t="s">
        <v>27</v>
      </c>
      <c r="D898" s="8" t="s">
        <v>25</v>
      </c>
      <c r="E898" s="8" t="s">
        <v>24</v>
      </c>
      <c r="F898" s="9">
        <v>400</v>
      </c>
      <c r="G898" s="9">
        <v>358</v>
      </c>
      <c r="H898" s="9">
        <v>23</v>
      </c>
      <c r="I898" s="9">
        <f t="shared" ref="I898:I961" si="126">G898-H898</f>
        <v>335</v>
      </c>
      <c r="J898" s="9">
        <v>50</v>
      </c>
      <c r="K898" s="10">
        <f t="shared" ref="K898:K961" si="127">J898/480</f>
        <v>0.10416666666666667</v>
      </c>
      <c r="L898" s="17">
        <v>120</v>
      </c>
      <c r="M898" s="17">
        <v>30800</v>
      </c>
      <c r="N898" s="17">
        <f t="shared" ref="N898:N961" si="128">I898*L898</f>
        <v>40200</v>
      </c>
      <c r="O898" s="17">
        <f t="shared" ref="O898:O961" si="129">N898-M898</f>
        <v>9400</v>
      </c>
      <c r="P898" s="10">
        <f t="shared" ref="P898:P961" si="130">G898/F898</f>
        <v>0.89500000000000002</v>
      </c>
      <c r="Q898" s="10">
        <f t="shared" ref="Q898:Q961" si="131">H898/G898</f>
        <v>6.4245810055865923E-2</v>
      </c>
      <c r="R898" s="10">
        <f t="shared" ref="R898:R961" si="132">O898/N898</f>
        <v>0.23383084577114427</v>
      </c>
      <c r="S898" s="18">
        <f t="shared" ref="S898:S961" si="133">M898/I898</f>
        <v>91.940298507462686</v>
      </c>
      <c r="T898" s="8">
        <f>480-ProductionData[[#This Row],[Downtime Minutes]]</f>
        <v>430</v>
      </c>
      <c r="U898" s="11">
        <f t="shared" ref="U898:U961" si="134">G898/T898</f>
        <v>0.83255813953488367</v>
      </c>
      <c r="V898" s="18">
        <f>ProductionData[[#This Row],[Profit]]/ProductionData[[#This Row],[Good Units]]</f>
        <v>28.059701492537314</v>
      </c>
      <c r="W898" s="11">
        <f>ProductionData[[#This Row],[Good Units]]/ProductionData[[#This Row],[Operating Minutes]]</f>
        <v>0.77906976744186052</v>
      </c>
    </row>
    <row r="899" spans="1:23">
      <c r="A899" s="7">
        <v>46303</v>
      </c>
      <c r="B899" s="8" t="s">
        <v>31</v>
      </c>
      <c r="C899" s="8" t="s">
        <v>28</v>
      </c>
      <c r="D899" s="8" t="s">
        <v>21</v>
      </c>
      <c r="E899" s="8" t="s">
        <v>22</v>
      </c>
      <c r="F899" s="9">
        <v>440</v>
      </c>
      <c r="G899" s="9">
        <v>436</v>
      </c>
      <c r="H899" s="9">
        <v>17</v>
      </c>
      <c r="I899" s="9">
        <f t="shared" si="126"/>
        <v>419</v>
      </c>
      <c r="J899" s="9">
        <v>23</v>
      </c>
      <c r="K899" s="10">
        <f t="shared" si="127"/>
        <v>4.791666666666667E-2</v>
      </c>
      <c r="L899" s="17">
        <v>100</v>
      </c>
      <c r="M899" s="17">
        <v>30800</v>
      </c>
      <c r="N899" s="17">
        <f t="shared" si="128"/>
        <v>41900</v>
      </c>
      <c r="O899" s="17">
        <f t="shared" si="129"/>
        <v>11100</v>
      </c>
      <c r="P899" s="10">
        <f t="shared" si="130"/>
        <v>0.99090909090909096</v>
      </c>
      <c r="Q899" s="10">
        <f t="shared" si="131"/>
        <v>3.8990825688073397E-2</v>
      </c>
      <c r="R899" s="10">
        <f t="shared" si="132"/>
        <v>0.2649164677804296</v>
      </c>
      <c r="S899" s="18">
        <f t="shared" si="133"/>
        <v>73.508353221957037</v>
      </c>
      <c r="T899" s="8">
        <f>480-ProductionData[[#This Row],[Downtime Minutes]]</f>
        <v>457</v>
      </c>
      <c r="U899" s="11">
        <f t="shared" si="134"/>
        <v>0.9540481400437637</v>
      </c>
      <c r="V899" s="18">
        <f>ProductionData[[#This Row],[Profit]]/ProductionData[[#This Row],[Good Units]]</f>
        <v>26.491646778042959</v>
      </c>
      <c r="W899" s="11">
        <f>ProductionData[[#This Row],[Good Units]]/ProductionData[[#This Row],[Operating Minutes]]</f>
        <v>0.91684901531728669</v>
      </c>
    </row>
    <row r="900" spans="1:23">
      <c r="A900" s="7">
        <v>46303</v>
      </c>
      <c r="B900" s="8" t="s">
        <v>31</v>
      </c>
      <c r="C900" s="8" t="s">
        <v>28</v>
      </c>
      <c r="D900" s="8" t="s">
        <v>23</v>
      </c>
      <c r="E900" s="8" t="s">
        <v>24</v>
      </c>
      <c r="F900" s="9">
        <v>400</v>
      </c>
      <c r="G900" s="9">
        <v>389</v>
      </c>
      <c r="H900" s="9">
        <v>10</v>
      </c>
      <c r="I900" s="9">
        <f t="shared" si="126"/>
        <v>379</v>
      </c>
      <c r="J900" s="9">
        <v>29</v>
      </c>
      <c r="K900" s="10">
        <f t="shared" si="127"/>
        <v>6.0416666666666667E-2</v>
      </c>
      <c r="L900" s="17">
        <v>120</v>
      </c>
      <c r="M900" s="17">
        <v>30800</v>
      </c>
      <c r="N900" s="17">
        <f t="shared" si="128"/>
        <v>45480</v>
      </c>
      <c r="O900" s="17">
        <f t="shared" si="129"/>
        <v>14680</v>
      </c>
      <c r="P900" s="10">
        <f t="shared" si="130"/>
        <v>0.97250000000000003</v>
      </c>
      <c r="Q900" s="10">
        <f t="shared" si="131"/>
        <v>2.570694087403599E-2</v>
      </c>
      <c r="R900" s="10">
        <f t="shared" si="132"/>
        <v>0.3227792436235708</v>
      </c>
      <c r="S900" s="18">
        <f t="shared" si="133"/>
        <v>81.266490765171497</v>
      </c>
      <c r="T900" s="8">
        <f>480-ProductionData[[#This Row],[Downtime Minutes]]</f>
        <v>451</v>
      </c>
      <c r="U900" s="11">
        <f t="shared" si="134"/>
        <v>0.86252771618625279</v>
      </c>
      <c r="V900" s="18">
        <f>ProductionData[[#This Row],[Profit]]/ProductionData[[#This Row],[Good Units]]</f>
        <v>38.733509234828496</v>
      </c>
      <c r="W900" s="11">
        <f>ProductionData[[#This Row],[Good Units]]/ProductionData[[#This Row],[Operating Minutes]]</f>
        <v>0.84035476718403546</v>
      </c>
    </row>
    <row r="901" spans="1:23">
      <c r="A901" s="7">
        <v>46303</v>
      </c>
      <c r="B901" s="8" t="s">
        <v>31</v>
      </c>
      <c r="C901" s="8" t="s">
        <v>28</v>
      </c>
      <c r="D901" s="8" t="s">
        <v>25</v>
      </c>
      <c r="E901" s="8" t="s">
        <v>26</v>
      </c>
      <c r="F901" s="9">
        <v>500</v>
      </c>
      <c r="G901" s="9">
        <v>481</v>
      </c>
      <c r="H901" s="9">
        <v>16</v>
      </c>
      <c r="I901" s="9">
        <f t="shared" si="126"/>
        <v>465</v>
      </c>
      <c r="J901" s="9">
        <v>26</v>
      </c>
      <c r="K901" s="10">
        <f t="shared" si="127"/>
        <v>5.4166666666666669E-2</v>
      </c>
      <c r="L901" s="17">
        <v>90</v>
      </c>
      <c r="M901" s="17">
        <v>30800</v>
      </c>
      <c r="N901" s="17">
        <f t="shared" si="128"/>
        <v>41850</v>
      </c>
      <c r="O901" s="17">
        <f t="shared" si="129"/>
        <v>11050</v>
      </c>
      <c r="P901" s="10">
        <f t="shared" si="130"/>
        <v>0.96199999999999997</v>
      </c>
      <c r="Q901" s="10">
        <f t="shared" si="131"/>
        <v>3.3264033264033266E-2</v>
      </c>
      <c r="R901" s="10">
        <f t="shared" si="132"/>
        <v>0.26403823178016728</v>
      </c>
      <c r="S901" s="18">
        <f t="shared" si="133"/>
        <v>66.236559139784944</v>
      </c>
      <c r="T901" s="8">
        <f>480-ProductionData[[#This Row],[Downtime Minutes]]</f>
        <v>454</v>
      </c>
      <c r="U901" s="11">
        <f t="shared" si="134"/>
        <v>1.0594713656387664</v>
      </c>
      <c r="V901" s="18">
        <f>ProductionData[[#This Row],[Profit]]/ProductionData[[#This Row],[Good Units]]</f>
        <v>23.763440860215052</v>
      </c>
      <c r="W901" s="11">
        <f>ProductionData[[#This Row],[Good Units]]/ProductionData[[#This Row],[Operating Minutes]]</f>
        <v>1.0242290748898679</v>
      </c>
    </row>
    <row r="902" spans="1:23">
      <c r="A902" s="7">
        <v>46304</v>
      </c>
      <c r="B902" s="8" t="s">
        <v>31</v>
      </c>
      <c r="C902" s="8" t="s">
        <v>20</v>
      </c>
      <c r="D902" s="8" t="s">
        <v>21</v>
      </c>
      <c r="E902" s="8" t="s">
        <v>26</v>
      </c>
      <c r="F902" s="9">
        <v>520</v>
      </c>
      <c r="G902" s="9">
        <v>490</v>
      </c>
      <c r="H902" s="9">
        <v>15</v>
      </c>
      <c r="I902" s="9">
        <f t="shared" si="126"/>
        <v>475</v>
      </c>
      <c r="J902" s="9">
        <v>24</v>
      </c>
      <c r="K902" s="10">
        <f t="shared" si="127"/>
        <v>0.05</v>
      </c>
      <c r="L902" s="17">
        <v>90</v>
      </c>
      <c r="M902" s="17">
        <v>30800</v>
      </c>
      <c r="N902" s="17">
        <f t="shared" si="128"/>
        <v>42750</v>
      </c>
      <c r="O902" s="17">
        <f t="shared" si="129"/>
        <v>11950</v>
      </c>
      <c r="P902" s="10">
        <f t="shared" si="130"/>
        <v>0.94230769230769229</v>
      </c>
      <c r="Q902" s="10">
        <f t="shared" si="131"/>
        <v>3.0612244897959183E-2</v>
      </c>
      <c r="R902" s="10">
        <f t="shared" si="132"/>
        <v>0.27953216374269008</v>
      </c>
      <c r="S902" s="18">
        <f t="shared" si="133"/>
        <v>64.84210526315789</v>
      </c>
      <c r="T902" s="8">
        <f>480-ProductionData[[#This Row],[Downtime Minutes]]</f>
        <v>456</v>
      </c>
      <c r="U902" s="11">
        <f t="shared" si="134"/>
        <v>1.0745614035087718</v>
      </c>
      <c r="V902" s="18">
        <f>ProductionData[[#This Row],[Profit]]/ProductionData[[#This Row],[Good Units]]</f>
        <v>25.157894736842106</v>
      </c>
      <c r="W902" s="11">
        <f>ProductionData[[#This Row],[Good Units]]/ProductionData[[#This Row],[Operating Minutes]]</f>
        <v>1.0416666666666667</v>
      </c>
    </row>
    <row r="903" spans="1:23">
      <c r="A903" s="7">
        <v>46304</v>
      </c>
      <c r="B903" s="8" t="s">
        <v>31</v>
      </c>
      <c r="C903" s="8" t="s">
        <v>20</v>
      </c>
      <c r="D903" s="8" t="s">
        <v>23</v>
      </c>
      <c r="E903" s="8" t="s">
        <v>22</v>
      </c>
      <c r="F903" s="9">
        <v>460</v>
      </c>
      <c r="G903" s="9">
        <v>447</v>
      </c>
      <c r="H903" s="9">
        <v>18</v>
      </c>
      <c r="I903" s="9">
        <f t="shared" si="126"/>
        <v>429</v>
      </c>
      <c r="J903" s="9">
        <v>34</v>
      </c>
      <c r="K903" s="10">
        <f t="shared" si="127"/>
        <v>7.0833333333333331E-2</v>
      </c>
      <c r="L903" s="17">
        <v>100</v>
      </c>
      <c r="M903" s="17">
        <v>30800</v>
      </c>
      <c r="N903" s="17">
        <f t="shared" si="128"/>
        <v>42900</v>
      </c>
      <c r="O903" s="17">
        <f t="shared" si="129"/>
        <v>12100</v>
      </c>
      <c r="P903" s="10">
        <f t="shared" si="130"/>
        <v>0.97173913043478266</v>
      </c>
      <c r="Q903" s="10">
        <f t="shared" si="131"/>
        <v>4.0268456375838924E-2</v>
      </c>
      <c r="R903" s="10">
        <f t="shared" si="132"/>
        <v>0.28205128205128205</v>
      </c>
      <c r="S903" s="18">
        <f t="shared" si="133"/>
        <v>71.794871794871796</v>
      </c>
      <c r="T903" s="8">
        <f>480-ProductionData[[#This Row],[Downtime Minutes]]</f>
        <v>446</v>
      </c>
      <c r="U903" s="11">
        <f t="shared" si="134"/>
        <v>1.0022421524663676</v>
      </c>
      <c r="V903" s="18">
        <f>ProductionData[[#This Row],[Profit]]/ProductionData[[#This Row],[Good Units]]</f>
        <v>28.205128205128204</v>
      </c>
      <c r="W903" s="11">
        <f>ProductionData[[#This Row],[Good Units]]/ProductionData[[#This Row],[Operating Minutes]]</f>
        <v>0.96188340807174888</v>
      </c>
    </row>
    <row r="904" spans="1:23">
      <c r="A904" s="7">
        <v>46304</v>
      </c>
      <c r="B904" s="8" t="s">
        <v>31</v>
      </c>
      <c r="C904" s="8" t="s">
        <v>20</v>
      </c>
      <c r="D904" s="8" t="s">
        <v>25</v>
      </c>
      <c r="E904" s="8" t="s">
        <v>24</v>
      </c>
      <c r="F904" s="9">
        <v>390</v>
      </c>
      <c r="G904" s="9">
        <v>348</v>
      </c>
      <c r="H904" s="9">
        <v>15</v>
      </c>
      <c r="I904" s="9">
        <f t="shared" si="126"/>
        <v>333</v>
      </c>
      <c r="J904" s="9">
        <v>37</v>
      </c>
      <c r="K904" s="10">
        <f t="shared" si="127"/>
        <v>7.7083333333333337E-2</v>
      </c>
      <c r="L904" s="17">
        <v>120</v>
      </c>
      <c r="M904" s="17">
        <v>30800</v>
      </c>
      <c r="N904" s="17">
        <f t="shared" si="128"/>
        <v>39960</v>
      </c>
      <c r="O904" s="17">
        <f t="shared" si="129"/>
        <v>9160</v>
      </c>
      <c r="P904" s="10">
        <f t="shared" si="130"/>
        <v>0.89230769230769236</v>
      </c>
      <c r="Q904" s="10">
        <f t="shared" si="131"/>
        <v>4.3103448275862072E-2</v>
      </c>
      <c r="R904" s="10">
        <f t="shared" si="132"/>
        <v>0.22922922922922923</v>
      </c>
      <c r="S904" s="18">
        <f t="shared" si="133"/>
        <v>92.492492492492488</v>
      </c>
      <c r="T904" s="8">
        <f>480-ProductionData[[#This Row],[Downtime Minutes]]</f>
        <v>443</v>
      </c>
      <c r="U904" s="11">
        <f t="shared" si="134"/>
        <v>0.78555304740406318</v>
      </c>
      <c r="V904" s="18">
        <f>ProductionData[[#This Row],[Profit]]/ProductionData[[#This Row],[Good Units]]</f>
        <v>27.507507507507508</v>
      </c>
      <c r="W904" s="11">
        <f>ProductionData[[#This Row],[Good Units]]/ProductionData[[#This Row],[Operating Minutes]]</f>
        <v>0.75169300225733637</v>
      </c>
    </row>
    <row r="905" spans="1:23">
      <c r="A905" s="7">
        <v>46304</v>
      </c>
      <c r="B905" s="8" t="s">
        <v>31</v>
      </c>
      <c r="C905" s="8" t="s">
        <v>27</v>
      </c>
      <c r="D905" s="8" t="s">
        <v>21</v>
      </c>
      <c r="E905" s="8" t="s">
        <v>22</v>
      </c>
      <c r="F905" s="9">
        <v>440</v>
      </c>
      <c r="G905" s="9">
        <v>396</v>
      </c>
      <c r="H905" s="9">
        <v>26</v>
      </c>
      <c r="I905" s="9">
        <f t="shared" si="126"/>
        <v>370</v>
      </c>
      <c r="J905" s="9">
        <v>44</v>
      </c>
      <c r="K905" s="10">
        <f t="shared" si="127"/>
        <v>9.166666666666666E-2</v>
      </c>
      <c r="L905" s="17">
        <v>100</v>
      </c>
      <c r="M905" s="17">
        <v>30800</v>
      </c>
      <c r="N905" s="17">
        <f t="shared" si="128"/>
        <v>37000</v>
      </c>
      <c r="O905" s="17">
        <f t="shared" si="129"/>
        <v>6200</v>
      </c>
      <c r="P905" s="10">
        <f t="shared" si="130"/>
        <v>0.9</v>
      </c>
      <c r="Q905" s="10">
        <f t="shared" si="131"/>
        <v>6.5656565656565663E-2</v>
      </c>
      <c r="R905" s="10">
        <f t="shared" si="132"/>
        <v>0.16756756756756758</v>
      </c>
      <c r="S905" s="18">
        <f t="shared" si="133"/>
        <v>83.243243243243242</v>
      </c>
      <c r="T905" s="8">
        <f>480-ProductionData[[#This Row],[Downtime Minutes]]</f>
        <v>436</v>
      </c>
      <c r="U905" s="11">
        <f t="shared" si="134"/>
        <v>0.90825688073394495</v>
      </c>
      <c r="V905" s="18">
        <f>ProductionData[[#This Row],[Profit]]/ProductionData[[#This Row],[Good Units]]</f>
        <v>16.756756756756758</v>
      </c>
      <c r="W905" s="11">
        <f>ProductionData[[#This Row],[Good Units]]/ProductionData[[#This Row],[Operating Minutes]]</f>
        <v>0.84862385321100919</v>
      </c>
    </row>
    <row r="906" spans="1:23">
      <c r="A906" s="7">
        <v>46304</v>
      </c>
      <c r="B906" s="8" t="s">
        <v>31</v>
      </c>
      <c r="C906" s="8" t="s">
        <v>27</v>
      </c>
      <c r="D906" s="8" t="s">
        <v>23</v>
      </c>
      <c r="E906" s="8" t="s">
        <v>24</v>
      </c>
      <c r="F906" s="9">
        <v>390</v>
      </c>
      <c r="G906" s="9">
        <v>358</v>
      </c>
      <c r="H906" s="9">
        <v>20</v>
      </c>
      <c r="I906" s="9">
        <f t="shared" si="126"/>
        <v>338</v>
      </c>
      <c r="J906" s="9">
        <v>58</v>
      </c>
      <c r="K906" s="10">
        <f t="shared" si="127"/>
        <v>0.12083333333333333</v>
      </c>
      <c r="L906" s="17">
        <v>120</v>
      </c>
      <c r="M906" s="17">
        <v>30800</v>
      </c>
      <c r="N906" s="17">
        <f t="shared" si="128"/>
        <v>40560</v>
      </c>
      <c r="O906" s="17">
        <f t="shared" si="129"/>
        <v>9760</v>
      </c>
      <c r="P906" s="10">
        <f t="shared" si="130"/>
        <v>0.91794871794871791</v>
      </c>
      <c r="Q906" s="10">
        <f t="shared" si="131"/>
        <v>5.5865921787709494E-2</v>
      </c>
      <c r="R906" s="10">
        <f t="shared" si="132"/>
        <v>0.24063116370808679</v>
      </c>
      <c r="S906" s="18">
        <f t="shared" si="133"/>
        <v>91.124260355029591</v>
      </c>
      <c r="T906" s="8">
        <f>480-ProductionData[[#This Row],[Downtime Minutes]]</f>
        <v>422</v>
      </c>
      <c r="U906" s="11">
        <f t="shared" si="134"/>
        <v>0.84834123222748814</v>
      </c>
      <c r="V906" s="18">
        <f>ProductionData[[#This Row],[Profit]]/ProductionData[[#This Row],[Good Units]]</f>
        <v>28.875739644970412</v>
      </c>
      <c r="W906" s="11">
        <f>ProductionData[[#This Row],[Good Units]]/ProductionData[[#This Row],[Operating Minutes]]</f>
        <v>0.80094786729857825</v>
      </c>
    </row>
    <row r="907" spans="1:23">
      <c r="A907" s="7">
        <v>46304</v>
      </c>
      <c r="B907" s="8" t="s">
        <v>31</v>
      </c>
      <c r="C907" s="8" t="s">
        <v>27</v>
      </c>
      <c r="D907" s="8" t="s">
        <v>25</v>
      </c>
      <c r="E907" s="8" t="s">
        <v>26</v>
      </c>
      <c r="F907" s="9">
        <v>500</v>
      </c>
      <c r="G907" s="9">
        <v>425</v>
      </c>
      <c r="H907" s="9">
        <v>24</v>
      </c>
      <c r="I907" s="9">
        <f t="shared" si="126"/>
        <v>401</v>
      </c>
      <c r="J907" s="9">
        <v>57</v>
      </c>
      <c r="K907" s="10">
        <f t="shared" si="127"/>
        <v>0.11874999999999999</v>
      </c>
      <c r="L907" s="17">
        <v>90</v>
      </c>
      <c r="M907" s="17">
        <v>30800</v>
      </c>
      <c r="N907" s="17">
        <f t="shared" si="128"/>
        <v>36090</v>
      </c>
      <c r="O907" s="17">
        <f t="shared" si="129"/>
        <v>5290</v>
      </c>
      <c r="P907" s="10">
        <f t="shared" si="130"/>
        <v>0.85</v>
      </c>
      <c r="Q907" s="10">
        <f t="shared" si="131"/>
        <v>5.647058823529412E-2</v>
      </c>
      <c r="R907" s="10">
        <f t="shared" si="132"/>
        <v>0.14657799944582986</v>
      </c>
      <c r="S907" s="18">
        <f t="shared" si="133"/>
        <v>76.807980049875312</v>
      </c>
      <c r="T907" s="8">
        <f>480-ProductionData[[#This Row],[Downtime Minutes]]</f>
        <v>423</v>
      </c>
      <c r="U907" s="11">
        <f t="shared" si="134"/>
        <v>1.0047281323877069</v>
      </c>
      <c r="V907" s="18">
        <f>ProductionData[[#This Row],[Profit]]/ProductionData[[#This Row],[Good Units]]</f>
        <v>13.192019950124688</v>
      </c>
      <c r="W907" s="11">
        <f>ProductionData[[#This Row],[Good Units]]/ProductionData[[#This Row],[Operating Minutes]]</f>
        <v>0.94799054373522462</v>
      </c>
    </row>
    <row r="908" spans="1:23">
      <c r="A908" s="7">
        <v>46304</v>
      </c>
      <c r="B908" s="8" t="s">
        <v>31</v>
      </c>
      <c r="C908" s="8" t="s">
        <v>28</v>
      </c>
      <c r="D908" s="8" t="s">
        <v>21</v>
      </c>
      <c r="E908" s="8" t="s">
        <v>24</v>
      </c>
      <c r="F908" s="9">
        <v>390</v>
      </c>
      <c r="G908" s="9">
        <v>373</v>
      </c>
      <c r="H908" s="9">
        <v>9</v>
      </c>
      <c r="I908" s="9">
        <f t="shared" si="126"/>
        <v>364</v>
      </c>
      <c r="J908" s="9">
        <v>14</v>
      </c>
      <c r="K908" s="10">
        <f t="shared" si="127"/>
        <v>2.9166666666666667E-2</v>
      </c>
      <c r="L908" s="17">
        <v>120</v>
      </c>
      <c r="M908" s="17">
        <v>30800</v>
      </c>
      <c r="N908" s="17">
        <f t="shared" si="128"/>
        <v>43680</v>
      </c>
      <c r="O908" s="17">
        <f t="shared" si="129"/>
        <v>12880</v>
      </c>
      <c r="P908" s="10">
        <f t="shared" si="130"/>
        <v>0.95641025641025645</v>
      </c>
      <c r="Q908" s="10">
        <f t="shared" si="131"/>
        <v>2.4128686327077747E-2</v>
      </c>
      <c r="R908" s="10">
        <f t="shared" si="132"/>
        <v>0.29487179487179488</v>
      </c>
      <c r="S908" s="18">
        <f t="shared" si="133"/>
        <v>84.615384615384613</v>
      </c>
      <c r="T908" s="8">
        <f>480-ProductionData[[#This Row],[Downtime Minutes]]</f>
        <v>466</v>
      </c>
      <c r="U908" s="11">
        <f t="shared" si="134"/>
        <v>0.80042918454935619</v>
      </c>
      <c r="V908" s="18">
        <f>ProductionData[[#This Row],[Profit]]/ProductionData[[#This Row],[Good Units]]</f>
        <v>35.384615384615387</v>
      </c>
      <c r="W908" s="11">
        <f>ProductionData[[#This Row],[Good Units]]/ProductionData[[#This Row],[Operating Minutes]]</f>
        <v>0.7811158798283262</v>
      </c>
    </row>
    <row r="909" spans="1:23">
      <c r="A909" s="7">
        <v>46304</v>
      </c>
      <c r="B909" s="8" t="s">
        <v>31</v>
      </c>
      <c r="C909" s="8" t="s">
        <v>28</v>
      </c>
      <c r="D909" s="8" t="s">
        <v>23</v>
      </c>
      <c r="E909" s="8" t="s">
        <v>26</v>
      </c>
      <c r="F909" s="9">
        <v>500</v>
      </c>
      <c r="G909" s="9">
        <v>496</v>
      </c>
      <c r="H909" s="9">
        <v>13</v>
      </c>
      <c r="I909" s="9">
        <f t="shared" si="126"/>
        <v>483</v>
      </c>
      <c r="J909" s="9">
        <v>17</v>
      </c>
      <c r="K909" s="10">
        <f t="shared" si="127"/>
        <v>3.5416666666666666E-2</v>
      </c>
      <c r="L909" s="17">
        <v>90</v>
      </c>
      <c r="M909" s="17">
        <v>30800</v>
      </c>
      <c r="N909" s="17">
        <f t="shared" si="128"/>
        <v>43470</v>
      </c>
      <c r="O909" s="17">
        <f t="shared" si="129"/>
        <v>12670</v>
      </c>
      <c r="P909" s="10">
        <f t="shared" si="130"/>
        <v>0.99199999999999999</v>
      </c>
      <c r="Q909" s="10">
        <f t="shared" si="131"/>
        <v>2.620967741935484E-2</v>
      </c>
      <c r="R909" s="10">
        <f t="shared" si="132"/>
        <v>0.29146537842190018</v>
      </c>
      <c r="S909" s="18">
        <f t="shared" si="133"/>
        <v>63.768115942028984</v>
      </c>
      <c r="T909" s="8">
        <f>480-ProductionData[[#This Row],[Downtime Minutes]]</f>
        <v>463</v>
      </c>
      <c r="U909" s="11">
        <f t="shared" si="134"/>
        <v>1.0712742980561556</v>
      </c>
      <c r="V909" s="18">
        <f>ProductionData[[#This Row],[Profit]]/ProductionData[[#This Row],[Good Units]]</f>
        <v>26.231884057971016</v>
      </c>
      <c r="W909" s="11">
        <f>ProductionData[[#This Row],[Good Units]]/ProductionData[[#This Row],[Operating Minutes]]</f>
        <v>1.0431965442764579</v>
      </c>
    </row>
    <row r="910" spans="1:23">
      <c r="A910" s="7">
        <v>46304</v>
      </c>
      <c r="B910" s="8" t="s">
        <v>31</v>
      </c>
      <c r="C910" s="8" t="s">
        <v>28</v>
      </c>
      <c r="D910" s="8" t="s">
        <v>25</v>
      </c>
      <c r="E910" s="8" t="s">
        <v>22</v>
      </c>
      <c r="F910" s="9">
        <v>470</v>
      </c>
      <c r="G910" s="9">
        <v>441</v>
      </c>
      <c r="H910" s="9">
        <v>22</v>
      </c>
      <c r="I910" s="9">
        <f t="shared" si="126"/>
        <v>419</v>
      </c>
      <c r="J910" s="9">
        <v>46</v>
      </c>
      <c r="K910" s="10">
        <f t="shared" si="127"/>
        <v>9.583333333333334E-2</v>
      </c>
      <c r="L910" s="17">
        <v>100</v>
      </c>
      <c r="M910" s="17">
        <v>30800</v>
      </c>
      <c r="N910" s="17">
        <f t="shared" si="128"/>
        <v>41900</v>
      </c>
      <c r="O910" s="17">
        <f t="shared" si="129"/>
        <v>11100</v>
      </c>
      <c r="P910" s="10">
        <f t="shared" si="130"/>
        <v>0.9382978723404255</v>
      </c>
      <c r="Q910" s="10">
        <f t="shared" si="131"/>
        <v>4.9886621315192746E-2</v>
      </c>
      <c r="R910" s="10">
        <f t="shared" si="132"/>
        <v>0.2649164677804296</v>
      </c>
      <c r="S910" s="18">
        <f t="shared" si="133"/>
        <v>73.508353221957037</v>
      </c>
      <c r="T910" s="8">
        <f>480-ProductionData[[#This Row],[Downtime Minutes]]</f>
        <v>434</v>
      </c>
      <c r="U910" s="11">
        <f t="shared" si="134"/>
        <v>1.0161290322580645</v>
      </c>
      <c r="V910" s="18">
        <f>ProductionData[[#This Row],[Profit]]/ProductionData[[#This Row],[Good Units]]</f>
        <v>26.491646778042959</v>
      </c>
      <c r="W910" s="11">
        <f>ProductionData[[#This Row],[Good Units]]/ProductionData[[#This Row],[Operating Minutes]]</f>
        <v>0.96543778801843316</v>
      </c>
    </row>
    <row r="911" spans="1:23">
      <c r="A911" s="7">
        <v>46305</v>
      </c>
      <c r="B911" s="8" t="s">
        <v>31</v>
      </c>
      <c r="C911" s="8" t="s">
        <v>20</v>
      </c>
      <c r="D911" s="8" t="s">
        <v>21</v>
      </c>
      <c r="E911" s="8" t="s">
        <v>22</v>
      </c>
      <c r="F911" s="9">
        <v>430</v>
      </c>
      <c r="G911" s="9">
        <v>417</v>
      </c>
      <c r="H911" s="9">
        <v>19</v>
      </c>
      <c r="I911" s="9">
        <f t="shared" si="126"/>
        <v>398</v>
      </c>
      <c r="J911" s="9">
        <v>32</v>
      </c>
      <c r="K911" s="10">
        <f t="shared" si="127"/>
        <v>6.6666666666666666E-2</v>
      </c>
      <c r="L911" s="17">
        <v>100</v>
      </c>
      <c r="M911" s="17">
        <v>30800</v>
      </c>
      <c r="N911" s="17">
        <f t="shared" si="128"/>
        <v>39800</v>
      </c>
      <c r="O911" s="17">
        <f t="shared" si="129"/>
        <v>9000</v>
      </c>
      <c r="P911" s="10">
        <f t="shared" si="130"/>
        <v>0.96976744186046515</v>
      </c>
      <c r="Q911" s="10">
        <f t="shared" si="131"/>
        <v>4.5563549160671464E-2</v>
      </c>
      <c r="R911" s="10">
        <f t="shared" si="132"/>
        <v>0.22613065326633167</v>
      </c>
      <c r="S911" s="18">
        <f t="shared" si="133"/>
        <v>77.386934673366838</v>
      </c>
      <c r="T911" s="8">
        <f>480-ProductionData[[#This Row],[Downtime Minutes]]</f>
        <v>448</v>
      </c>
      <c r="U911" s="11">
        <f t="shared" si="134"/>
        <v>0.9308035714285714</v>
      </c>
      <c r="V911" s="18">
        <f>ProductionData[[#This Row],[Profit]]/ProductionData[[#This Row],[Good Units]]</f>
        <v>22.613065326633166</v>
      </c>
      <c r="W911" s="11">
        <f>ProductionData[[#This Row],[Good Units]]/ProductionData[[#This Row],[Operating Minutes]]</f>
        <v>0.8883928571428571</v>
      </c>
    </row>
    <row r="912" spans="1:23">
      <c r="A912" s="7">
        <v>46305</v>
      </c>
      <c r="B912" s="8" t="s">
        <v>31</v>
      </c>
      <c r="C912" s="8" t="s">
        <v>20</v>
      </c>
      <c r="D912" s="8" t="s">
        <v>23</v>
      </c>
      <c r="E912" s="8" t="s">
        <v>24</v>
      </c>
      <c r="F912" s="9">
        <v>390</v>
      </c>
      <c r="G912" s="9">
        <v>372</v>
      </c>
      <c r="H912" s="9">
        <v>12</v>
      </c>
      <c r="I912" s="9">
        <f t="shared" si="126"/>
        <v>360</v>
      </c>
      <c r="J912" s="9">
        <v>40</v>
      </c>
      <c r="K912" s="10">
        <f t="shared" si="127"/>
        <v>8.3333333333333329E-2</v>
      </c>
      <c r="L912" s="17">
        <v>120</v>
      </c>
      <c r="M912" s="17">
        <v>30800</v>
      </c>
      <c r="N912" s="17">
        <f t="shared" si="128"/>
        <v>43200</v>
      </c>
      <c r="O912" s="17">
        <f t="shared" si="129"/>
        <v>12400</v>
      </c>
      <c r="P912" s="10">
        <f t="shared" si="130"/>
        <v>0.9538461538461539</v>
      </c>
      <c r="Q912" s="10">
        <f t="shared" si="131"/>
        <v>3.2258064516129031E-2</v>
      </c>
      <c r="R912" s="10">
        <f t="shared" si="132"/>
        <v>0.28703703703703703</v>
      </c>
      <c r="S912" s="18">
        <f t="shared" si="133"/>
        <v>85.555555555555557</v>
      </c>
      <c r="T912" s="8">
        <f>480-ProductionData[[#This Row],[Downtime Minutes]]</f>
        <v>440</v>
      </c>
      <c r="U912" s="11">
        <f t="shared" si="134"/>
        <v>0.84545454545454546</v>
      </c>
      <c r="V912" s="18">
        <f>ProductionData[[#This Row],[Profit]]/ProductionData[[#This Row],[Good Units]]</f>
        <v>34.444444444444443</v>
      </c>
      <c r="W912" s="11">
        <f>ProductionData[[#This Row],[Good Units]]/ProductionData[[#This Row],[Operating Minutes]]</f>
        <v>0.81818181818181823</v>
      </c>
    </row>
    <row r="913" spans="1:23">
      <c r="A913" s="7">
        <v>46305</v>
      </c>
      <c r="B913" s="8" t="s">
        <v>31</v>
      </c>
      <c r="C913" s="8" t="s">
        <v>20</v>
      </c>
      <c r="D913" s="8" t="s">
        <v>25</v>
      </c>
      <c r="E913" s="8" t="s">
        <v>26</v>
      </c>
      <c r="F913" s="9">
        <v>490</v>
      </c>
      <c r="G913" s="9">
        <v>447</v>
      </c>
      <c r="H913" s="9">
        <v>18</v>
      </c>
      <c r="I913" s="9">
        <f t="shared" si="126"/>
        <v>429</v>
      </c>
      <c r="J913" s="9">
        <v>44</v>
      </c>
      <c r="K913" s="10">
        <f t="shared" si="127"/>
        <v>9.166666666666666E-2</v>
      </c>
      <c r="L913" s="17">
        <v>90</v>
      </c>
      <c r="M913" s="17">
        <v>30800</v>
      </c>
      <c r="N913" s="17">
        <f t="shared" si="128"/>
        <v>38610</v>
      </c>
      <c r="O913" s="17">
        <f t="shared" si="129"/>
        <v>7810</v>
      </c>
      <c r="P913" s="10">
        <f t="shared" si="130"/>
        <v>0.91224489795918362</v>
      </c>
      <c r="Q913" s="10">
        <f t="shared" si="131"/>
        <v>4.0268456375838924E-2</v>
      </c>
      <c r="R913" s="10">
        <f t="shared" si="132"/>
        <v>0.20227920227920229</v>
      </c>
      <c r="S913" s="18">
        <f t="shared" si="133"/>
        <v>71.794871794871796</v>
      </c>
      <c r="T913" s="8">
        <f>480-ProductionData[[#This Row],[Downtime Minutes]]</f>
        <v>436</v>
      </c>
      <c r="U913" s="11">
        <f t="shared" si="134"/>
        <v>1.025229357798165</v>
      </c>
      <c r="V913" s="18">
        <f>ProductionData[[#This Row],[Profit]]/ProductionData[[#This Row],[Good Units]]</f>
        <v>18.205128205128204</v>
      </c>
      <c r="W913" s="11">
        <f>ProductionData[[#This Row],[Good Units]]/ProductionData[[#This Row],[Operating Minutes]]</f>
        <v>0.98394495412844041</v>
      </c>
    </row>
    <row r="914" spans="1:23">
      <c r="A914" s="7">
        <v>46305</v>
      </c>
      <c r="B914" s="8" t="s">
        <v>31</v>
      </c>
      <c r="C914" s="8" t="s">
        <v>27</v>
      </c>
      <c r="D914" s="8" t="s">
        <v>21</v>
      </c>
      <c r="E914" s="8" t="s">
        <v>24</v>
      </c>
      <c r="F914" s="9">
        <v>400</v>
      </c>
      <c r="G914" s="9">
        <v>363</v>
      </c>
      <c r="H914" s="9">
        <v>15</v>
      </c>
      <c r="I914" s="9">
        <f t="shared" si="126"/>
        <v>348</v>
      </c>
      <c r="J914" s="9">
        <v>57</v>
      </c>
      <c r="K914" s="10">
        <f t="shared" si="127"/>
        <v>0.11874999999999999</v>
      </c>
      <c r="L914" s="17">
        <v>120</v>
      </c>
      <c r="M914" s="17">
        <v>30800</v>
      </c>
      <c r="N914" s="17">
        <f t="shared" si="128"/>
        <v>41760</v>
      </c>
      <c r="O914" s="17">
        <f t="shared" si="129"/>
        <v>10960</v>
      </c>
      <c r="P914" s="10">
        <f t="shared" si="130"/>
        <v>0.90749999999999997</v>
      </c>
      <c r="Q914" s="10">
        <f t="shared" si="131"/>
        <v>4.1322314049586778E-2</v>
      </c>
      <c r="R914" s="10">
        <f t="shared" si="132"/>
        <v>0.26245210727969348</v>
      </c>
      <c r="S914" s="18">
        <f t="shared" si="133"/>
        <v>88.505747126436788</v>
      </c>
      <c r="T914" s="8">
        <f>480-ProductionData[[#This Row],[Downtime Minutes]]</f>
        <v>423</v>
      </c>
      <c r="U914" s="11">
        <f t="shared" si="134"/>
        <v>0.85815602836879434</v>
      </c>
      <c r="V914" s="18">
        <f>ProductionData[[#This Row],[Profit]]/ProductionData[[#This Row],[Good Units]]</f>
        <v>31.494252873563219</v>
      </c>
      <c r="W914" s="11">
        <f>ProductionData[[#This Row],[Good Units]]/ProductionData[[#This Row],[Operating Minutes]]</f>
        <v>0.82269503546099287</v>
      </c>
    </row>
    <row r="915" spans="1:23">
      <c r="A915" s="7">
        <v>46305</v>
      </c>
      <c r="B915" s="8" t="s">
        <v>31</v>
      </c>
      <c r="C915" s="8" t="s">
        <v>27</v>
      </c>
      <c r="D915" s="8" t="s">
        <v>23</v>
      </c>
      <c r="E915" s="8" t="s">
        <v>26</v>
      </c>
      <c r="F915" s="9">
        <v>520</v>
      </c>
      <c r="G915" s="9">
        <v>470</v>
      </c>
      <c r="H915" s="9">
        <v>23</v>
      </c>
      <c r="I915" s="9">
        <f t="shared" si="126"/>
        <v>447</v>
      </c>
      <c r="J915" s="9">
        <v>50</v>
      </c>
      <c r="K915" s="10">
        <f t="shared" si="127"/>
        <v>0.10416666666666667</v>
      </c>
      <c r="L915" s="17">
        <v>90</v>
      </c>
      <c r="M915" s="17">
        <v>30800</v>
      </c>
      <c r="N915" s="17">
        <f t="shared" si="128"/>
        <v>40230</v>
      </c>
      <c r="O915" s="17">
        <f t="shared" si="129"/>
        <v>9430</v>
      </c>
      <c r="P915" s="10">
        <f t="shared" si="130"/>
        <v>0.90384615384615385</v>
      </c>
      <c r="Q915" s="10">
        <f t="shared" si="131"/>
        <v>4.8936170212765959E-2</v>
      </c>
      <c r="R915" s="10">
        <f t="shared" si="132"/>
        <v>0.23440218742232166</v>
      </c>
      <c r="S915" s="18">
        <f t="shared" si="133"/>
        <v>68.903803131991054</v>
      </c>
      <c r="T915" s="8">
        <f>480-ProductionData[[#This Row],[Downtime Minutes]]</f>
        <v>430</v>
      </c>
      <c r="U915" s="11">
        <f t="shared" si="134"/>
        <v>1.0930232558139534</v>
      </c>
      <c r="V915" s="18">
        <f>ProductionData[[#This Row],[Profit]]/ProductionData[[#This Row],[Good Units]]</f>
        <v>21.096196868008949</v>
      </c>
      <c r="W915" s="11">
        <f>ProductionData[[#This Row],[Good Units]]/ProductionData[[#This Row],[Operating Minutes]]</f>
        <v>1.0395348837209302</v>
      </c>
    </row>
    <row r="916" spans="1:23">
      <c r="A916" s="7">
        <v>46305</v>
      </c>
      <c r="B916" s="8" t="s">
        <v>31</v>
      </c>
      <c r="C916" s="8" t="s">
        <v>27</v>
      </c>
      <c r="D916" s="8" t="s">
        <v>25</v>
      </c>
      <c r="E916" s="8" t="s">
        <v>22</v>
      </c>
      <c r="F916" s="9">
        <v>440</v>
      </c>
      <c r="G916" s="9">
        <v>369</v>
      </c>
      <c r="H916" s="9">
        <v>28</v>
      </c>
      <c r="I916" s="9">
        <f t="shared" si="126"/>
        <v>341</v>
      </c>
      <c r="J916" s="9">
        <v>70</v>
      </c>
      <c r="K916" s="10">
        <f t="shared" si="127"/>
        <v>0.14583333333333334</v>
      </c>
      <c r="L916" s="17">
        <v>100</v>
      </c>
      <c r="M916" s="17">
        <v>30800</v>
      </c>
      <c r="N916" s="17">
        <f t="shared" si="128"/>
        <v>34100</v>
      </c>
      <c r="O916" s="17">
        <f t="shared" si="129"/>
        <v>3300</v>
      </c>
      <c r="P916" s="10">
        <f t="shared" si="130"/>
        <v>0.83863636363636362</v>
      </c>
      <c r="Q916" s="10">
        <f t="shared" si="131"/>
        <v>7.5880758807588072E-2</v>
      </c>
      <c r="R916" s="10">
        <f t="shared" si="132"/>
        <v>9.6774193548387094E-2</v>
      </c>
      <c r="S916" s="18">
        <f t="shared" si="133"/>
        <v>90.322580645161295</v>
      </c>
      <c r="T916" s="8">
        <f>480-ProductionData[[#This Row],[Downtime Minutes]]</f>
        <v>410</v>
      </c>
      <c r="U916" s="11">
        <f t="shared" si="134"/>
        <v>0.9</v>
      </c>
      <c r="V916" s="18">
        <f>ProductionData[[#This Row],[Profit]]/ProductionData[[#This Row],[Good Units]]</f>
        <v>9.67741935483871</v>
      </c>
      <c r="W916" s="11">
        <f>ProductionData[[#This Row],[Good Units]]/ProductionData[[#This Row],[Operating Minutes]]</f>
        <v>0.83170731707317069</v>
      </c>
    </row>
    <row r="917" spans="1:23">
      <c r="A917" s="7">
        <v>46305</v>
      </c>
      <c r="B917" s="8" t="s">
        <v>31</v>
      </c>
      <c r="C917" s="8" t="s">
        <v>28</v>
      </c>
      <c r="D917" s="8" t="s">
        <v>21</v>
      </c>
      <c r="E917" s="8" t="s">
        <v>26</v>
      </c>
      <c r="F917" s="9">
        <v>500</v>
      </c>
      <c r="G917" s="9">
        <v>478</v>
      </c>
      <c r="H917" s="9">
        <v>9</v>
      </c>
      <c r="I917" s="9">
        <f t="shared" si="126"/>
        <v>469</v>
      </c>
      <c r="J917" s="9">
        <v>20</v>
      </c>
      <c r="K917" s="10">
        <f t="shared" si="127"/>
        <v>4.1666666666666664E-2</v>
      </c>
      <c r="L917" s="17">
        <v>90</v>
      </c>
      <c r="M917" s="17">
        <v>30800</v>
      </c>
      <c r="N917" s="17">
        <f t="shared" si="128"/>
        <v>42210</v>
      </c>
      <c r="O917" s="17">
        <f t="shared" si="129"/>
        <v>11410</v>
      </c>
      <c r="P917" s="10">
        <f t="shared" si="130"/>
        <v>0.95599999999999996</v>
      </c>
      <c r="Q917" s="10">
        <f t="shared" si="131"/>
        <v>1.8828451882845189E-2</v>
      </c>
      <c r="R917" s="10">
        <f t="shared" si="132"/>
        <v>0.27031509121061359</v>
      </c>
      <c r="S917" s="18">
        <f t="shared" si="133"/>
        <v>65.671641791044777</v>
      </c>
      <c r="T917" s="8">
        <f>480-ProductionData[[#This Row],[Downtime Minutes]]</f>
        <v>460</v>
      </c>
      <c r="U917" s="11">
        <f t="shared" si="134"/>
        <v>1.0391304347826087</v>
      </c>
      <c r="V917" s="18">
        <f>ProductionData[[#This Row],[Profit]]/ProductionData[[#This Row],[Good Units]]</f>
        <v>24.328358208955223</v>
      </c>
      <c r="W917" s="11">
        <f>ProductionData[[#This Row],[Good Units]]/ProductionData[[#This Row],[Operating Minutes]]</f>
        <v>1.0195652173913043</v>
      </c>
    </row>
    <row r="918" spans="1:23">
      <c r="A918" s="7">
        <v>46305</v>
      </c>
      <c r="B918" s="8" t="s">
        <v>31</v>
      </c>
      <c r="C918" s="8" t="s">
        <v>28</v>
      </c>
      <c r="D918" s="8" t="s">
        <v>23</v>
      </c>
      <c r="E918" s="8" t="s">
        <v>22</v>
      </c>
      <c r="F918" s="9">
        <v>450</v>
      </c>
      <c r="G918" s="9">
        <v>446</v>
      </c>
      <c r="H918" s="9">
        <v>19</v>
      </c>
      <c r="I918" s="9">
        <f t="shared" si="126"/>
        <v>427</v>
      </c>
      <c r="J918" s="9">
        <v>46</v>
      </c>
      <c r="K918" s="10">
        <f t="shared" si="127"/>
        <v>9.583333333333334E-2</v>
      </c>
      <c r="L918" s="17">
        <v>100</v>
      </c>
      <c r="M918" s="17">
        <v>30800</v>
      </c>
      <c r="N918" s="17">
        <f t="shared" si="128"/>
        <v>42700</v>
      </c>
      <c r="O918" s="17">
        <f t="shared" si="129"/>
        <v>11900</v>
      </c>
      <c r="P918" s="10">
        <f t="shared" si="130"/>
        <v>0.99111111111111116</v>
      </c>
      <c r="Q918" s="10">
        <f t="shared" si="131"/>
        <v>4.2600896860986545E-2</v>
      </c>
      <c r="R918" s="10">
        <f t="shared" si="132"/>
        <v>0.27868852459016391</v>
      </c>
      <c r="S918" s="18">
        <f t="shared" si="133"/>
        <v>72.131147540983605</v>
      </c>
      <c r="T918" s="8">
        <f>480-ProductionData[[#This Row],[Downtime Minutes]]</f>
        <v>434</v>
      </c>
      <c r="U918" s="11">
        <f t="shared" si="134"/>
        <v>1.0276497695852536</v>
      </c>
      <c r="V918" s="18">
        <f>ProductionData[[#This Row],[Profit]]/ProductionData[[#This Row],[Good Units]]</f>
        <v>27.868852459016395</v>
      </c>
      <c r="W918" s="11">
        <f>ProductionData[[#This Row],[Good Units]]/ProductionData[[#This Row],[Operating Minutes]]</f>
        <v>0.9838709677419355</v>
      </c>
    </row>
    <row r="919" spans="1:23">
      <c r="A919" s="7">
        <v>46305</v>
      </c>
      <c r="B919" s="8" t="s">
        <v>31</v>
      </c>
      <c r="C919" s="8" t="s">
        <v>28</v>
      </c>
      <c r="D919" s="8" t="s">
        <v>25</v>
      </c>
      <c r="E919" s="8" t="s">
        <v>24</v>
      </c>
      <c r="F919" s="9">
        <v>390</v>
      </c>
      <c r="G919" s="9">
        <v>369</v>
      </c>
      <c r="H919" s="9">
        <v>15</v>
      </c>
      <c r="I919" s="9">
        <f t="shared" si="126"/>
        <v>354</v>
      </c>
      <c r="J919" s="9">
        <v>40</v>
      </c>
      <c r="K919" s="10">
        <f t="shared" si="127"/>
        <v>8.3333333333333329E-2</v>
      </c>
      <c r="L919" s="17">
        <v>120</v>
      </c>
      <c r="M919" s="17">
        <v>30800</v>
      </c>
      <c r="N919" s="17">
        <f t="shared" si="128"/>
        <v>42480</v>
      </c>
      <c r="O919" s="17">
        <f t="shared" si="129"/>
        <v>11680</v>
      </c>
      <c r="P919" s="10">
        <f t="shared" si="130"/>
        <v>0.94615384615384612</v>
      </c>
      <c r="Q919" s="10">
        <f t="shared" si="131"/>
        <v>4.065040650406504E-2</v>
      </c>
      <c r="R919" s="10">
        <f t="shared" si="132"/>
        <v>0.27495291902071561</v>
      </c>
      <c r="S919" s="18">
        <f t="shared" si="133"/>
        <v>87.005649717514117</v>
      </c>
      <c r="T919" s="8">
        <f>480-ProductionData[[#This Row],[Downtime Minutes]]</f>
        <v>440</v>
      </c>
      <c r="U919" s="11">
        <f t="shared" si="134"/>
        <v>0.83863636363636362</v>
      </c>
      <c r="V919" s="18">
        <f>ProductionData[[#This Row],[Profit]]/ProductionData[[#This Row],[Good Units]]</f>
        <v>32.994350282485875</v>
      </c>
      <c r="W919" s="11">
        <f>ProductionData[[#This Row],[Good Units]]/ProductionData[[#This Row],[Operating Minutes]]</f>
        <v>0.80454545454545456</v>
      </c>
    </row>
    <row r="920" spans="1:23">
      <c r="A920" s="7">
        <v>46306</v>
      </c>
      <c r="B920" s="8" t="s">
        <v>31</v>
      </c>
      <c r="C920" s="8" t="s">
        <v>20</v>
      </c>
      <c r="D920" s="8" t="s">
        <v>21</v>
      </c>
      <c r="E920" s="8" t="s">
        <v>24</v>
      </c>
      <c r="F920" s="9">
        <v>410</v>
      </c>
      <c r="G920" s="9">
        <v>399</v>
      </c>
      <c r="H920" s="9">
        <v>12</v>
      </c>
      <c r="I920" s="9">
        <f t="shared" si="126"/>
        <v>387</v>
      </c>
      <c r="J920" s="9">
        <v>34</v>
      </c>
      <c r="K920" s="10">
        <f t="shared" si="127"/>
        <v>7.0833333333333331E-2</v>
      </c>
      <c r="L920" s="17">
        <v>120</v>
      </c>
      <c r="M920" s="17">
        <v>30800</v>
      </c>
      <c r="N920" s="17">
        <f t="shared" si="128"/>
        <v>46440</v>
      </c>
      <c r="O920" s="17">
        <f t="shared" si="129"/>
        <v>15640</v>
      </c>
      <c r="P920" s="10">
        <f t="shared" si="130"/>
        <v>0.97317073170731705</v>
      </c>
      <c r="Q920" s="10">
        <f t="shared" si="131"/>
        <v>3.007518796992481E-2</v>
      </c>
      <c r="R920" s="10">
        <f t="shared" si="132"/>
        <v>0.33677863910422051</v>
      </c>
      <c r="S920" s="18">
        <f t="shared" si="133"/>
        <v>79.586563307493535</v>
      </c>
      <c r="T920" s="8">
        <f>480-ProductionData[[#This Row],[Downtime Minutes]]</f>
        <v>446</v>
      </c>
      <c r="U920" s="11">
        <f t="shared" si="134"/>
        <v>0.89461883408071752</v>
      </c>
      <c r="V920" s="18">
        <f>ProductionData[[#This Row],[Profit]]/ProductionData[[#This Row],[Good Units]]</f>
        <v>40.413436692506458</v>
      </c>
      <c r="W920" s="11">
        <f>ProductionData[[#This Row],[Good Units]]/ProductionData[[#This Row],[Operating Minutes]]</f>
        <v>0.86771300448430488</v>
      </c>
    </row>
    <row r="921" spans="1:23">
      <c r="A921" s="7">
        <v>46306</v>
      </c>
      <c r="B921" s="8" t="s">
        <v>31</v>
      </c>
      <c r="C921" s="8" t="s">
        <v>20</v>
      </c>
      <c r="D921" s="8" t="s">
        <v>23</v>
      </c>
      <c r="E921" s="8" t="s">
        <v>26</v>
      </c>
      <c r="F921" s="9">
        <v>490</v>
      </c>
      <c r="G921" s="9">
        <v>451</v>
      </c>
      <c r="H921" s="9">
        <v>17</v>
      </c>
      <c r="I921" s="9">
        <f t="shared" si="126"/>
        <v>434</v>
      </c>
      <c r="J921" s="9">
        <v>27</v>
      </c>
      <c r="K921" s="10">
        <f t="shared" si="127"/>
        <v>5.6250000000000001E-2</v>
      </c>
      <c r="L921" s="17">
        <v>90</v>
      </c>
      <c r="M921" s="17">
        <v>30800</v>
      </c>
      <c r="N921" s="17">
        <f t="shared" si="128"/>
        <v>39060</v>
      </c>
      <c r="O921" s="17">
        <f t="shared" si="129"/>
        <v>8260</v>
      </c>
      <c r="P921" s="10">
        <f t="shared" si="130"/>
        <v>0.92040816326530617</v>
      </c>
      <c r="Q921" s="10">
        <f t="shared" si="131"/>
        <v>3.7694013303769404E-2</v>
      </c>
      <c r="R921" s="10">
        <f t="shared" si="132"/>
        <v>0.21146953405017921</v>
      </c>
      <c r="S921" s="18">
        <f t="shared" si="133"/>
        <v>70.967741935483872</v>
      </c>
      <c r="T921" s="8">
        <f>480-ProductionData[[#This Row],[Downtime Minutes]]</f>
        <v>453</v>
      </c>
      <c r="U921" s="11">
        <f t="shared" si="134"/>
        <v>0.99558498896247238</v>
      </c>
      <c r="V921" s="18">
        <f>ProductionData[[#This Row],[Profit]]/ProductionData[[#This Row],[Good Units]]</f>
        <v>19.032258064516128</v>
      </c>
      <c r="W921" s="11">
        <f>ProductionData[[#This Row],[Good Units]]/ProductionData[[#This Row],[Operating Minutes]]</f>
        <v>0.95805739514348787</v>
      </c>
    </row>
    <row r="922" spans="1:23">
      <c r="A922" s="7">
        <v>46306</v>
      </c>
      <c r="B922" s="8" t="s">
        <v>31</v>
      </c>
      <c r="C922" s="8" t="s">
        <v>20</v>
      </c>
      <c r="D922" s="8" t="s">
        <v>25</v>
      </c>
      <c r="E922" s="8" t="s">
        <v>22</v>
      </c>
      <c r="F922" s="9">
        <v>460</v>
      </c>
      <c r="G922" s="9">
        <v>419</v>
      </c>
      <c r="H922" s="9">
        <v>24</v>
      </c>
      <c r="I922" s="9">
        <f t="shared" si="126"/>
        <v>395</v>
      </c>
      <c r="J922" s="9">
        <v>59</v>
      </c>
      <c r="K922" s="10">
        <f t="shared" si="127"/>
        <v>0.12291666666666666</v>
      </c>
      <c r="L922" s="17">
        <v>100</v>
      </c>
      <c r="M922" s="17">
        <v>30800</v>
      </c>
      <c r="N922" s="17">
        <f t="shared" si="128"/>
        <v>39500</v>
      </c>
      <c r="O922" s="17">
        <f t="shared" si="129"/>
        <v>8700</v>
      </c>
      <c r="P922" s="10">
        <f t="shared" si="130"/>
        <v>0.91086956521739126</v>
      </c>
      <c r="Q922" s="10">
        <f t="shared" si="131"/>
        <v>5.7279236276849645E-2</v>
      </c>
      <c r="R922" s="10">
        <f t="shared" si="132"/>
        <v>0.22025316455696203</v>
      </c>
      <c r="S922" s="18">
        <f t="shared" si="133"/>
        <v>77.974683544303801</v>
      </c>
      <c r="T922" s="8">
        <f>480-ProductionData[[#This Row],[Downtime Minutes]]</f>
        <v>421</v>
      </c>
      <c r="U922" s="11">
        <f t="shared" si="134"/>
        <v>0.99524940617577196</v>
      </c>
      <c r="V922" s="18">
        <f>ProductionData[[#This Row],[Profit]]/ProductionData[[#This Row],[Good Units]]</f>
        <v>22.025316455696203</v>
      </c>
      <c r="W922" s="11">
        <f>ProductionData[[#This Row],[Good Units]]/ProductionData[[#This Row],[Operating Minutes]]</f>
        <v>0.93824228028503565</v>
      </c>
    </row>
    <row r="923" spans="1:23">
      <c r="A923" s="7">
        <v>46306</v>
      </c>
      <c r="B923" s="8" t="s">
        <v>31</v>
      </c>
      <c r="C923" s="8" t="s">
        <v>27</v>
      </c>
      <c r="D923" s="8" t="s">
        <v>21</v>
      </c>
      <c r="E923" s="8" t="s">
        <v>26</v>
      </c>
      <c r="F923" s="9">
        <v>480</v>
      </c>
      <c r="G923" s="9">
        <v>425</v>
      </c>
      <c r="H923" s="9">
        <v>21</v>
      </c>
      <c r="I923" s="9">
        <f t="shared" si="126"/>
        <v>404</v>
      </c>
      <c r="J923" s="9">
        <v>38</v>
      </c>
      <c r="K923" s="10">
        <f t="shared" si="127"/>
        <v>7.9166666666666663E-2</v>
      </c>
      <c r="L923" s="17">
        <v>90</v>
      </c>
      <c r="M923" s="17">
        <v>30800</v>
      </c>
      <c r="N923" s="17">
        <f t="shared" si="128"/>
        <v>36360</v>
      </c>
      <c r="O923" s="17">
        <f t="shared" si="129"/>
        <v>5560</v>
      </c>
      <c r="P923" s="10">
        <f t="shared" si="130"/>
        <v>0.88541666666666663</v>
      </c>
      <c r="Q923" s="10">
        <f t="shared" si="131"/>
        <v>4.9411764705882349E-2</v>
      </c>
      <c r="R923" s="10">
        <f t="shared" si="132"/>
        <v>0.15291529152915292</v>
      </c>
      <c r="S923" s="18">
        <f t="shared" si="133"/>
        <v>76.237623762376231</v>
      </c>
      <c r="T923" s="8">
        <f>480-ProductionData[[#This Row],[Downtime Minutes]]</f>
        <v>442</v>
      </c>
      <c r="U923" s="11">
        <f t="shared" si="134"/>
        <v>0.96153846153846156</v>
      </c>
      <c r="V923" s="18">
        <f>ProductionData[[#This Row],[Profit]]/ProductionData[[#This Row],[Good Units]]</f>
        <v>13.762376237623762</v>
      </c>
      <c r="W923" s="11">
        <f>ProductionData[[#This Row],[Good Units]]/ProductionData[[#This Row],[Operating Minutes]]</f>
        <v>0.91402714932126694</v>
      </c>
    </row>
    <row r="924" spans="1:23">
      <c r="A924" s="7">
        <v>46306</v>
      </c>
      <c r="B924" s="8" t="s">
        <v>31</v>
      </c>
      <c r="C924" s="8" t="s">
        <v>27</v>
      </c>
      <c r="D924" s="8" t="s">
        <v>23</v>
      </c>
      <c r="E924" s="8" t="s">
        <v>22</v>
      </c>
      <c r="F924" s="9">
        <v>440</v>
      </c>
      <c r="G924" s="9">
        <v>405</v>
      </c>
      <c r="H924" s="9">
        <v>27</v>
      </c>
      <c r="I924" s="9">
        <f t="shared" si="126"/>
        <v>378</v>
      </c>
      <c r="J924" s="9">
        <v>54</v>
      </c>
      <c r="K924" s="10">
        <f t="shared" si="127"/>
        <v>0.1125</v>
      </c>
      <c r="L924" s="17">
        <v>100</v>
      </c>
      <c r="M924" s="17">
        <v>30800</v>
      </c>
      <c r="N924" s="17">
        <f t="shared" si="128"/>
        <v>37800</v>
      </c>
      <c r="O924" s="17">
        <f t="shared" si="129"/>
        <v>7000</v>
      </c>
      <c r="P924" s="10">
        <f t="shared" si="130"/>
        <v>0.92045454545454541</v>
      </c>
      <c r="Q924" s="10">
        <f t="shared" si="131"/>
        <v>6.6666666666666666E-2</v>
      </c>
      <c r="R924" s="10">
        <f t="shared" si="132"/>
        <v>0.18518518518518517</v>
      </c>
      <c r="S924" s="18">
        <f t="shared" si="133"/>
        <v>81.481481481481481</v>
      </c>
      <c r="T924" s="8">
        <f>480-ProductionData[[#This Row],[Downtime Minutes]]</f>
        <v>426</v>
      </c>
      <c r="U924" s="11">
        <f t="shared" si="134"/>
        <v>0.95070422535211263</v>
      </c>
      <c r="V924" s="18">
        <f>ProductionData[[#This Row],[Profit]]/ProductionData[[#This Row],[Good Units]]</f>
        <v>18.518518518518519</v>
      </c>
      <c r="W924" s="11">
        <f>ProductionData[[#This Row],[Good Units]]/ProductionData[[#This Row],[Operating Minutes]]</f>
        <v>0.88732394366197187</v>
      </c>
    </row>
    <row r="925" spans="1:23">
      <c r="A925" s="7">
        <v>46306</v>
      </c>
      <c r="B925" s="8" t="s">
        <v>31</v>
      </c>
      <c r="C925" s="8" t="s">
        <v>27</v>
      </c>
      <c r="D925" s="8" t="s">
        <v>25</v>
      </c>
      <c r="E925" s="8" t="s">
        <v>24</v>
      </c>
      <c r="F925" s="9">
        <v>410</v>
      </c>
      <c r="G925" s="9">
        <v>363</v>
      </c>
      <c r="H925" s="9">
        <v>22</v>
      </c>
      <c r="I925" s="9">
        <f t="shared" si="126"/>
        <v>341</v>
      </c>
      <c r="J925" s="9">
        <v>52</v>
      </c>
      <c r="K925" s="10">
        <f t="shared" si="127"/>
        <v>0.10833333333333334</v>
      </c>
      <c r="L925" s="17">
        <v>120</v>
      </c>
      <c r="M925" s="17">
        <v>30800</v>
      </c>
      <c r="N925" s="17">
        <f t="shared" si="128"/>
        <v>40920</v>
      </c>
      <c r="O925" s="17">
        <f t="shared" si="129"/>
        <v>10120</v>
      </c>
      <c r="P925" s="10">
        <f t="shared" si="130"/>
        <v>0.88536585365853659</v>
      </c>
      <c r="Q925" s="10">
        <f t="shared" si="131"/>
        <v>6.0606060606060608E-2</v>
      </c>
      <c r="R925" s="10">
        <f t="shared" si="132"/>
        <v>0.24731182795698925</v>
      </c>
      <c r="S925" s="18">
        <f t="shared" si="133"/>
        <v>90.322580645161295</v>
      </c>
      <c r="T925" s="8">
        <f>480-ProductionData[[#This Row],[Downtime Minutes]]</f>
        <v>428</v>
      </c>
      <c r="U925" s="11">
        <f t="shared" si="134"/>
        <v>0.84813084112149528</v>
      </c>
      <c r="V925" s="18">
        <f>ProductionData[[#This Row],[Profit]]/ProductionData[[#This Row],[Good Units]]</f>
        <v>29.677419354838708</v>
      </c>
      <c r="W925" s="11">
        <f>ProductionData[[#This Row],[Good Units]]/ProductionData[[#This Row],[Operating Minutes]]</f>
        <v>0.79672897196261683</v>
      </c>
    </row>
    <row r="926" spans="1:23">
      <c r="A926" s="7">
        <v>46306</v>
      </c>
      <c r="B926" s="8" t="s">
        <v>31</v>
      </c>
      <c r="C926" s="8" t="s">
        <v>28</v>
      </c>
      <c r="D926" s="8" t="s">
        <v>21</v>
      </c>
      <c r="E926" s="8" t="s">
        <v>22</v>
      </c>
      <c r="F926" s="9">
        <v>430</v>
      </c>
      <c r="G926" s="9">
        <v>424</v>
      </c>
      <c r="H926" s="9">
        <v>17</v>
      </c>
      <c r="I926" s="9">
        <f t="shared" si="126"/>
        <v>407</v>
      </c>
      <c r="J926" s="9">
        <v>25</v>
      </c>
      <c r="K926" s="10">
        <f t="shared" si="127"/>
        <v>5.2083333333333336E-2</v>
      </c>
      <c r="L926" s="17">
        <v>100</v>
      </c>
      <c r="M926" s="17">
        <v>30800</v>
      </c>
      <c r="N926" s="17">
        <f t="shared" si="128"/>
        <v>40700</v>
      </c>
      <c r="O926" s="17">
        <f t="shared" si="129"/>
        <v>9900</v>
      </c>
      <c r="P926" s="10">
        <f t="shared" si="130"/>
        <v>0.98604651162790702</v>
      </c>
      <c r="Q926" s="10">
        <f t="shared" si="131"/>
        <v>4.0094339622641507E-2</v>
      </c>
      <c r="R926" s="10">
        <f t="shared" si="132"/>
        <v>0.24324324324324326</v>
      </c>
      <c r="S926" s="18">
        <f t="shared" si="133"/>
        <v>75.675675675675677</v>
      </c>
      <c r="T926" s="8">
        <f>480-ProductionData[[#This Row],[Downtime Minutes]]</f>
        <v>455</v>
      </c>
      <c r="U926" s="11">
        <f t="shared" si="134"/>
        <v>0.93186813186813189</v>
      </c>
      <c r="V926" s="18">
        <f>ProductionData[[#This Row],[Profit]]/ProductionData[[#This Row],[Good Units]]</f>
        <v>24.324324324324323</v>
      </c>
      <c r="W926" s="11">
        <f>ProductionData[[#This Row],[Good Units]]/ProductionData[[#This Row],[Operating Minutes]]</f>
        <v>0.89450549450549455</v>
      </c>
    </row>
    <row r="927" spans="1:23">
      <c r="A927" s="7">
        <v>46306</v>
      </c>
      <c r="B927" s="8" t="s">
        <v>31</v>
      </c>
      <c r="C927" s="8" t="s">
        <v>28</v>
      </c>
      <c r="D927" s="8" t="s">
        <v>23</v>
      </c>
      <c r="E927" s="8" t="s">
        <v>24</v>
      </c>
      <c r="F927" s="9">
        <v>400</v>
      </c>
      <c r="G927" s="9">
        <v>379</v>
      </c>
      <c r="H927" s="9">
        <v>11</v>
      </c>
      <c r="I927" s="9">
        <f t="shared" si="126"/>
        <v>368</v>
      </c>
      <c r="J927" s="9">
        <v>25</v>
      </c>
      <c r="K927" s="10">
        <f t="shared" si="127"/>
        <v>5.2083333333333336E-2</v>
      </c>
      <c r="L927" s="17">
        <v>120</v>
      </c>
      <c r="M927" s="17">
        <v>30800</v>
      </c>
      <c r="N927" s="17">
        <f t="shared" si="128"/>
        <v>44160</v>
      </c>
      <c r="O927" s="17">
        <f t="shared" si="129"/>
        <v>13360</v>
      </c>
      <c r="P927" s="10">
        <f t="shared" si="130"/>
        <v>0.94750000000000001</v>
      </c>
      <c r="Q927" s="10">
        <f t="shared" si="131"/>
        <v>2.9023746701846966E-2</v>
      </c>
      <c r="R927" s="10">
        <f t="shared" si="132"/>
        <v>0.30253623188405798</v>
      </c>
      <c r="S927" s="18">
        <f t="shared" si="133"/>
        <v>83.695652173913047</v>
      </c>
      <c r="T927" s="8">
        <f>480-ProductionData[[#This Row],[Downtime Minutes]]</f>
        <v>455</v>
      </c>
      <c r="U927" s="11">
        <f t="shared" si="134"/>
        <v>0.83296703296703301</v>
      </c>
      <c r="V927" s="18">
        <f>ProductionData[[#This Row],[Profit]]/ProductionData[[#This Row],[Good Units]]</f>
        <v>36.304347826086953</v>
      </c>
      <c r="W927" s="11">
        <f>ProductionData[[#This Row],[Good Units]]/ProductionData[[#This Row],[Operating Minutes]]</f>
        <v>0.8087912087912088</v>
      </c>
    </row>
    <row r="928" spans="1:23">
      <c r="A928" s="7">
        <v>46306</v>
      </c>
      <c r="B928" s="8" t="s">
        <v>31</v>
      </c>
      <c r="C928" s="8" t="s">
        <v>28</v>
      </c>
      <c r="D928" s="8" t="s">
        <v>25</v>
      </c>
      <c r="E928" s="8" t="s">
        <v>26</v>
      </c>
      <c r="F928" s="9">
        <v>510</v>
      </c>
      <c r="G928" s="9">
        <v>476</v>
      </c>
      <c r="H928" s="9">
        <v>18</v>
      </c>
      <c r="I928" s="9">
        <f t="shared" si="126"/>
        <v>458</v>
      </c>
      <c r="J928" s="9">
        <v>26</v>
      </c>
      <c r="K928" s="10">
        <f t="shared" si="127"/>
        <v>5.4166666666666669E-2</v>
      </c>
      <c r="L928" s="17">
        <v>90</v>
      </c>
      <c r="M928" s="17">
        <v>30800</v>
      </c>
      <c r="N928" s="17">
        <f t="shared" si="128"/>
        <v>41220</v>
      </c>
      <c r="O928" s="17">
        <f t="shared" si="129"/>
        <v>10420</v>
      </c>
      <c r="P928" s="10">
        <f t="shared" si="130"/>
        <v>0.93333333333333335</v>
      </c>
      <c r="Q928" s="10">
        <f t="shared" si="131"/>
        <v>3.7815126050420166E-2</v>
      </c>
      <c r="R928" s="10">
        <f t="shared" si="132"/>
        <v>0.25278990781174188</v>
      </c>
      <c r="S928" s="18">
        <f t="shared" si="133"/>
        <v>67.248908296943227</v>
      </c>
      <c r="T928" s="8">
        <f>480-ProductionData[[#This Row],[Downtime Minutes]]</f>
        <v>454</v>
      </c>
      <c r="U928" s="11">
        <f t="shared" si="134"/>
        <v>1.0484581497797356</v>
      </c>
      <c r="V928" s="18">
        <f>ProductionData[[#This Row],[Profit]]/ProductionData[[#This Row],[Good Units]]</f>
        <v>22.751091703056769</v>
      </c>
      <c r="W928" s="11">
        <f>ProductionData[[#This Row],[Good Units]]/ProductionData[[#This Row],[Operating Minutes]]</f>
        <v>1.0088105726872247</v>
      </c>
    </row>
    <row r="929" spans="1:23">
      <c r="A929" s="7">
        <v>46307</v>
      </c>
      <c r="B929" s="8" t="s">
        <v>31</v>
      </c>
      <c r="C929" s="8" t="s">
        <v>20</v>
      </c>
      <c r="D929" s="8" t="s">
        <v>21</v>
      </c>
      <c r="E929" s="8" t="s">
        <v>26</v>
      </c>
      <c r="F929" s="9">
        <v>500</v>
      </c>
      <c r="G929" s="9">
        <v>469</v>
      </c>
      <c r="H929" s="9">
        <v>15</v>
      </c>
      <c r="I929" s="9">
        <f t="shared" si="126"/>
        <v>454</v>
      </c>
      <c r="J929" s="9">
        <v>30</v>
      </c>
      <c r="K929" s="10">
        <f t="shared" si="127"/>
        <v>6.25E-2</v>
      </c>
      <c r="L929" s="17">
        <v>90</v>
      </c>
      <c r="M929" s="17">
        <v>30800</v>
      </c>
      <c r="N929" s="17">
        <f t="shared" si="128"/>
        <v>40860</v>
      </c>
      <c r="O929" s="17">
        <f t="shared" si="129"/>
        <v>10060</v>
      </c>
      <c r="P929" s="10">
        <f t="shared" si="130"/>
        <v>0.93799999999999994</v>
      </c>
      <c r="Q929" s="10">
        <f t="shared" si="131"/>
        <v>3.1982942430703626E-2</v>
      </c>
      <c r="R929" s="10">
        <f t="shared" si="132"/>
        <v>0.24620655898188937</v>
      </c>
      <c r="S929" s="18">
        <f t="shared" si="133"/>
        <v>67.841409691629963</v>
      </c>
      <c r="T929" s="8">
        <f>480-ProductionData[[#This Row],[Downtime Minutes]]</f>
        <v>450</v>
      </c>
      <c r="U929" s="11">
        <f t="shared" si="134"/>
        <v>1.0422222222222222</v>
      </c>
      <c r="V929" s="18">
        <f>ProductionData[[#This Row],[Profit]]/ProductionData[[#This Row],[Good Units]]</f>
        <v>22.158590308370044</v>
      </c>
      <c r="W929" s="11">
        <f>ProductionData[[#This Row],[Good Units]]/ProductionData[[#This Row],[Operating Minutes]]</f>
        <v>1.0088888888888889</v>
      </c>
    </row>
    <row r="930" spans="1:23">
      <c r="A930" s="7">
        <v>46307</v>
      </c>
      <c r="B930" s="8" t="s">
        <v>31</v>
      </c>
      <c r="C930" s="8" t="s">
        <v>20</v>
      </c>
      <c r="D930" s="8" t="s">
        <v>23</v>
      </c>
      <c r="E930" s="8" t="s">
        <v>22</v>
      </c>
      <c r="F930" s="9">
        <v>440</v>
      </c>
      <c r="G930" s="9">
        <v>418</v>
      </c>
      <c r="H930" s="9">
        <v>20</v>
      </c>
      <c r="I930" s="9">
        <f t="shared" si="126"/>
        <v>398</v>
      </c>
      <c r="J930" s="9">
        <v>39</v>
      </c>
      <c r="K930" s="10">
        <f t="shared" si="127"/>
        <v>8.1250000000000003E-2</v>
      </c>
      <c r="L930" s="17">
        <v>100</v>
      </c>
      <c r="M930" s="17">
        <v>30800</v>
      </c>
      <c r="N930" s="17">
        <f t="shared" si="128"/>
        <v>39800</v>
      </c>
      <c r="O930" s="17">
        <f t="shared" si="129"/>
        <v>9000</v>
      </c>
      <c r="P930" s="10">
        <f t="shared" si="130"/>
        <v>0.95</v>
      </c>
      <c r="Q930" s="10">
        <f t="shared" si="131"/>
        <v>4.784688995215311E-2</v>
      </c>
      <c r="R930" s="10">
        <f t="shared" si="132"/>
        <v>0.22613065326633167</v>
      </c>
      <c r="S930" s="18">
        <f t="shared" si="133"/>
        <v>77.386934673366838</v>
      </c>
      <c r="T930" s="8">
        <f>480-ProductionData[[#This Row],[Downtime Minutes]]</f>
        <v>441</v>
      </c>
      <c r="U930" s="11">
        <f t="shared" si="134"/>
        <v>0.94784580498866211</v>
      </c>
      <c r="V930" s="18">
        <f>ProductionData[[#This Row],[Profit]]/ProductionData[[#This Row],[Good Units]]</f>
        <v>22.613065326633166</v>
      </c>
      <c r="W930" s="11">
        <f>ProductionData[[#This Row],[Good Units]]/ProductionData[[#This Row],[Operating Minutes]]</f>
        <v>0.9024943310657596</v>
      </c>
    </row>
    <row r="931" spans="1:23">
      <c r="A931" s="7">
        <v>46307</v>
      </c>
      <c r="B931" s="8" t="s">
        <v>31</v>
      </c>
      <c r="C931" s="8" t="s">
        <v>20</v>
      </c>
      <c r="D931" s="8" t="s">
        <v>25</v>
      </c>
      <c r="E931" s="8" t="s">
        <v>24</v>
      </c>
      <c r="F931" s="9">
        <v>400</v>
      </c>
      <c r="G931" s="9">
        <v>371</v>
      </c>
      <c r="H931" s="9">
        <v>17</v>
      </c>
      <c r="I931" s="9">
        <f t="shared" si="126"/>
        <v>354</v>
      </c>
      <c r="J931" s="9">
        <v>52</v>
      </c>
      <c r="K931" s="10">
        <f t="shared" si="127"/>
        <v>0.10833333333333334</v>
      </c>
      <c r="L931" s="17">
        <v>120</v>
      </c>
      <c r="M931" s="17">
        <v>30800</v>
      </c>
      <c r="N931" s="17">
        <f t="shared" si="128"/>
        <v>42480</v>
      </c>
      <c r="O931" s="17">
        <f t="shared" si="129"/>
        <v>11680</v>
      </c>
      <c r="P931" s="10">
        <f t="shared" si="130"/>
        <v>0.92749999999999999</v>
      </c>
      <c r="Q931" s="10">
        <f t="shared" si="131"/>
        <v>4.5822102425876012E-2</v>
      </c>
      <c r="R931" s="10">
        <f t="shared" si="132"/>
        <v>0.27495291902071561</v>
      </c>
      <c r="S931" s="18">
        <f t="shared" si="133"/>
        <v>87.005649717514117</v>
      </c>
      <c r="T931" s="8">
        <f>480-ProductionData[[#This Row],[Downtime Minutes]]</f>
        <v>428</v>
      </c>
      <c r="U931" s="11">
        <f t="shared" si="134"/>
        <v>0.86682242990654201</v>
      </c>
      <c r="V931" s="18">
        <f>ProductionData[[#This Row],[Profit]]/ProductionData[[#This Row],[Good Units]]</f>
        <v>32.994350282485875</v>
      </c>
      <c r="W931" s="11">
        <f>ProductionData[[#This Row],[Good Units]]/ProductionData[[#This Row],[Operating Minutes]]</f>
        <v>0.82710280373831779</v>
      </c>
    </row>
    <row r="932" spans="1:23">
      <c r="A932" s="7">
        <v>46307</v>
      </c>
      <c r="B932" s="8" t="s">
        <v>31</v>
      </c>
      <c r="C932" s="8" t="s">
        <v>27</v>
      </c>
      <c r="D932" s="8" t="s">
        <v>21</v>
      </c>
      <c r="E932" s="8" t="s">
        <v>22</v>
      </c>
      <c r="F932" s="9">
        <v>460</v>
      </c>
      <c r="G932" s="9">
        <v>415</v>
      </c>
      <c r="H932" s="9">
        <v>27</v>
      </c>
      <c r="I932" s="9">
        <f t="shared" si="126"/>
        <v>388</v>
      </c>
      <c r="J932" s="9">
        <v>46</v>
      </c>
      <c r="K932" s="10">
        <f t="shared" si="127"/>
        <v>9.583333333333334E-2</v>
      </c>
      <c r="L932" s="17">
        <v>100</v>
      </c>
      <c r="M932" s="17">
        <v>30800</v>
      </c>
      <c r="N932" s="17">
        <f t="shared" si="128"/>
        <v>38800</v>
      </c>
      <c r="O932" s="17">
        <f t="shared" si="129"/>
        <v>8000</v>
      </c>
      <c r="P932" s="10">
        <f t="shared" si="130"/>
        <v>0.90217391304347827</v>
      </c>
      <c r="Q932" s="10">
        <f t="shared" si="131"/>
        <v>6.5060240963855417E-2</v>
      </c>
      <c r="R932" s="10">
        <f t="shared" si="132"/>
        <v>0.20618556701030927</v>
      </c>
      <c r="S932" s="18">
        <f t="shared" si="133"/>
        <v>79.381443298969074</v>
      </c>
      <c r="T932" s="8">
        <f>480-ProductionData[[#This Row],[Downtime Minutes]]</f>
        <v>434</v>
      </c>
      <c r="U932" s="11">
        <f t="shared" si="134"/>
        <v>0.95622119815668205</v>
      </c>
      <c r="V932" s="18">
        <f>ProductionData[[#This Row],[Profit]]/ProductionData[[#This Row],[Good Units]]</f>
        <v>20.618556701030929</v>
      </c>
      <c r="W932" s="11">
        <f>ProductionData[[#This Row],[Good Units]]/ProductionData[[#This Row],[Operating Minutes]]</f>
        <v>0.89400921658986177</v>
      </c>
    </row>
    <row r="933" spans="1:23">
      <c r="A933" s="7">
        <v>46307</v>
      </c>
      <c r="B933" s="8" t="s">
        <v>31</v>
      </c>
      <c r="C933" s="8" t="s">
        <v>27</v>
      </c>
      <c r="D933" s="8" t="s">
        <v>23</v>
      </c>
      <c r="E933" s="8" t="s">
        <v>24</v>
      </c>
      <c r="F933" s="9">
        <v>390</v>
      </c>
      <c r="G933" s="9">
        <v>347</v>
      </c>
      <c r="H933" s="9">
        <v>17</v>
      </c>
      <c r="I933" s="9">
        <f t="shared" si="126"/>
        <v>330</v>
      </c>
      <c r="J933" s="9">
        <v>60</v>
      </c>
      <c r="K933" s="10">
        <f t="shared" si="127"/>
        <v>0.125</v>
      </c>
      <c r="L933" s="17">
        <v>120</v>
      </c>
      <c r="M933" s="17">
        <v>30800</v>
      </c>
      <c r="N933" s="17">
        <f t="shared" si="128"/>
        <v>39600</v>
      </c>
      <c r="O933" s="17">
        <f t="shared" si="129"/>
        <v>8800</v>
      </c>
      <c r="P933" s="10">
        <f t="shared" si="130"/>
        <v>0.88974358974358969</v>
      </c>
      <c r="Q933" s="10">
        <f t="shared" si="131"/>
        <v>4.8991354466858789E-2</v>
      </c>
      <c r="R933" s="10">
        <f t="shared" si="132"/>
        <v>0.22222222222222221</v>
      </c>
      <c r="S933" s="18">
        <f t="shared" si="133"/>
        <v>93.333333333333329</v>
      </c>
      <c r="T933" s="8">
        <f>480-ProductionData[[#This Row],[Downtime Minutes]]</f>
        <v>420</v>
      </c>
      <c r="U933" s="11">
        <f t="shared" si="134"/>
        <v>0.82619047619047614</v>
      </c>
      <c r="V933" s="18">
        <f>ProductionData[[#This Row],[Profit]]/ProductionData[[#This Row],[Good Units]]</f>
        <v>26.666666666666668</v>
      </c>
      <c r="W933" s="11">
        <f>ProductionData[[#This Row],[Good Units]]/ProductionData[[#This Row],[Operating Minutes]]</f>
        <v>0.7857142857142857</v>
      </c>
    </row>
    <row r="934" spans="1:23">
      <c r="A934" s="7">
        <v>46307</v>
      </c>
      <c r="B934" s="8" t="s">
        <v>31</v>
      </c>
      <c r="C934" s="8" t="s">
        <v>27</v>
      </c>
      <c r="D934" s="8" t="s">
        <v>25</v>
      </c>
      <c r="E934" s="8" t="s">
        <v>26</v>
      </c>
      <c r="F934" s="9">
        <v>510</v>
      </c>
      <c r="G934" s="9">
        <v>448</v>
      </c>
      <c r="H934" s="9">
        <v>26</v>
      </c>
      <c r="I934" s="9">
        <f t="shared" si="126"/>
        <v>422</v>
      </c>
      <c r="J934" s="9">
        <v>64</v>
      </c>
      <c r="K934" s="10">
        <f t="shared" si="127"/>
        <v>0.13333333333333333</v>
      </c>
      <c r="L934" s="17">
        <v>90</v>
      </c>
      <c r="M934" s="17">
        <v>30800</v>
      </c>
      <c r="N934" s="17">
        <f t="shared" si="128"/>
        <v>37980</v>
      </c>
      <c r="O934" s="17">
        <f t="shared" si="129"/>
        <v>7180</v>
      </c>
      <c r="P934" s="10">
        <f t="shared" si="130"/>
        <v>0.8784313725490196</v>
      </c>
      <c r="Q934" s="10">
        <f t="shared" si="131"/>
        <v>5.8035714285714288E-2</v>
      </c>
      <c r="R934" s="10">
        <f t="shared" si="132"/>
        <v>0.18904686677198526</v>
      </c>
      <c r="S934" s="18">
        <f t="shared" si="133"/>
        <v>72.985781990521332</v>
      </c>
      <c r="T934" s="8">
        <f>480-ProductionData[[#This Row],[Downtime Minutes]]</f>
        <v>416</v>
      </c>
      <c r="U934" s="11">
        <f t="shared" si="134"/>
        <v>1.0769230769230769</v>
      </c>
      <c r="V934" s="18">
        <f>ProductionData[[#This Row],[Profit]]/ProductionData[[#This Row],[Good Units]]</f>
        <v>17.014218009478672</v>
      </c>
      <c r="W934" s="11">
        <f>ProductionData[[#This Row],[Good Units]]/ProductionData[[#This Row],[Operating Minutes]]</f>
        <v>1.0144230769230769</v>
      </c>
    </row>
    <row r="935" spans="1:23">
      <c r="A935" s="7">
        <v>46307</v>
      </c>
      <c r="B935" s="8" t="s">
        <v>31</v>
      </c>
      <c r="C935" s="8" t="s">
        <v>28</v>
      </c>
      <c r="D935" s="8" t="s">
        <v>21</v>
      </c>
      <c r="E935" s="8" t="s">
        <v>24</v>
      </c>
      <c r="F935" s="9">
        <v>410</v>
      </c>
      <c r="G935" s="9">
        <v>408</v>
      </c>
      <c r="H935" s="9">
        <v>9</v>
      </c>
      <c r="I935" s="9">
        <f t="shared" si="126"/>
        <v>399</v>
      </c>
      <c r="J935" s="9">
        <v>29</v>
      </c>
      <c r="K935" s="10">
        <f t="shared" si="127"/>
        <v>6.0416666666666667E-2</v>
      </c>
      <c r="L935" s="17">
        <v>120</v>
      </c>
      <c r="M935" s="17">
        <v>30800</v>
      </c>
      <c r="N935" s="17">
        <f t="shared" si="128"/>
        <v>47880</v>
      </c>
      <c r="O935" s="17">
        <f t="shared" si="129"/>
        <v>17080</v>
      </c>
      <c r="P935" s="10">
        <f t="shared" si="130"/>
        <v>0.99512195121951219</v>
      </c>
      <c r="Q935" s="10">
        <f t="shared" si="131"/>
        <v>2.2058823529411766E-2</v>
      </c>
      <c r="R935" s="10">
        <f t="shared" si="132"/>
        <v>0.35672514619883039</v>
      </c>
      <c r="S935" s="18">
        <f t="shared" si="133"/>
        <v>77.192982456140356</v>
      </c>
      <c r="T935" s="8">
        <f>480-ProductionData[[#This Row],[Downtime Minutes]]</f>
        <v>451</v>
      </c>
      <c r="U935" s="11">
        <f t="shared" si="134"/>
        <v>0.90465631929046564</v>
      </c>
      <c r="V935" s="18">
        <f>ProductionData[[#This Row],[Profit]]/ProductionData[[#This Row],[Good Units]]</f>
        <v>42.807017543859651</v>
      </c>
      <c r="W935" s="11">
        <f>ProductionData[[#This Row],[Good Units]]/ProductionData[[#This Row],[Operating Minutes]]</f>
        <v>0.88470066518847001</v>
      </c>
    </row>
    <row r="936" spans="1:23">
      <c r="A936" s="7">
        <v>46307</v>
      </c>
      <c r="B936" s="8" t="s">
        <v>31</v>
      </c>
      <c r="C936" s="8" t="s">
        <v>28</v>
      </c>
      <c r="D936" s="8" t="s">
        <v>23</v>
      </c>
      <c r="E936" s="8" t="s">
        <v>26</v>
      </c>
      <c r="F936" s="9">
        <v>480</v>
      </c>
      <c r="G936" s="9">
        <v>457</v>
      </c>
      <c r="H936" s="9">
        <v>13</v>
      </c>
      <c r="I936" s="9">
        <f t="shared" si="126"/>
        <v>444</v>
      </c>
      <c r="J936" s="9">
        <v>31</v>
      </c>
      <c r="K936" s="10">
        <f t="shared" si="127"/>
        <v>6.458333333333334E-2</v>
      </c>
      <c r="L936" s="17">
        <v>90</v>
      </c>
      <c r="M936" s="17">
        <v>30800</v>
      </c>
      <c r="N936" s="17">
        <f t="shared" si="128"/>
        <v>39960</v>
      </c>
      <c r="O936" s="17">
        <f t="shared" si="129"/>
        <v>9160</v>
      </c>
      <c r="P936" s="10">
        <f t="shared" si="130"/>
        <v>0.95208333333333328</v>
      </c>
      <c r="Q936" s="10">
        <f t="shared" si="131"/>
        <v>2.8446389496717725E-2</v>
      </c>
      <c r="R936" s="10">
        <f t="shared" si="132"/>
        <v>0.22922922922922923</v>
      </c>
      <c r="S936" s="18">
        <f t="shared" si="133"/>
        <v>69.369369369369366</v>
      </c>
      <c r="T936" s="8">
        <f>480-ProductionData[[#This Row],[Downtime Minutes]]</f>
        <v>449</v>
      </c>
      <c r="U936" s="11">
        <f t="shared" si="134"/>
        <v>1.0178173719376391</v>
      </c>
      <c r="V936" s="18">
        <f>ProductionData[[#This Row],[Profit]]/ProductionData[[#This Row],[Good Units]]</f>
        <v>20.63063063063063</v>
      </c>
      <c r="W936" s="11">
        <f>ProductionData[[#This Row],[Good Units]]/ProductionData[[#This Row],[Operating Minutes]]</f>
        <v>0.98886414253897548</v>
      </c>
    </row>
    <row r="937" spans="1:23">
      <c r="A937" s="7">
        <v>46307</v>
      </c>
      <c r="B937" s="8" t="s">
        <v>31</v>
      </c>
      <c r="C937" s="8" t="s">
        <v>28</v>
      </c>
      <c r="D937" s="8" t="s">
        <v>25</v>
      </c>
      <c r="E937" s="8" t="s">
        <v>22</v>
      </c>
      <c r="F937" s="9">
        <v>460</v>
      </c>
      <c r="G937" s="9">
        <v>443</v>
      </c>
      <c r="H937" s="9">
        <v>22</v>
      </c>
      <c r="I937" s="9">
        <f t="shared" si="126"/>
        <v>421</v>
      </c>
      <c r="J937" s="9">
        <v>48</v>
      </c>
      <c r="K937" s="10">
        <f t="shared" si="127"/>
        <v>0.1</v>
      </c>
      <c r="L937" s="17">
        <v>100</v>
      </c>
      <c r="M937" s="17">
        <v>30800</v>
      </c>
      <c r="N937" s="17">
        <f t="shared" si="128"/>
        <v>42100</v>
      </c>
      <c r="O937" s="17">
        <f t="shared" si="129"/>
        <v>11300</v>
      </c>
      <c r="P937" s="10">
        <f t="shared" si="130"/>
        <v>0.96304347826086956</v>
      </c>
      <c r="Q937" s="10">
        <f t="shared" si="131"/>
        <v>4.9661399548532728E-2</v>
      </c>
      <c r="R937" s="10">
        <f t="shared" si="132"/>
        <v>0.26840855106888362</v>
      </c>
      <c r="S937" s="18">
        <f t="shared" si="133"/>
        <v>73.159144893111645</v>
      </c>
      <c r="T937" s="8">
        <f>480-ProductionData[[#This Row],[Downtime Minutes]]</f>
        <v>432</v>
      </c>
      <c r="U937" s="11">
        <f t="shared" si="134"/>
        <v>1.025462962962963</v>
      </c>
      <c r="V937" s="18">
        <f>ProductionData[[#This Row],[Profit]]/ProductionData[[#This Row],[Good Units]]</f>
        <v>26.840855106888363</v>
      </c>
      <c r="W937" s="11">
        <f>ProductionData[[#This Row],[Good Units]]/ProductionData[[#This Row],[Operating Minutes]]</f>
        <v>0.97453703703703709</v>
      </c>
    </row>
    <row r="938" spans="1:23">
      <c r="A938" s="7">
        <v>46308</v>
      </c>
      <c r="B938" s="8" t="s">
        <v>31</v>
      </c>
      <c r="C938" s="8" t="s">
        <v>20</v>
      </c>
      <c r="D938" s="8" t="s">
        <v>21</v>
      </c>
      <c r="E938" s="8" t="s">
        <v>22</v>
      </c>
      <c r="F938" s="9">
        <v>440</v>
      </c>
      <c r="G938" s="9">
        <v>433</v>
      </c>
      <c r="H938" s="9">
        <v>16</v>
      </c>
      <c r="I938" s="9">
        <f t="shared" si="126"/>
        <v>417</v>
      </c>
      <c r="J938" s="9">
        <v>47</v>
      </c>
      <c r="K938" s="10">
        <f t="shared" si="127"/>
        <v>9.7916666666666666E-2</v>
      </c>
      <c r="L938" s="17">
        <v>100</v>
      </c>
      <c r="M938" s="17">
        <v>30800</v>
      </c>
      <c r="N938" s="17">
        <f t="shared" si="128"/>
        <v>41700</v>
      </c>
      <c r="O938" s="17">
        <f t="shared" si="129"/>
        <v>10900</v>
      </c>
      <c r="P938" s="10">
        <f t="shared" si="130"/>
        <v>0.98409090909090913</v>
      </c>
      <c r="Q938" s="10">
        <f t="shared" si="131"/>
        <v>3.695150115473441E-2</v>
      </c>
      <c r="R938" s="10">
        <f t="shared" si="132"/>
        <v>0.26139088729016785</v>
      </c>
      <c r="S938" s="18">
        <f t="shared" si="133"/>
        <v>73.860911270983209</v>
      </c>
      <c r="T938" s="8">
        <f>480-ProductionData[[#This Row],[Downtime Minutes]]</f>
        <v>433</v>
      </c>
      <c r="U938" s="11">
        <f t="shared" si="134"/>
        <v>1</v>
      </c>
      <c r="V938" s="18">
        <f>ProductionData[[#This Row],[Profit]]/ProductionData[[#This Row],[Good Units]]</f>
        <v>26.139088729016787</v>
      </c>
      <c r="W938" s="11">
        <f>ProductionData[[#This Row],[Good Units]]/ProductionData[[#This Row],[Operating Minutes]]</f>
        <v>0.96304849884526555</v>
      </c>
    </row>
    <row r="939" spans="1:23">
      <c r="A939" s="7">
        <v>46308</v>
      </c>
      <c r="B939" s="8" t="s">
        <v>31</v>
      </c>
      <c r="C939" s="8" t="s">
        <v>20</v>
      </c>
      <c r="D939" s="8" t="s">
        <v>23</v>
      </c>
      <c r="E939" s="8" t="s">
        <v>24</v>
      </c>
      <c r="F939" s="9">
        <v>400</v>
      </c>
      <c r="G939" s="9">
        <v>377</v>
      </c>
      <c r="H939" s="9">
        <v>11</v>
      </c>
      <c r="I939" s="9">
        <f t="shared" si="126"/>
        <v>366</v>
      </c>
      <c r="J939" s="9">
        <v>46</v>
      </c>
      <c r="K939" s="10">
        <f t="shared" si="127"/>
        <v>9.583333333333334E-2</v>
      </c>
      <c r="L939" s="17">
        <v>120</v>
      </c>
      <c r="M939" s="17">
        <v>30800</v>
      </c>
      <c r="N939" s="17">
        <f t="shared" si="128"/>
        <v>43920</v>
      </c>
      <c r="O939" s="17">
        <f t="shared" si="129"/>
        <v>13120</v>
      </c>
      <c r="P939" s="10">
        <f t="shared" si="130"/>
        <v>0.9425</v>
      </c>
      <c r="Q939" s="10">
        <f t="shared" si="131"/>
        <v>2.9177718832891247E-2</v>
      </c>
      <c r="R939" s="10">
        <f t="shared" si="132"/>
        <v>0.2987249544626594</v>
      </c>
      <c r="S939" s="18">
        <f t="shared" si="133"/>
        <v>84.15300546448087</v>
      </c>
      <c r="T939" s="8">
        <f>480-ProductionData[[#This Row],[Downtime Minutes]]</f>
        <v>434</v>
      </c>
      <c r="U939" s="11">
        <f t="shared" si="134"/>
        <v>0.86866359447004604</v>
      </c>
      <c r="V939" s="18">
        <f>ProductionData[[#This Row],[Profit]]/ProductionData[[#This Row],[Good Units]]</f>
        <v>35.846994535519123</v>
      </c>
      <c r="W939" s="11">
        <f>ProductionData[[#This Row],[Good Units]]/ProductionData[[#This Row],[Operating Minutes]]</f>
        <v>0.84331797235023043</v>
      </c>
    </row>
    <row r="940" spans="1:23">
      <c r="A940" s="7">
        <v>46308</v>
      </c>
      <c r="B940" s="8" t="s">
        <v>31</v>
      </c>
      <c r="C940" s="8" t="s">
        <v>20</v>
      </c>
      <c r="D940" s="8" t="s">
        <v>25</v>
      </c>
      <c r="E940" s="8" t="s">
        <v>26</v>
      </c>
      <c r="F940" s="9">
        <v>490</v>
      </c>
      <c r="G940" s="9">
        <v>435</v>
      </c>
      <c r="H940" s="9">
        <v>20</v>
      </c>
      <c r="I940" s="9">
        <f t="shared" si="126"/>
        <v>415</v>
      </c>
      <c r="J940" s="9">
        <v>42</v>
      </c>
      <c r="K940" s="10">
        <f t="shared" si="127"/>
        <v>8.7499999999999994E-2</v>
      </c>
      <c r="L940" s="17">
        <v>90</v>
      </c>
      <c r="M940" s="17">
        <v>30800</v>
      </c>
      <c r="N940" s="17">
        <f t="shared" si="128"/>
        <v>37350</v>
      </c>
      <c r="O940" s="17">
        <f t="shared" si="129"/>
        <v>6550</v>
      </c>
      <c r="P940" s="10">
        <f t="shared" si="130"/>
        <v>0.88775510204081631</v>
      </c>
      <c r="Q940" s="10">
        <f t="shared" si="131"/>
        <v>4.5977011494252873E-2</v>
      </c>
      <c r="R940" s="10">
        <f t="shared" si="132"/>
        <v>0.1753681392235609</v>
      </c>
      <c r="S940" s="18">
        <f t="shared" si="133"/>
        <v>74.216867469879517</v>
      </c>
      <c r="T940" s="8">
        <f>480-ProductionData[[#This Row],[Downtime Minutes]]</f>
        <v>438</v>
      </c>
      <c r="U940" s="11">
        <f t="shared" si="134"/>
        <v>0.99315068493150682</v>
      </c>
      <c r="V940" s="18">
        <f>ProductionData[[#This Row],[Profit]]/ProductionData[[#This Row],[Good Units]]</f>
        <v>15.783132530120483</v>
      </c>
      <c r="W940" s="11">
        <f>ProductionData[[#This Row],[Good Units]]/ProductionData[[#This Row],[Operating Minutes]]</f>
        <v>0.94748858447488582</v>
      </c>
    </row>
    <row r="941" spans="1:23">
      <c r="A941" s="7">
        <v>46308</v>
      </c>
      <c r="B941" s="8" t="s">
        <v>31</v>
      </c>
      <c r="C941" s="8" t="s">
        <v>27</v>
      </c>
      <c r="D941" s="8" t="s">
        <v>21</v>
      </c>
      <c r="E941" s="8" t="s">
        <v>24</v>
      </c>
      <c r="F941" s="9">
        <v>400</v>
      </c>
      <c r="G941" s="9">
        <v>366</v>
      </c>
      <c r="H941" s="9">
        <v>16</v>
      </c>
      <c r="I941" s="9">
        <f t="shared" si="126"/>
        <v>350</v>
      </c>
      <c r="J941" s="9">
        <v>56</v>
      </c>
      <c r="K941" s="10">
        <f t="shared" si="127"/>
        <v>0.11666666666666667</v>
      </c>
      <c r="L941" s="17">
        <v>120</v>
      </c>
      <c r="M941" s="17">
        <v>30800</v>
      </c>
      <c r="N941" s="17">
        <f t="shared" si="128"/>
        <v>42000</v>
      </c>
      <c r="O941" s="17">
        <f t="shared" si="129"/>
        <v>11200</v>
      </c>
      <c r="P941" s="10">
        <f t="shared" si="130"/>
        <v>0.91500000000000004</v>
      </c>
      <c r="Q941" s="10">
        <f t="shared" si="131"/>
        <v>4.3715846994535519E-2</v>
      </c>
      <c r="R941" s="10">
        <f t="shared" si="132"/>
        <v>0.26666666666666666</v>
      </c>
      <c r="S941" s="18">
        <f t="shared" si="133"/>
        <v>88</v>
      </c>
      <c r="T941" s="8">
        <f>480-ProductionData[[#This Row],[Downtime Minutes]]</f>
        <v>424</v>
      </c>
      <c r="U941" s="11">
        <f t="shared" si="134"/>
        <v>0.8632075471698113</v>
      </c>
      <c r="V941" s="18">
        <f>ProductionData[[#This Row],[Profit]]/ProductionData[[#This Row],[Good Units]]</f>
        <v>32</v>
      </c>
      <c r="W941" s="11">
        <f>ProductionData[[#This Row],[Good Units]]/ProductionData[[#This Row],[Operating Minutes]]</f>
        <v>0.82547169811320753</v>
      </c>
    </row>
    <row r="942" spans="1:23">
      <c r="A942" s="7">
        <v>46308</v>
      </c>
      <c r="B942" s="8" t="s">
        <v>31</v>
      </c>
      <c r="C942" s="8" t="s">
        <v>27</v>
      </c>
      <c r="D942" s="8" t="s">
        <v>23</v>
      </c>
      <c r="E942" s="8" t="s">
        <v>26</v>
      </c>
      <c r="F942" s="9">
        <v>520</v>
      </c>
      <c r="G942" s="9">
        <v>453</v>
      </c>
      <c r="H942" s="9">
        <v>23</v>
      </c>
      <c r="I942" s="9">
        <f t="shared" si="126"/>
        <v>430</v>
      </c>
      <c r="J942" s="9">
        <v>50</v>
      </c>
      <c r="K942" s="10">
        <f t="shared" si="127"/>
        <v>0.10416666666666667</v>
      </c>
      <c r="L942" s="17">
        <v>90</v>
      </c>
      <c r="M942" s="17">
        <v>30800</v>
      </c>
      <c r="N942" s="17">
        <f t="shared" si="128"/>
        <v>38700</v>
      </c>
      <c r="O942" s="17">
        <f t="shared" si="129"/>
        <v>7900</v>
      </c>
      <c r="P942" s="10">
        <f t="shared" si="130"/>
        <v>0.87115384615384617</v>
      </c>
      <c r="Q942" s="10">
        <f t="shared" si="131"/>
        <v>5.0772626931567331E-2</v>
      </c>
      <c r="R942" s="10">
        <f t="shared" si="132"/>
        <v>0.20413436692506459</v>
      </c>
      <c r="S942" s="18">
        <f t="shared" si="133"/>
        <v>71.627906976744185</v>
      </c>
      <c r="T942" s="8">
        <f>480-ProductionData[[#This Row],[Downtime Minutes]]</f>
        <v>430</v>
      </c>
      <c r="U942" s="11">
        <f t="shared" si="134"/>
        <v>1.0534883720930233</v>
      </c>
      <c r="V942" s="18">
        <f>ProductionData[[#This Row],[Profit]]/ProductionData[[#This Row],[Good Units]]</f>
        <v>18.372093023255815</v>
      </c>
      <c r="W942" s="11">
        <f>ProductionData[[#This Row],[Good Units]]/ProductionData[[#This Row],[Operating Minutes]]</f>
        <v>1</v>
      </c>
    </row>
    <row r="943" spans="1:23">
      <c r="A943" s="7">
        <v>46308</v>
      </c>
      <c r="B943" s="8" t="s">
        <v>31</v>
      </c>
      <c r="C943" s="8" t="s">
        <v>27</v>
      </c>
      <c r="D943" s="8" t="s">
        <v>25</v>
      </c>
      <c r="E943" s="8" t="s">
        <v>22</v>
      </c>
      <c r="F943" s="9">
        <v>460</v>
      </c>
      <c r="G943" s="9">
        <v>395</v>
      </c>
      <c r="H943" s="9">
        <v>28</v>
      </c>
      <c r="I943" s="9">
        <f t="shared" si="126"/>
        <v>367</v>
      </c>
      <c r="J943" s="9">
        <v>54</v>
      </c>
      <c r="K943" s="10">
        <f t="shared" si="127"/>
        <v>0.1125</v>
      </c>
      <c r="L943" s="17">
        <v>100</v>
      </c>
      <c r="M943" s="17">
        <v>30800</v>
      </c>
      <c r="N943" s="17">
        <f t="shared" si="128"/>
        <v>36700</v>
      </c>
      <c r="O943" s="17">
        <f t="shared" si="129"/>
        <v>5900</v>
      </c>
      <c r="P943" s="10">
        <f t="shared" si="130"/>
        <v>0.85869565217391308</v>
      </c>
      <c r="Q943" s="10">
        <f t="shared" si="131"/>
        <v>7.0886075949367092E-2</v>
      </c>
      <c r="R943" s="10">
        <f t="shared" si="132"/>
        <v>0.16076294277929154</v>
      </c>
      <c r="S943" s="18">
        <f t="shared" si="133"/>
        <v>83.923705722070849</v>
      </c>
      <c r="T943" s="8">
        <f>480-ProductionData[[#This Row],[Downtime Minutes]]</f>
        <v>426</v>
      </c>
      <c r="U943" s="11">
        <f t="shared" si="134"/>
        <v>0.92723004694835676</v>
      </c>
      <c r="V943" s="18">
        <f>ProductionData[[#This Row],[Profit]]/ProductionData[[#This Row],[Good Units]]</f>
        <v>16.076294277929154</v>
      </c>
      <c r="W943" s="11">
        <f>ProductionData[[#This Row],[Good Units]]/ProductionData[[#This Row],[Operating Minutes]]</f>
        <v>0.86150234741784038</v>
      </c>
    </row>
    <row r="944" spans="1:23">
      <c r="A944" s="7">
        <v>46308</v>
      </c>
      <c r="B944" s="8" t="s">
        <v>31</v>
      </c>
      <c r="C944" s="8" t="s">
        <v>28</v>
      </c>
      <c r="D944" s="8" t="s">
        <v>21</v>
      </c>
      <c r="E944" s="8" t="s">
        <v>26</v>
      </c>
      <c r="F944" s="9">
        <v>520</v>
      </c>
      <c r="G944" s="9">
        <v>509</v>
      </c>
      <c r="H944" s="9">
        <v>15</v>
      </c>
      <c r="I944" s="9">
        <f t="shared" si="126"/>
        <v>494</v>
      </c>
      <c r="J944" s="9">
        <v>22</v>
      </c>
      <c r="K944" s="10">
        <f t="shared" si="127"/>
        <v>4.583333333333333E-2</v>
      </c>
      <c r="L944" s="17">
        <v>90</v>
      </c>
      <c r="M944" s="17">
        <v>30800</v>
      </c>
      <c r="N944" s="17">
        <f t="shared" si="128"/>
        <v>44460</v>
      </c>
      <c r="O944" s="17">
        <f t="shared" si="129"/>
        <v>13660</v>
      </c>
      <c r="P944" s="10">
        <f t="shared" si="130"/>
        <v>0.97884615384615381</v>
      </c>
      <c r="Q944" s="10">
        <f t="shared" si="131"/>
        <v>2.9469548133595286E-2</v>
      </c>
      <c r="R944" s="10">
        <f t="shared" si="132"/>
        <v>0.30724246513720199</v>
      </c>
      <c r="S944" s="18">
        <f t="shared" si="133"/>
        <v>62.348178137651821</v>
      </c>
      <c r="T944" s="8">
        <f>480-ProductionData[[#This Row],[Downtime Minutes]]</f>
        <v>458</v>
      </c>
      <c r="U944" s="11">
        <f t="shared" si="134"/>
        <v>1.1113537117903931</v>
      </c>
      <c r="V944" s="18">
        <f>ProductionData[[#This Row],[Profit]]/ProductionData[[#This Row],[Good Units]]</f>
        <v>27.651821862348179</v>
      </c>
      <c r="W944" s="11">
        <f>ProductionData[[#This Row],[Good Units]]/ProductionData[[#This Row],[Operating Minutes]]</f>
        <v>1.0786026200873362</v>
      </c>
    </row>
    <row r="945" spans="1:23">
      <c r="A945" s="7">
        <v>46308</v>
      </c>
      <c r="B945" s="8" t="s">
        <v>31</v>
      </c>
      <c r="C945" s="8" t="s">
        <v>28</v>
      </c>
      <c r="D945" s="8" t="s">
        <v>23</v>
      </c>
      <c r="E945" s="8" t="s">
        <v>22</v>
      </c>
      <c r="F945" s="9">
        <v>440</v>
      </c>
      <c r="G945" s="9">
        <v>437</v>
      </c>
      <c r="H945" s="9">
        <v>17</v>
      </c>
      <c r="I945" s="9">
        <f t="shared" si="126"/>
        <v>420</v>
      </c>
      <c r="J945" s="9">
        <v>41</v>
      </c>
      <c r="K945" s="10">
        <f t="shared" si="127"/>
        <v>8.5416666666666669E-2</v>
      </c>
      <c r="L945" s="17">
        <v>100</v>
      </c>
      <c r="M945" s="17">
        <v>30800</v>
      </c>
      <c r="N945" s="17">
        <f t="shared" si="128"/>
        <v>42000</v>
      </c>
      <c r="O945" s="17">
        <f t="shared" si="129"/>
        <v>11200</v>
      </c>
      <c r="P945" s="10">
        <f t="shared" si="130"/>
        <v>0.99318181818181817</v>
      </c>
      <c r="Q945" s="10">
        <f t="shared" si="131"/>
        <v>3.8901601830663615E-2</v>
      </c>
      <c r="R945" s="10">
        <f t="shared" si="132"/>
        <v>0.26666666666666666</v>
      </c>
      <c r="S945" s="18">
        <f t="shared" si="133"/>
        <v>73.333333333333329</v>
      </c>
      <c r="T945" s="8">
        <f>480-ProductionData[[#This Row],[Downtime Minutes]]</f>
        <v>439</v>
      </c>
      <c r="U945" s="11">
        <f t="shared" si="134"/>
        <v>0.99544419134396356</v>
      </c>
      <c r="V945" s="18">
        <f>ProductionData[[#This Row],[Profit]]/ProductionData[[#This Row],[Good Units]]</f>
        <v>26.666666666666668</v>
      </c>
      <c r="W945" s="11">
        <f>ProductionData[[#This Row],[Good Units]]/ProductionData[[#This Row],[Operating Minutes]]</f>
        <v>0.9567198177676538</v>
      </c>
    </row>
    <row r="946" spans="1:23">
      <c r="A946" s="7">
        <v>46308</v>
      </c>
      <c r="B946" s="8" t="s">
        <v>31</v>
      </c>
      <c r="C946" s="8" t="s">
        <v>28</v>
      </c>
      <c r="D946" s="8" t="s">
        <v>25</v>
      </c>
      <c r="E946" s="8" t="s">
        <v>24</v>
      </c>
      <c r="F946" s="9">
        <v>400</v>
      </c>
      <c r="G946" s="9">
        <v>372</v>
      </c>
      <c r="H946" s="9">
        <v>10</v>
      </c>
      <c r="I946" s="9">
        <f t="shared" si="126"/>
        <v>362</v>
      </c>
      <c r="J946" s="9">
        <v>28</v>
      </c>
      <c r="K946" s="10">
        <f t="shared" si="127"/>
        <v>5.8333333333333334E-2</v>
      </c>
      <c r="L946" s="17">
        <v>120</v>
      </c>
      <c r="M946" s="17">
        <v>30800</v>
      </c>
      <c r="N946" s="17">
        <f t="shared" si="128"/>
        <v>43440</v>
      </c>
      <c r="O946" s="17">
        <f t="shared" si="129"/>
        <v>12640</v>
      </c>
      <c r="P946" s="10">
        <f t="shared" si="130"/>
        <v>0.93</v>
      </c>
      <c r="Q946" s="10">
        <f t="shared" si="131"/>
        <v>2.6881720430107527E-2</v>
      </c>
      <c r="R946" s="10">
        <f t="shared" si="132"/>
        <v>0.29097605893186002</v>
      </c>
      <c r="S946" s="18">
        <f t="shared" si="133"/>
        <v>85.082872928176798</v>
      </c>
      <c r="T946" s="8">
        <f>480-ProductionData[[#This Row],[Downtime Minutes]]</f>
        <v>452</v>
      </c>
      <c r="U946" s="11">
        <f t="shared" si="134"/>
        <v>0.82300884955752207</v>
      </c>
      <c r="V946" s="18">
        <f>ProductionData[[#This Row],[Profit]]/ProductionData[[#This Row],[Good Units]]</f>
        <v>34.917127071823202</v>
      </c>
      <c r="W946" s="11">
        <f>ProductionData[[#This Row],[Good Units]]/ProductionData[[#This Row],[Operating Minutes]]</f>
        <v>0.80088495575221241</v>
      </c>
    </row>
    <row r="947" spans="1:23">
      <c r="A947" s="7">
        <v>46309</v>
      </c>
      <c r="B947" s="8" t="s">
        <v>31</v>
      </c>
      <c r="C947" s="8" t="s">
        <v>20</v>
      </c>
      <c r="D947" s="8" t="s">
        <v>21</v>
      </c>
      <c r="E947" s="8" t="s">
        <v>24</v>
      </c>
      <c r="F947" s="9">
        <v>400</v>
      </c>
      <c r="G947" s="9">
        <v>383</v>
      </c>
      <c r="H947" s="9">
        <v>11</v>
      </c>
      <c r="I947" s="9">
        <f t="shared" si="126"/>
        <v>372</v>
      </c>
      <c r="J947" s="9">
        <v>28</v>
      </c>
      <c r="K947" s="10">
        <f t="shared" si="127"/>
        <v>5.8333333333333334E-2</v>
      </c>
      <c r="L947" s="17">
        <v>120</v>
      </c>
      <c r="M947" s="17">
        <v>30800</v>
      </c>
      <c r="N947" s="17">
        <f t="shared" si="128"/>
        <v>44640</v>
      </c>
      <c r="O947" s="17">
        <f t="shared" si="129"/>
        <v>13840</v>
      </c>
      <c r="P947" s="10">
        <f t="shared" si="130"/>
        <v>0.95750000000000002</v>
      </c>
      <c r="Q947" s="10">
        <f t="shared" si="131"/>
        <v>2.8720626631853787E-2</v>
      </c>
      <c r="R947" s="10">
        <f t="shared" si="132"/>
        <v>0.31003584229390679</v>
      </c>
      <c r="S947" s="18">
        <f t="shared" si="133"/>
        <v>82.795698924731184</v>
      </c>
      <c r="T947" s="8">
        <f>480-ProductionData[[#This Row],[Downtime Minutes]]</f>
        <v>452</v>
      </c>
      <c r="U947" s="11">
        <f t="shared" si="134"/>
        <v>0.84734513274336287</v>
      </c>
      <c r="V947" s="18">
        <f>ProductionData[[#This Row],[Profit]]/ProductionData[[#This Row],[Good Units]]</f>
        <v>37.204301075268816</v>
      </c>
      <c r="W947" s="11">
        <f>ProductionData[[#This Row],[Good Units]]/ProductionData[[#This Row],[Operating Minutes]]</f>
        <v>0.82300884955752207</v>
      </c>
    </row>
    <row r="948" spans="1:23">
      <c r="A948" s="7">
        <v>46309</v>
      </c>
      <c r="B948" s="8" t="s">
        <v>31</v>
      </c>
      <c r="C948" s="8" t="s">
        <v>20</v>
      </c>
      <c r="D948" s="8" t="s">
        <v>23</v>
      </c>
      <c r="E948" s="8" t="s">
        <v>26</v>
      </c>
      <c r="F948" s="9">
        <v>510</v>
      </c>
      <c r="G948" s="9">
        <v>496</v>
      </c>
      <c r="H948" s="9">
        <v>21</v>
      </c>
      <c r="I948" s="9">
        <f t="shared" si="126"/>
        <v>475</v>
      </c>
      <c r="J948" s="9">
        <v>38</v>
      </c>
      <c r="K948" s="10">
        <f t="shared" si="127"/>
        <v>7.9166666666666663E-2</v>
      </c>
      <c r="L948" s="17">
        <v>90</v>
      </c>
      <c r="M948" s="17">
        <v>30800</v>
      </c>
      <c r="N948" s="17">
        <f t="shared" si="128"/>
        <v>42750</v>
      </c>
      <c r="O948" s="17">
        <f t="shared" si="129"/>
        <v>11950</v>
      </c>
      <c r="P948" s="10">
        <f t="shared" si="130"/>
        <v>0.97254901960784312</v>
      </c>
      <c r="Q948" s="10">
        <f t="shared" si="131"/>
        <v>4.2338709677419352E-2</v>
      </c>
      <c r="R948" s="10">
        <f t="shared" si="132"/>
        <v>0.27953216374269008</v>
      </c>
      <c r="S948" s="18">
        <f t="shared" si="133"/>
        <v>64.84210526315789</v>
      </c>
      <c r="T948" s="8">
        <f>480-ProductionData[[#This Row],[Downtime Minutes]]</f>
        <v>442</v>
      </c>
      <c r="U948" s="11">
        <f t="shared" si="134"/>
        <v>1.1221719457013575</v>
      </c>
      <c r="V948" s="18">
        <f>ProductionData[[#This Row],[Profit]]/ProductionData[[#This Row],[Good Units]]</f>
        <v>25.157894736842106</v>
      </c>
      <c r="W948" s="11">
        <f>ProductionData[[#This Row],[Good Units]]/ProductionData[[#This Row],[Operating Minutes]]</f>
        <v>1.0746606334841629</v>
      </c>
    </row>
    <row r="949" spans="1:23">
      <c r="A949" s="7">
        <v>46309</v>
      </c>
      <c r="B949" s="8" t="s">
        <v>31</v>
      </c>
      <c r="C949" s="8" t="s">
        <v>20</v>
      </c>
      <c r="D949" s="8" t="s">
        <v>25</v>
      </c>
      <c r="E949" s="8" t="s">
        <v>22</v>
      </c>
      <c r="F949" s="9">
        <v>460</v>
      </c>
      <c r="G949" s="9">
        <v>433</v>
      </c>
      <c r="H949" s="9">
        <v>25</v>
      </c>
      <c r="I949" s="9">
        <f t="shared" si="126"/>
        <v>408</v>
      </c>
      <c r="J949" s="9">
        <v>60</v>
      </c>
      <c r="K949" s="10">
        <f t="shared" si="127"/>
        <v>0.125</v>
      </c>
      <c r="L949" s="17">
        <v>100</v>
      </c>
      <c r="M949" s="17">
        <v>30800</v>
      </c>
      <c r="N949" s="17">
        <f t="shared" si="128"/>
        <v>40800</v>
      </c>
      <c r="O949" s="17">
        <f t="shared" si="129"/>
        <v>10000</v>
      </c>
      <c r="P949" s="10">
        <f t="shared" si="130"/>
        <v>0.94130434782608696</v>
      </c>
      <c r="Q949" s="10">
        <f t="shared" si="131"/>
        <v>5.7736720554272515E-2</v>
      </c>
      <c r="R949" s="10">
        <f t="shared" si="132"/>
        <v>0.24509803921568626</v>
      </c>
      <c r="S949" s="18">
        <f t="shared" si="133"/>
        <v>75.490196078431367</v>
      </c>
      <c r="T949" s="8">
        <f>480-ProductionData[[#This Row],[Downtime Minutes]]</f>
        <v>420</v>
      </c>
      <c r="U949" s="11">
        <f t="shared" si="134"/>
        <v>1.0309523809523808</v>
      </c>
      <c r="V949" s="18">
        <f>ProductionData[[#This Row],[Profit]]/ProductionData[[#This Row],[Good Units]]</f>
        <v>24.509803921568629</v>
      </c>
      <c r="W949" s="11">
        <f>ProductionData[[#This Row],[Good Units]]/ProductionData[[#This Row],[Operating Minutes]]</f>
        <v>0.97142857142857142</v>
      </c>
    </row>
    <row r="950" spans="1:23">
      <c r="A950" s="7">
        <v>46309</v>
      </c>
      <c r="B950" s="8" t="s">
        <v>31</v>
      </c>
      <c r="C950" s="8" t="s">
        <v>27</v>
      </c>
      <c r="D950" s="8" t="s">
        <v>21</v>
      </c>
      <c r="E950" s="8" t="s">
        <v>26</v>
      </c>
      <c r="F950" s="9">
        <v>510</v>
      </c>
      <c r="G950" s="9">
        <v>475</v>
      </c>
      <c r="H950" s="9">
        <v>23</v>
      </c>
      <c r="I950" s="9">
        <f t="shared" si="126"/>
        <v>452</v>
      </c>
      <c r="J950" s="9">
        <v>45</v>
      </c>
      <c r="K950" s="10">
        <f t="shared" si="127"/>
        <v>9.375E-2</v>
      </c>
      <c r="L950" s="17">
        <v>90</v>
      </c>
      <c r="M950" s="17">
        <v>30800</v>
      </c>
      <c r="N950" s="17">
        <f t="shared" si="128"/>
        <v>40680</v>
      </c>
      <c r="O950" s="17">
        <f t="shared" si="129"/>
        <v>9880</v>
      </c>
      <c r="P950" s="10">
        <f t="shared" si="130"/>
        <v>0.93137254901960786</v>
      </c>
      <c r="Q950" s="10">
        <f t="shared" si="131"/>
        <v>4.8421052631578948E-2</v>
      </c>
      <c r="R950" s="10">
        <f t="shared" si="132"/>
        <v>0.24287118977384464</v>
      </c>
      <c r="S950" s="18">
        <f t="shared" si="133"/>
        <v>68.141592920353986</v>
      </c>
      <c r="T950" s="8">
        <f>480-ProductionData[[#This Row],[Downtime Minutes]]</f>
        <v>435</v>
      </c>
      <c r="U950" s="11">
        <f t="shared" si="134"/>
        <v>1.0919540229885059</v>
      </c>
      <c r="V950" s="18">
        <f>ProductionData[[#This Row],[Profit]]/ProductionData[[#This Row],[Good Units]]</f>
        <v>21.858407079646017</v>
      </c>
      <c r="W950" s="11">
        <f>ProductionData[[#This Row],[Good Units]]/ProductionData[[#This Row],[Operating Minutes]]</f>
        <v>1.0390804597701149</v>
      </c>
    </row>
    <row r="951" spans="1:23">
      <c r="A951" s="7">
        <v>46309</v>
      </c>
      <c r="B951" s="8" t="s">
        <v>31</v>
      </c>
      <c r="C951" s="8" t="s">
        <v>27</v>
      </c>
      <c r="D951" s="8" t="s">
        <v>23</v>
      </c>
      <c r="E951" s="8" t="s">
        <v>22</v>
      </c>
      <c r="F951" s="9">
        <v>460</v>
      </c>
      <c r="G951" s="9">
        <v>411</v>
      </c>
      <c r="H951" s="9">
        <v>26</v>
      </c>
      <c r="I951" s="9">
        <f t="shared" si="126"/>
        <v>385</v>
      </c>
      <c r="J951" s="9">
        <v>60</v>
      </c>
      <c r="K951" s="10">
        <f t="shared" si="127"/>
        <v>0.125</v>
      </c>
      <c r="L951" s="17">
        <v>100</v>
      </c>
      <c r="M951" s="17">
        <v>30800</v>
      </c>
      <c r="N951" s="17">
        <f t="shared" si="128"/>
        <v>38500</v>
      </c>
      <c r="O951" s="17">
        <f t="shared" si="129"/>
        <v>7700</v>
      </c>
      <c r="P951" s="10">
        <f t="shared" si="130"/>
        <v>0.89347826086956517</v>
      </c>
      <c r="Q951" s="10">
        <f t="shared" si="131"/>
        <v>6.3260340632603412E-2</v>
      </c>
      <c r="R951" s="10">
        <f t="shared" si="132"/>
        <v>0.2</v>
      </c>
      <c r="S951" s="18">
        <f t="shared" si="133"/>
        <v>80</v>
      </c>
      <c r="T951" s="8">
        <f>480-ProductionData[[#This Row],[Downtime Minutes]]</f>
        <v>420</v>
      </c>
      <c r="U951" s="11">
        <f t="shared" si="134"/>
        <v>0.97857142857142854</v>
      </c>
      <c r="V951" s="18">
        <f>ProductionData[[#This Row],[Profit]]/ProductionData[[#This Row],[Good Units]]</f>
        <v>20</v>
      </c>
      <c r="W951" s="11">
        <f>ProductionData[[#This Row],[Good Units]]/ProductionData[[#This Row],[Operating Minutes]]</f>
        <v>0.91666666666666663</v>
      </c>
    </row>
    <row r="952" spans="1:23">
      <c r="A952" s="7">
        <v>46309</v>
      </c>
      <c r="B952" s="8" t="s">
        <v>31</v>
      </c>
      <c r="C952" s="8" t="s">
        <v>27</v>
      </c>
      <c r="D952" s="8" t="s">
        <v>25</v>
      </c>
      <c r="E952" s="8" t="s">
        <v>24</v>
      </c>
      <c r="F952" s="9">
        <v>410</v>
      </c>
      <c r="G952" s="9">
        <v>348</v>
      </c>
      <c r="H952" s="9">
        <v>22</v>
      </c>
      <c r="I952" s="9">
        <f t="shared" si="126"/>
        <v>326</v>
      </c>
      <c r="J952" s="9">
        <v>59</v>
      </c>
      <c r="K952" s="10">
        <f t="shared" si="127"/>
        <v>0.12291666666666666</v>
      </c>
      <c r="L952" s="17">
        <v>120</v>
      </c>
      <c r="M952" s="17">
        <v>30800</v>
      </c>
      <c r="N952" s="17">
        <f t="shared" si="128"/>
        <v>39120</v>
      </c>
      <c r="O952" s="17">
        <f t="shared" si="129"/>
        <v>8320</v>
      </c>
      <c r="P952" s="10">
        <f t="shared" si="130"/>
        <v>0.84878048780487803</v>
      </c>
      <c r="Q952" s="10">
        <f t="shared" si="131"/>
        <v>6.3218390804597707E-2</v>
      </c>
      <c r="R952" s="10">
        <f t="shared" si="132"/>
        <v>0.21267893660531698</v>
      </c>
      <c r="S952" s="18">
        <f t="shared" si="133"/>
        <v>94.478527607361968</v>
      </c>
      <c r="T952" s="8">
        <f>480-ProductionData[[#This Row],[Downtime Minutes]]</f>
        <v>421</v>
      </c>
      <c r="U952" s="11">
        <f t="shared" si="134"/>
        <v>0.82660332541567694</v>
      </c>
      <c r="V952" s="18">
        <f>ProductionData[[#This Row],[Profit]]/ProductionData[[#This Row],[Good Units]]</f>
        <v>25.521472392638035</v>
      </c>
      <c r="W952" s="11">
        <f>ProductionData[[#This Row],[Good Units]]/ProductionData[[#This Row],[Operating Minutes]]</f>
        <v>0.77434679334916867</v>
      </c>
    </row>
    <row r="953" spans="1:23">
      <c r="A953" s="7">
        <v>46309</v>
      </c>
      <c r="B953" s="8" t="s">
        <v>31</v>
      </c>
      <c r="C953" s="8" t="s">
        <v>28</v>
      </c>
      <c r="D953" s="8" t="s">
        <v>21</v>
      </c>
      <c r="E953" s="8" t="s">
        <v>22</v>
      </c>
      <c r="F953" s="9">
        <v>470</v>
      </c>
      <c r="G953" s="9">
        <v>458</v>
      </c>
      <c r="H953" s="9">
        <v>14</v>
      </c>
      <c r="I953" s="9">
        <f t="shared" si="126"/>
        <v>444</v>
      </c>
      <c r="J953" s="9">
        <v>23</v>
      </c>
      <c r="K953" s="10">
        <f t="shared" si="127"/>
        <v>4.791666666666667E-2</v>
      </c>
      <c r="L953" s="17">
        <v>100</v>
      </c>
      <c r="M953" s="17">
        <v>30800</v>
      </c>
      <c r="N953" s="17">
        <f t="shared" si="128"/>
        <v>44400</v>
      </c>
      <c r="O953" s="17">
        <f t="shared" si="129"/>
        <v>13600</v>
      </c>
      <c r="P953" s="10">
        <f t="shared" si="130"/>
        <v>0.97446808510638294</v>
      </c>
      <c r="Q953" s="10">
        <f t="shared" si="131"/>
        <v>3.0567685589519649E-2</v>
      </c>
      <c r="R953" s="10">
        <f t="shared" si="132"/>
        <v>0.30630630630630629</v>
      </c>
      <c r="S953" s="18">
        <f t="shared" si="133"/>
        <v>69.369369369369366</v>
      </c>
      <c r="T953" s="8">
        <f>480-ProductionData[[#This Row],[Downtime Minutes]]</f>
        <v>457</v>
      </c>
      <c r="U953" s="11">
        <f t="shared" si="134"/>
        <v>1.0021881838074398</v>
      </c>
      <c r="V953" s="18">
        <f>ProductionData[[#This Row],[Profit]]/ProductionData[[#This Row],[Good Units]]</f>
        <v>30.63063063063063</v>
      </c>
      <c r="W953" s="11">
        <f>ProductionData[[#This Row],[Good Units]]/ProductionData[[#This Row],[Operating Minutes]]</f>
        <v>0.97155361050328226</v>
      </c>
    </row>
    <row r="954" spans="1:23">
      <c r="A954" s="7">
        <v>46309</v>
      </c>
      <c r="B954" s="8" t="s">
        <v>31</v>
      </c>
      <c r="C954" s="8" t="s">
        <v>28</v>
      </c>
      <c r="D954" s="8" t="s">
        <v>23</v>
      </c>
      <c r="E954" s="8" t="s">
        <v>24</v>
      </c>
      <c r="F954" s="9">
        <v>390</v>
      </c>
      <c r="G954" s="9">
        <v>374</v>
      </c>
      <c r="H954" s="9">
        <v>12</v>
      </c>
      <c r="I954" s="9">
        <f t="shared" si="126"/>
        <v>362</v>
      </c>
      <c r="J954" s="9">
        <v>27</v>
      </c>
      <c r="K954" s="10">
        <f t="shared" si="127"/>
        <v>5.6250000000000001E-2</v>
      </c>
      <c r="L954" s="17">
        <v>120</v>
      </c>
      <c r="M954" s="17">
        <v>30800</v>
      </c>
      <c r="N954" s="17">
        <f t="shared" si="128"/>
        <v>43440</v>
      </c>
      <c r="O954" s="17">
        <f t="shared" si="129"/>
        <v>12640</v>
      </c>
      <c r="P954" s="10">
        <f t="shared" si="130"/>
        <v>0.95897435897435901</v>
      </c>
      <c r="Q954" s="10">
        <f t="shared" si="131"/>
        <v>3.2085561497326207E-2</v>
      </c>
      <c r="R954" s="10">
        <f t="shared" si="132"/>
        <v>0.29097605893186002</v>
      </c>
      <c r="S954" s="18">
        <f t="shared" si="133"/>
        <v>85.082872928176798</v>
      </c>
      <c r="T954" s="8">
        <f>480-ProductionData[[#This Row],[Downtime Minutes]]</f>
        <v>453</v>
      </c>
      <c r="U954" s="11">
        <f t="shared" si="134"/>
        <v>0.82560706401766004</v>
      </c>
      <c r="V954" s="18">
        <f>ProductionData[[#This Row],[Profit]]/ProductionData[[#This Row],[Good Units]]</f>
        <v>34.917127071823202</v>
      </c>
      <c r="W954" s="11">
        <f>ProductionData[[#This Row],[Good Units]]/ProductionData[[#This Row],[Operating Minutes]]</f>
        <v>0.79911699779249445</v>
      </c>
    </row>
    <row r="955" spans="1:23">
      <c r="A955" s="7">
        <v>46309</v>
      </c>
      <c r="B955" s="8" t="s">
        <v>31</v>
      </c>
      <c r="C955" s="8" t="s">
        <v>28</v>
      </c>
      <c r="D955" s="8" t="s">
        <v>25</v>
      </c>
      <c r="E955" s="8" t="s">
        <v>26</v>
      </c>
      <c r="F955" s="9">
        <v>500</v>
      </c>
      <c r="G955" s="9">
        <v>458</v>
      </c>
      <c r="H955" s="9">
        <v>16</v>
      </c>
      <c r="I955" s="9">
        <f t="shared" si="126"/>
        <v>442</v>
      </c>
      <c r="J955" s="9">
        <v>24</v>
      </c>
      <c r="K955" s="10">
        <f t="shared" si="127"/>
        <v>0.05</v>
      </c>
      <c r="L955" s="17">
        <v>90</v>
      </c>
      <c r="M955" s="17">
        <v>30800</v>
      </c>
      <c r="N955" s="17">
        <f t="shared" si="128"/>
        <v>39780</v>
      </c>
      <c r="O955" s="17">
        <f t="shared" si="129"/>
        <v>8980</v>
      </c>
      <c r="P955" s="10">
        <f t="shared" si="130"/>
        <v>0.91600000000000004</v>
      </c>
      <c r="Q955" s="10">
        <f t="shared" si="131"/>
        <v>3.4934497816593885E-2</v>
      </c>
      <c r="R955" s="10">
        <f t="shared" si="132"/>
        <v>0.22574157868275516</v>
      </c>
      <c r="S955" s="18">
        <f t="shared" si="133"/>
        <v>69.68325791855203</v>
      </c>
      <c r="T955" s="8">
        <f>480-ProductionData[[#This Row],[Downtime Minutes]]</f>
        <v>456</v>
      </c>
      <c r="U955" s="11">
        <f t="shared" si="134"/>
        <v>1.0043859649122806</v>
      </c>
      <c r="V955" s="18">
        <f>ProductionData[[#This Row],[Profit]]/ProductionData[[#This Row],[Good Units]]</f>
        <v>20.316742081447963</v>
      </c>
      <c r="W955" s="11">
        <f>ProductionData[[#This Row],[Good Units]]/ProductionData[[#This Row],[Operating Minutes]]</f>
        <v>0.9692982456140351</v>
      </c>
    </row>
    <row r="956" spans="1:23">
      <c r="A956" s="7">
        <v>46310</v>
      </c>
      <c r="B956" s="8" t="s">
        <v>31</v>
      </c>
      <c r="C956" s="8" t="s">
        <v>20</v>
      </c>
      <c r="D956" s="8" t="s">
        <v>21</v>
      </c>
      <c r="E956" s="8" t="s">
        <v>26</v>
      </c>
      <c r="F956" s="9">
        <v>490</v>
      </c>
      <c r="G956" s="9">
        <v>480</v>
      </c>
      <c r="H956" s="9">
        <v>17</v>
      </c>
      <c r="I956" s="9">
        <f t="shared" si="126"/>
        <v>463</v>
      </c>
      <c r="J956" s="9">
        <v>19</v>
      </c>
      <c r="K956" s="10">
        <f t="shared" si="127"/>
        <v>3.9583333333333331E-2</v>
      </c>
      <c r="L956" s="17">
        <v>90</v>
      </c>
      <c r="M956" s="17">
        <v>30800</v>
      </c>
      <c r="N956" s="17">
        <f t="shared" si="128"/>
        <v>41670</v>
      </c>
      <c r="O956" s="17">
        <f t="shared" si="129"/>
        <v>10870</v>
      </c>
      <c r="P956" s="10">
        <f t="shared" si="130"/>
        <v>0.97959183673469385</v>
      </c>
      <c r="Q956" s="10">
        <f t="shared" si="131"/>
        <v>3.5416666666666666E-2</v>
      </c>
      <c r="R956" s="10">
        <f t="shared" si="132"/>
        <v>0.26085913126949845</v>
      </c>
      <c r="S956" s="18">
        <f t="shared" si="133"/>
        <v>66.522678185745136</v>
      </c>
      <c r="T956" s="8">
        <f>480-ProductionData[[#This Row],[Downtime Minutes]]</f>
        <v>461</v>
      </c>
      <c r="U956" s="11">
        <f t="shared" si="134"/>
        <v>1.0412147505422993</v>
      </c>
      <c r="V956" s="18">
        <f>ProductionData[[#This Row],[Profit]]/ProductionData[[#This Row],[Good Units]]</f>
        <v>23.477321814254861</v>
      </c>
      <c r="W956" s="11">
        <f>ProductionData[[#This Row],[Good Units]]/ProductionData[[#This Row],[Operating Minutes]]</f>
        <v>1.0043383947939262</v>
      </c>
    </row>
    <row r="957" spans="1:23">
      <c r="A957" s="7">
        <v>46310</v>
      </c>
      <c r="B957" s="8" t="s">
        <v>31</v>
      </c>
      <c r="C957" s="8" t="s">
        <v>20</v>
      </c>
      <c r="D957" s="8" t="s">
        <v>23</v>
      </c>
      <c r="E957" s="8" t="s">
        <v>22</v>
      </c>
      <c r="F957" s="9">
        <v>460</v>
      </c>
      <c r="G957" s="9">
        <v>427</v>
      </c>
      <c r="H957" s="9">
        <v>19</v>
      </c>
      <c r="I957" s="9">
        <f t="shared" si="126"/>
        <v>408</v>
      </c>
      <c r="J957" s="9">
        <v>38</v>
      </c>
      <c r="K957" s="10">
        <f t="shared" si="127"/>
        <v>7.9166666666666663E-2</v>
      </c>
      <c r="L957" s="17">
        <v>100</v>
      </c>
      <c r="M957" s="17">
        <v>30800</v>
      </c>
      <c r="N957" s="17">
        <f t="shared" si="128"/>
        <v>40800</v>
      </c>
      <c r="O957" s="17">
        <f t="shared" si="129"/>
        <v>10000</v>
      </c>
      <c r="P957" s="10">
        <f t="shared" si="130"/>
        <v>0.92826086956521736</v>
      </c>
      <c r="Q957" s="10">
        <f t="shared" si="131"/>
        <v>4.449648711943794E-2</v>
      </c>
      <c r="R957" s="10">
        <f t="shared" si="132"/>
        <v>0.24509803921568626</v>
      </c>
      <c r="S957" s="18">
        <f t="shared" si="133"/>
        <v>75.490196078431367</v>
      </c>
      <c r="T957" s="8">
        <f>480-ProductionData[[#This Row],[Downtime Minutes]]</f>
        <v>442</v>
      </c>
      <c r="U957" s="11">
        <f t="shared" si="134"/>
        <v>0.9660633484162896</v>
      </c>
      <c r="V957" s="18">
        <f>ProductionData[[#This Row],[Profit]]/ProductionData[[#This Row],[Good Units]]</f>
        <v>24.509803921568629</v>
      </c>
      <c r="W957" s="11">
        <f>ProductionData[[#This Row],[Good Units]]/ProductionData[[#This Row],[Operating Minutes]]</f>
        <v>0.92307692307692313</v>
      </c>
    </row>
    <row r="958" spans="1:23">
      <c r="A958" s="7">
        <v>46310</v>
      </c>
      <c r="B958" s="8" t="s">
        <v>31</v>
      </c>
      <c r="C958" s="8" t="s">
        <v>20</v>
      </c>
      <c r="D958" s="8" t="s">
        <v>25</v>
      </c>
      <c r="E958" s="8" t="s">
        <v>24</v>
      </c>
      <c r="F958" s="9">
        <v>390</v>
      </c>
      <c r="G958" s="9">
        <v>364</v>
      </c>
      <c r="H958" s="9">
        <v>17</v>
      </c>
      <c r="I958" s="9">
        <f t="shared" si="126"/>
        <v>347</v>
      </c>
      <c r="J958" s="9">
        <v>42</v>
      </c>
      <c r="K958" s="10">
        <f t="shared" si="127"/>
        <v>8.7499999999999994E-2</v>
      </c>
      <c r="L958" s="17">
        <v>120</v>
      </c>
      <c r="M958" s="17">
        <v>30800</v>
      </c>
      <c r="N958" s="17">
        <f t="shared" si="128"/>
        <v>41640</v>
      </c>
      <c r="O958" s="17">
        <f t="shared" si="129"/>
        <v>10840</v>
      </c>
      <c r="P958" s="10">
        <f t="shared" si="130"/>
        <v>0.93333333333333335</v>
      </c>
      <c r="Q958" s="10">
        <f t="shared" si="131"/>
        <v>4.6703296703296704E-2</v>
      </c>
      <c r="R958" s="10">
        <f t="shared" si="132"/>
        <v>0.26032660902977905</v>
      </c>
      <c r="S958" s="18">
        <f t="shared" si="133"/>
        <v>88.760806916426517</v>
      </c>
      <c r="T958" s="8">
        <f>480-ProductionData[[#This Row],[Downtime Minutes]]</f>
        <v>438</v>
      </c>
      <c r="U958" s="11">
        <f t="shared" si="134"/>
        <v>0.83105022831050224</v>
      </c>
      <c r="V958" s="18">
        <f>ProductionData[[#This Row],[Profit]]/ProductionData[[#This Row],[Good Units]]</f>
        <v>31.239193083573486</v>
      </c>
      <c r="W958" s="11">
        <f>ProductionData[[#This Row],[Good Units]]/ProductionData[[#This Row],[Operating Minutes]]</f>
        <v>0.79223744292237441</v>
      </c>
    </row>
    <row r="959" spans="1:23">
      <c r="A959" s="7">
        <v>46310</v>
      </c>
      <c r="B959" s="8" t="s">
        <v>31</v>
      </c>
      <c r="C959" s="8" t="s">
        <v>27</v>
      </c>
      <c r="D959" s="8" t="s">
        <v>21</v>
      </c>
      <c r="E959" s="8" t="s">
        <v>22</v>
      </c>
      <c r="F959" s="9">
        <v>460</v>
      </c>
      <c r="G959" s="9">
        <v>405</v>
      </c>
      <c r="H959" s="9">
        <v>22</v>
      </c>
      <c r="I959" s="9">
        <f t="shared" si="126"/>
        <v>383</v>
      </c>
      <c r="J959" s="9">
        <v>62</v>
      </c>
      <c r="K959" s="10">
        <f t="shared" si="127"/>
        <v>0.12916666666666668</v>
      </c>
      <c r="L959" s="17">
        <v>100</v>
      </c>
      <c r="M959" s="17">
        <v>30800</v>
      </c>
      <c r="N959" s="17">
        <f t="shared" si="128"/>
        <v>38300</v>
      </c>
      <c r="O959" s="17">
        <f t="shared" si="129"/>
        <v>7500</v>
      </c>
      <c r="P959" s="10">
        <f t="shared" si="130"/>
        <v>0.88043478260869568</v>
      </c>
      <c r="Q959" s="10">
        <f t="shared" si="131"/>
        <v>5.4320987654320987E-2</v>
      </c>
      <c r="R959" s="10">
        <f t="shared" si="132"/>
        <v>0.195822454308094</v>
      </c>
      <c r="S959" s="18">
        <f t="shared" si="133"/>
        <v>80.417754569190606</v>
      </c>
      <c r="T959" s="8">
        <f>480-ProductionData[[#This Row],[Downtime Minutes]]</f>
        <v>418</v>
      </c>
      <c r="U959" s="11">
        <f t="shared" si="134"/>
        <v>0.96889952153110048</v>
      </c>
      <c r="V959" s="18">
        <f>ProductionData[[#This Row],[Profit]]/ProductionData[[#This Row],[Good Units]]</f>
        <v>19.582245430809401</v>
      </c>
      <c r="W959" s="11">
        <f>ProductionData[[#This Row],[Good Units]]/ProductionData[[#This Row],[Operating Minutes]]</f>
        <v>0.91626794258373201</v>
      </c>
    </row>
    <row r="960" spans="1:23">
      <c r="A960" s="7">
        <v>46310</v>
      </c>
      <c r="B960" s="8" t="s">
        <v>31</v>
      </c>
      <c r="C960" s="8" t="s">
        <v>27</v>
      </c>
      <c r="D960" s="8" t="s">
        <v>23</v>
      </c>
      <c r="E960" s="8" t="s">
        <v>24</v>
      </c>
      <c r="F960" s="9">
        <v>400</v>
      </c>
      <c r="G960" s="9">
        <v>364</v>
      </c>
      <c r="H960" s="9">
        <v>19</v>
      </c>
      <c r="I960" s="9">
        <f t="shared" si="126"/>
        <v>345</v>
      </c>
      <c r="J960" s="9">
        <v>44</v>
      </c>
      <c r="K960" s="10">
        <f t="shared" si="127"/>
        <v>9.166666666666666E-2</v>
      </c>
      <c r="L960" s="17">
        <v>120</v>
      </c>
      <c r="M960" s="17">
        <v>30800</v>
      </c>
      <c r="N960" s="17">
        <f t="shared" si="128"/>
        <v>41400</v>
      </c>
      <c r="O960" s="17">
        <f t="shared" si="129"/>
        <v>10600</v>
      </c>
      <c r="P960" s="10">
        <f t="shared" si="130"/>
        <v>0.91</v>
      </c>
      <c r="Q960" s="10">
        <f t="shared" si="131"/>
        <v>5.21978021978022E-2</v>
      </c>
      <c r="R960" s="10">
        <f t="shared" si="132"/>
        <v>0.2560386473429952</v>
      </c>
      <c r="S960" s="18">
        <f t="shared" si="133"/>
        <v>89.275362318840578</v>
      </c>
      <c r="T960" s="8">
        <f>480-ProductionData[[#This Row],[Downtime Minutes]]</f>
        <v>436</v>
      </c>
      <c r="U960" s="11">
        <f t="shared" si="134"/>
        <v>0.83486238532110091</v>
      </c>
      <c r="V960" s="18">
        <f>ProductionData[[#This Row],[Profit]]/ProductionData[[#This Row],[Good Units]]</f>
        <v>30.724637681159422</v>
      </c>
      <c r="W960" s="11">
        <f>ProductionData[[#This Row],[Good Units]]/ProductionData[[#This Row],[Operating Minutes]]</f>
        <v>0.79128440366972475</v>
      </c>
    </row>
    <row r="961" spans="1:23">
      <c r="A961" s="7">
        <v>46310</v>
      </c>
      <c r="B961" s="8" t="s">
        <v>31</v>
      </c>
      <c r="C961" s="8" t="s">
        <v>27</v>
      </c>
      <c r="D961" s="8" t="s">
        <v>25</v>
      </c>
      <c r="E961" s="8" t="s">
        <v>26</v>
      </c>
      <c r="F961" s="9">
        <v>490</v>
      </c>
      <c r="G961" s="9">
        <v>418</v>
      </c>
      <c r="H961" s="9">
        <v>29</v>
      </c>
      <c r="I961" s="9">
        <f t="shared" si="126"/>
        <v>389</v>
      </c>
      <c r="J961" s="9">
        <v>62</v>
      </c>
      <c r="K961" s="10">
        <f t="shared" si="127"/>
        <v>0.12916666666666668</v>
      </c>
      <c r="L961" s="17">
        <v>90</v>
      </c>
      <c r="M961" s="17">
        <v>30800</v>
      </c>
      <c r="N961" s="17">
        <f t="shared" si="128"/>
        <v>35010</v>
      </c>
      <c r="O961" s="17">
        <f t="shared" si="129"/>
        <v>4210</v>
      </c>
      <c r="P961" s="10">
        <f t="shared" si="130"/>
        <v>0.85306122448979593</v>
      </c>
      <c r="Q961" s="10">
        <f t="shared" si="131"/>
        <v>6.9377990430622011E-2</v>
      </c>
      <c r="R961" s="10">
        <f t="shared" si="132"/>
        <v>0.1202513567552128</v>
      </c>
      <c r="S961" s="18">
        <f t="shared" si="133"/>
        <v>79.177377892030847</v>
      </c>
      <c r="T961" s="8">
        <f>480-ProductionData[[#This Row],[Downtime Minutes]]</f>
        <v>418</v>
      </c>
      <c r="U961" s="11">
        <f t="shared" si="134"/>
        <v>1</v>
      </c>
      <c r="V961" s="18">
        <f>ProductionData[[#This Row],[Profit]]/ProductionData[[#This Row],[Good Units]]</f>
        <v>10.822622107969151</v>
      </c>
      <c r="W961" s="11">
        <f>ProductionData[[#This Row],[Good Units]]/ProductionData[[#This Row],[Operating Minutes]]</f>
        <v>0.93062200956937802</v>
      </c>
    </row>
    <row r="962" spans="1:23">
      <c r="A962" s="7">
        <v>46310</v>
      </c>
      <c r="B962" s="8" t="s">
        <v>31</v>
      </c>
      <c r="C962" s="8" t="s">
        <v>28</v>
      </c>
      <c r="D962" s="8" t="s">
        <v>21</v>
      </c>
      <c r="E962" s="8" t="s">
        <v>24</v>
      </c>
      <c r="F962" s="9">
        <v>400</v>
      </c>
      <c r="G962" s="9">
        <v>401</v>
      </c>
      <c r="H962" s="9">
        <v>11</v>
      </c>
      <c r="I962" s="9">
        <f t="shared" ref="I962:I1025" si="135">G962-H962</f>
        <v>390</v>
      </c>
      <c r="J962" s="9">
        <v>18</v>
      </c>
      <c r="K962" s="10">
        <f t="shared" ref="K962:K1025" si="136">J962/480</f>
        <v>3.7499999999999999E-2</v>
      </c>
      <c r="L962" s="17">
        <v>120</v>
      </c>
      <c r="M962" s="17">
        <v>30800</v>
      </c>
      <c r="N962" s="17">
        <f t="shared" ref="N962:N1025" si="137">I962*L962</f>
        <v>46800</v>
      </c>
      <c r="O962" s="17">
        <f t="shared" ref="O962:O1025" si="138">N962-M962</f>
        <v>16000</v>
      </c>
      <c r="P962" s="10">
        <f t="shared" ref="P962:P1025" si="139">G962/F962</f>
        <v>1.0024999999999999</v>
      </c>
      <c r="Q962" s="10">
        <f t="shared" ref="Q962:Q1025" si="140">H962/G962</f>
        <v>2.7431421446384038E-2</v>
      </c>
      <c r="R962" s="10">
        <f t="shared" ref="R962:R1025" si="141">O962/N962</f>
        <v>0.34188034188034189</v>
      </c>
      <c r="S962" s="18">
        <f t="shared" ref="S962:S1025" si="142">M962/I962</f>
        <v>78.974358974358978</v>
      </c>
      <c r="T962" s="8">
        <f>480-ProductionData[[#This Row],[Downtime Minutes]]</f>
        <v>462</v>
      </c>
      <c r="U962" s="11">
        <f t="shared" ref="U962:U1025" si="143">G962/T962</f>
        <v>0.86796536796536794</v>
      </c>
      <c r="V962" s="18">
        <f>ProductionData[[#This Row],[Profit]]/ProductionData[[#This Row],[Good Units]]</f>
        <v>41.025641025641029</v>
      </c>
      <c r="W962" s="11">
        <f>ProductionData[[#This Row],[Good Units]]/ProductionData[[#This Row],[Operating Minutes]]</f>
        <v>0.8441558441558441</v>
      </c>
    </row>
    <row r="963" spans="1:23">
      <c r="A963" s="7">
        <v>46310</v>
      </c>
      <c r="B963" s="8" t="s">
        <v>31</v>
      </c>
      <c r="C963" s="8" t="s">
        <v>28</v>
      </c>
      <c r="D963" s="8" t="s">
        <v>23</v>
      </c>
      <c r="E963" s="8" t="s">
        <v>26</v>
      </c>
      <c r="F963" s="9">
        <v>490</v>
      </c>
      <c r="G963" s="9">
        <v>474</v>
      </c>
      <c r="H963" s="9">
        <v>11</v>
      </c>
      <c r="I963" s="9">
        <f t="shared" si="135"/>
        <v>463</v>
      </c>
      <c r="J963" s="9">
        <v>25</v>
      </c>
      <c r="K963" s="10">
        <f t="shared" si="136"/>
        <v>5.2083333333333336E-2</v>
      </c>
      <c r="L963" s="17">
        <v>90</v>
      </c>
      <c r="M963" s="17">
        <v>30800</v>
      </c>
      <c r="N963" s="17">
        <f t="shared" si="137"/>
        <v>41670</v>
      </c>
      <c r="O963" s="17">
        <f t="shared" si="138"/>
        <v>10870</v>
      </c>
      <c r="P963" s="10">
        <f t="shared" si="139"/>
        <v>0.96734693877551026</v>
      </c>
      <c r="Q963" s="10">
        <f t="shared" si="140"/>
        <v>2.3206751054852322E-2</v>
      </c>
      <c r="R963" s="10">
        <f t="shared" si="141"/>
        <v>0.26085913126949845</v>
      </c>
      <c r="S963" s="18">
        <f t="shared" si="142"/>
        <v>66.522678185745136</v>
      </c>
      <c r="T963" s="8">
        <f>480-ProductionData[[#This Row],[Downtime Minutes]]</f>
        <v>455</v>
      </c>
      <c r="U963" s="11">
        <f t="shared" si="143"/>
        <v>1.0417582417582418</v>
      </c>
      <c r="V963" s="18">
        <f>ProductionData[[#This Row],[Profit]]/ProductionData[[#This Row],[Good Units]]</f>
        <v>23.477321814254861</v>
      </c>
      <c r="W963" s="11">
        <f>ProductionData[[#This Row],[Good Units]]/ProductionData[[#This Row],[Operating Minutes]]</f>
        <v>1.0175824175824175</v>
      </c>
    </row>
    <row r="964" spans="1:23">
      <c r="A964" s="7">
        <v>46310</v>
      </c>
      <c r="B964" s="8" t="s">
        <v>31</v>
      </c>
      <c r="C964" s="8" t="s">
        <v>28</v>
      </c>
      <c r="D964" s="8" t="s">
        <v>25</v>
      </c>
      <c r="E964" s="8" t="s">
        <v>22</v>
      </c>
      <c r="F964" s="9">
        <v>470</v>
      </c>
      <c r="G964" s="9">
        <v>425</v>
      </c>
      <c r="H964" s="9">
        <v>21</v>
      </c>
      <c r="I964" s="9">
        <f t="shared" si="135"/>
        <v>404</v>
      </c>
      <c r="J964" s="9">
        <v>49</v>
      </c>
      <c r="K964" s="10">
        <f t="shared" si="136"/>
        <v>0.10208333333333333</v>
      </c>
      <c r="L964" s="17">
        <v>100</v>
      </c>
      <c r="M964" s="17">
        <v>30800</v>
      </c>
      <c r="N964" s="17">
        <f t="shared" si="137"/>
        <v>40400</v>
      </c>
      <c r="O964" s="17">
        <f t="shared" si="138"/>
        <v>9600</v>
      </c>
      <c r="P964" s="10">
        <f t="shared" si="139"/>
        <v>0.9042553191489362</v>
      </c>
      <c r="Q964" s="10">
        <f t="shared" si="140"/>
        <v>4.9411764705882349E-2</v>
      </c>
      <c r="R964" s="10">
        <f t="shared" si="141"/>
        <v>0.23762376237623761</v>
      </c>
      <c r="S964" s="18">
        <f t="shared" si="142"/>
        <v>76.237623762376231</v>
      </c>
      <c r="T964" s="8">
        <f>480-ProductionData[[#This Row],[Downtime Minutes]]</f>
        <v>431</v>
      </c>
      <c r="U964" s="11">
        <f t="shared" si="143"/>
        <v>0.9860788863109049</v>
      </c>
      <c r="V964" s="18">
        <f>ProductionData[[#This Row],[Profit]]/ProductionData[[#This Row],[Good Units]]</f>
        <v>23.762376237623762</v>
      </c>
      <c r="W964" s="11">
        <f>ProductionData[[#This Row],[Good Units]]/ProductionData[[#This Row],[Operating Minutes]]</f>
        <v>0.93735498839907194</v>
      </c>
    </row>
    <row r="965" spans="1:23">
      <c r="A965" s="7">
        <v>46311</v>
      </c>
      <c r="B965" s="8" t="s">
        <v>31</v>
      </c>
      <c r="C965" s="8" t="s">
        <v>20</v>
      </c>
      <c r="D965" s="8" t="s">
        <v>21</v>
      </c>
      <c r="E965" s="8" t="s">
        <v>22</v>
      </c>
      <c r="F965" s="9">
        <v>450</v>
      </c>
      <c r="G965" s="9">
        <v>418</v>
      </c>
      <c r="H965" s="9">
        <v>19</v>
      </c>
      <c r="I965" s="9">
        <f t="shared" si="135"/>
        <v>399</v>
      </c>
      <c r="J965" s="9">
        <v>33</v>
      </c>
      <c r="K965" s="10">
        <f t="shared" si="136"/>
        <v>6.8750000000000006E-2</v>
      </c>
      <c r="L965" s="17">
        <v>100</v>
      </c>
      <c r="M965" s="17">
        <v>30800</v>
      </c>
      <c r="N965" s="17">
        <f t="shared" si="137"/>
        <v>39900</v>
      </c>
      <c r="O965" s="17">
        <f t="shared" si="138"/>
        <v>9100</v>
      </c>
      <c r="P965" s="10">
        <f t="shared" si="139"/>
        <v>0.92888888888888888</v>
      </c>
      <c r="Q965" s="10">
        <f t="shared" si="140"/>
        <v>4.5454545454545456E-2</v>
      </c>
      <c r="R965" s="10">
        <f t="shared" si="141"/>
        <v>0.22807017543859648</v>
      </c>
      <c r="S965" s="18">
        <f t="shared" si="142"/>
        <v>77.192982456140356</v>
      </c>
      <c r="T965" s="8">
        <f>480-ProductionData[[#This Row],[Downtime Minutes]]</f>
        <v>447</v>
      </c>
      <c r="U965" s="11">
        <f t="shared" si="143"/>
        <v>0.93512304250559286</v>
      </c>
      <c r="V965" s="18">
        <f>ProductionData[[#This Row],[Profit]]/ProductionData[[#This Row],[Good Units]]</f>
        <v>22.807017543859651</v>
      </c>
      <c r="W965" s="11">
        <f>ProductionData[[#This Row],[Good Units]]/ProductionData[[#This Row],[Operating Minutes]]</f>
        <v>0.89261744966442957</v>
      </c>
    </row>
    <row r="966" spans="1:23">
      <c r="A966" s="7">
        <v>46311</v>
      </c>
      <c r="B966" s="8" t="s">
        <v>31</v>
      </c>
      <c r="C966" s="8" t="s">
        <v>20</v>
      </c>
      <c r="D966" s="8" t="s">
        <v>23</v>
      </c>
      <c r="E966" s="8" t="s">
        <v>24</v>
      </c>
      <c r="F966" s="9">
        <v>380</v>
      </c>
      <c r="G966" s="9">
        <v>351</v>
      </c>
      <c r="H966" s="9">
        <v>12</v>
      </c>
      <c r="I966" s="9">
        <f t="shared" si="135"/>
        <v>339</v>
      </c>
      <c r="J966" s="9">
        <v>35</v>
      </c>
      <c r="K966" s="10">
        <f t="shared" si="136"/>
        <v>7.2916666666666671E-2</v>
      </c>
      <c r="L966" s="17">
        <v>120</v>
      </c>
      <c r="M966" s="17">
        <v>30800</v>
      </c>
      <c r="N966" s="17">
        <f t="shared" si="137"/>
        <v>40680</v>
      </c>
      <c r="O966" s="17">
        <f t="shared" si="138"/>
        <v>9880</v>
      </c>
      <c r="P966" s="10">
        <f t="shared" si="139"/>
        <v>0.92368421052631577</v>
      </c>
      <c r="Q966" s="10">
        <f t="shared" si="140"/>
        <v>3.4188034188034191E-2</v>
      </c>
      <c r="R966" s="10">
        <f t="shared" si="141"/>
        <v>0.24287118977384464</v>
      </c>
      <c r="S966" s="18">
        <f t="shared" si="142"/>
        <v>90.855457227138643</v>
      </c>
      <c r="T966" s="8">
        <f>480-ProductionData[[#This Row],[Downtime Minutes]]</f>
        <v>445</v>
      </c>
      <c r="U966" s="11">
        <f t="shared" si="143"/>
        <v>0.78876404494382024</v>
      </c>
      <c r="V966" s="18">
        <f>ProductionData[[#This Row],[Profit]]/ProductionData[[#This Row],[Good Units]]</f>
        <v>29.144542772861357</v>
      </c>
      <c r="W966" s="11">
        <f>ProductionData[[#This Row],[Good Units]]/ProductionData[[#This Row],[Operating Minutes]]</f>
        <v>0.76179775280898876</v>
      </c>
    </row>
    <row r="967" spans="1:23">
      <c r="A967" s="7">
        <v>46311</v>
      </c>
      <c r="B967" s="8" t="s">
        <v>31</v>
      </c>
      <c r="C967" s="8" t="s">
        <v>20</v>
      </c>
      <c r="D967" s="8" t="s">
        <v>25</v>
      </c>
      <c r="E967" s="8" t="s">
        <v>26</v>
      </c>
      <c r="F967" s="9">
        <v>500</v>
      </c>
      <c r="G967" s="9">
        <v>449</v>
      </c>
      <c r="H967" s="9">
        <v>21</v>
      </c>
      <c r="I967" s="9">
        <f t="shared" si="135"/>
        <v>428</v>
      </c>
      <c r="J967" s="9">
        <v>33</v>
      </c>
      <c r="K967" s="10">
        <f t="shared" si="136"/>
        <v>6.8750000000000006E-2</v>
      </c>
      <c r="L967" s="17">
        <v>90</v>
      </c>
      <c r="M967" s="17">
        <v>30800</v>
      </c>
      <c r="N967" s="17">
        <f t="shared" si="137"/>
        <v>38520</v>
      </c>
      <c r="O967" s="17">
        <f t="shared" si="138"/>
        <v>7720</v>
      </c>
      <c r="P967" s="10">
        <f t="shared" si="139"/>
        <v>0.89800000000000002</v>
      </c>
      <c r="Q967" s="10">
        <f t="shared" si="140"/>
        <v>4.6770601336302897E-2</v>
      </c>
      <c r="R967" s="10">
        <f t="shared" si="141"/>
        <v>0.20041536863966772</v>
      </c>
      <c r="S967" s="18">
        <f t="shared" si="142"/>
        <v>71.962616822429908</v>
      </c>
      <c r="T967" s="8">
        <f>480-ProductionData[[#This Row],[Downtime Minutes]]</f>
        <v>447</v>
      </c>
      <c r="U967" s="11">
        <f t="shared" si="143"/>
        <v>1.0044742729306488</v>
      </c>
      <c r="V967" s="18">
        <f>ProductionData[[#This Row],[Profit]]/ProductionData[[#This Row],[Good Units]]</f>
        <v>18.037383177570092</v>
      </c>
      <c r="W967" s="11">
        <f>ProductionData[[#This Row],[Good Units]]/ProductionData[[#This Row],[Operating Minutes]]</f>
        <v>0.95749440715883671</v>
      </c>
    </row>
    <row r="968" spans="1:23">
      <c r="A968" s="7">
        <v>46311</v>
      </c>
      <c r="B968" s="8" t="s">
        <v>31</v>
      </c>
      <c r="C968" s="8" t="s">
        <v>27</v>
      </c>
      <c r="D968" s="8" t="s">
        <v>21</v>
      </c>
      <c r="E968" s="8" t="s">
        <v>24</v>
      </c>
      <c r="F968" s="9">
        <v>400</v>
      </c>
      <c r="G968" s="9">
        <v>364</v>
      </c>
      <c r="H968" s="9">
        <v>16</v>
      </c>
      <c r="I968" s="9">
        <f t="shared" si="135"/>
        <v>348</v>
      </c>
      <c r="J968" s="9">
        <v>51</v>
      </c>
      <c r="K968" s="10">
        <f t="shared" si="136"/>
        <v>0.10625</v>
      </c>
      <c r="L968" s="17">
        <v>120</v>
      </c>
      <c r="M968" s="17">
        <v>30800</v>
      </c>
      <c r="N968" s="17">
        <f t="shared" si="137"/>
        <v>41760</v>
      </c>
      <c r="O968" s="17">
        <f t="shared" si="138"/>
        <v>10960</v>
      </c>
      <c r="P968" s="10">
        <f t="shared" si="139"/>
        <v>0.91</v>
      </c>
      <c r="Q968" s="10">
        <f t="shared" si="140"/>
        <v>4.3956043956043959E-2</v>
      </c>
      <c r="R968" s="10">
        <f t="shared" si="141"/>
        <v>0.26245210727969348</v>
      </c>
      <c r="S968" s="18">
        <f t="shared" si="142"/>
        <v>88.505747126436788</v>
      </c>
      <c r="T968" s="8">
        <f>480-ProductionData[[#This Row],[Downtime Minutes]]</f>
        <v>429</v>
      </c>
      <c r="U968" s="11">
        <f t="shared" si="143"/>
        <v>0.84848484848484851</v>
      </c>
      <c r="V968" s="18">
        <f>ProductionData[[#This Row],[Profit]]/ProductionData[[#This Row],[Good Units]]</f>
        <v>31.494252873563219</v>
      </c>
      <c r="W968" s="11">
        <f>ProductionData[[#This Row],[Good Units]]/ProductionData[[#This Row],[Operating Minutes]]</f>
        <v>0.81118881118881114</v>
      </c>
    </row>
    <row r="969" spans="1:23">
      <c r="A969" s="7">
        <v>46311</v>
      </c>
      <c r="B969" s="8" t="s">
        <v>31</v>
      </c>
      <c r="C969" s="8" t="s">
        <v>27</v>
      </c>
      <c r="D969" s="8" t="s">
        <v>23</v>
      </c>
      <c r="E969" s="8" t="s">
        <v>26</v>
      </c>
      <c r="F969" s="9">
        <v>490</v>
      </c>
      <c r="G969" s="9">
        <v>443</v>
      </c>
      <c r="H969" s="9">
        <v>23</v>
      </c>
      <c r="I969" s="9">
        <f t="shared" si="135"/>
        <v>420</v>
      </c>
      <c r="J969" s="9">
        <v>50</v>
      </c>
      <c r="K969" s="10">
        <f t="shared" si="136"/>
        <v>0.10416666666666667</v>
      </c>
      <c r="L969" s="17">
        <v>90</v>
      </c>
      <c r="M969" s="17">
        <v>30800</v>
      </c>
      <c r="N969" s="17">
        <f t="shared" si="137"/>
        <v>37800</v>
      </c>
      <c r="O969" s="17">
        <f t="shared" si="138"/>
        <v>7000</v>
      </c>
      <c r="P969" s="10">
        <f t="shared" si="139"/>
        <v>0.90408163265306118</v>
      </c>
      <c r="Q969" s="10">
        <f t="shared" si="140"/>
        <v>5.1918735891647853E-2</v>
      </c>
      <c r="R969" s="10">
        <f t="shared" si="141"/>
        <v>0.18518518518518517</v>
      </c>
      <c r="S969" s="18">
        <f t="shared" si="142"/>
        <v>73.333333333333329</v>
      </c>
      <c r="T969" s="8">
        <f>480-ProductionData[[#This Row],[Downtime Minutes]]</f>
        <v>430</v>
      </c>
      <c r="U969" s="11">
        <f t="shared" si="143"/>
        <v>1.0302325581395348</v>
      </c>
      <c r="V969" s="18">
        <f>ProductionData[[#This Row],[Profit]]/ProductionData[[#This Row],[Good Units]]</f>
        <v>16.666666666666668</v>
      </c>
      <c r="W969" s="11">
        <f>ProductionData[[#This Row],[Good Units]]/ProductionData[[#This Row],[Operating Minutes]]</f>
        <v>0.97674418604651159</v>
      </c>
    </row>
    <row r="970" spans="1:23">
      <c r="A970" s="7">
        <v>46311</v>
      </c>
      <c r="B970" s="8" t="s">
        <v>31</v>
      </c>
      <c r="C970" s="8" t="s">
        <v>27</v>
      </c>
      <c r="D970" s="8" t="s">
        <v>25</v>
      </c>
      <c r="E970" s="8" t="s">
        <v>22</v>
      </c>
      <c r="F970" s="9">
        <v>450</v>
      </c>
      <c r="G970" s="9">
        <v>390</v>
      </c>
      <c r="H970" s="9">
        <v>32</v>
      </c>
      <c r="I970" s="9">
        <f t="shared" si="135"/>
        <v>358</v>
      </c>
      <c r="J970" s="9">
        <v>75</v>
      </c>
      <c r="K970" s="10">
        <f t="shared" si="136"/>
        <v>0.15625</v>
      </c>
      <c r="L970" s="17">
        <v>100</v>
      </c>
      <c r="M970" s="17">
        <v>30800</v>
      </c>
      <c r="N970" s="17">
        <f t="shared" si="137"/>
        <v>35800</v>
      </c>
      <c r="O970" s="17">
        <f t="shared" si="138"/>
        <v>5000</v>
      </c>
      <c r="P970" s="10">
        <f t="shared" si="139"/>
        <v>0.8666666666666667</v>
      </c>
      <c r="Q970" s="10">
        <f t="shared" si="140"/>
        <v>8.2051282051282051E-2</v>
      </c>
      <c r="R970" s="10">
        <f t="shared" si="141"/>
        <v>0.13966480446927373</v>
      </c>
      <c r="S970" s="18">
        <f t="shared" si="142"/>
        <v>86.033519553072622</v>
      </c>
      <c r="T970" s="8">
        <f>480-ProductionData[[#This Row],[Downtime Minutes]]</f>
        <v>405</v>
      </c>
      <c r="U970" s="11">
        <f t="shared" si="143"/>
        <v>0.96296296296296291</v>
      </c>
      <c r="V970" s="18">
        <f>ProductionData[[#This Row],[Profit]]/ProductionData[[#This Row],[Good Units]]</f>
        <v>13.966480446927374</v>
      </c>
      <c r="W970" s="11">
        <f>ProductionData[[#This Row],[Good Units]]/ProductionData[[#This Row],[Operating Minutes]]</f>
        <v>0.88395061728395063</v>
      </c>
    </row>
    <row r="971" spans="1:23">
      <c r="A971" s="7">
        <v>46311</v>
      </c>
      <c r="B971" s="8" t="s">
        <v>31</v>
      </c>
      <c r="C971" s="8" t="s">
        <v>28</v>
      </c>
      <c r="D971" s="8" t="s">
        <v>21</v>
      </c>
      <c r="E971" s="8" t="s">
        <v>26</v>
      </c>
      <c r="F971" s="9">
        <v>510</v>
      </c>
      <c r="G971" s="9">
        <v>503</v>
      </c>
      <c r="H971" s="9">
        <v>16</v>
      </c>
      <c r="I971" s="9">
        <f t="shared" si="135"/>
        <v>487</v>
      </c>
      <c r="J971" s="9">
        <v>22</v>
      </c>
      <c r="K971" s="10">
        <f t="shared" si="136"/>
        <v>4.583333333333333E-2</v>
      </c>
      <c r="L971" s="17">
        <v>90</v>
      </c>
      <c r="M971" s="17">
        <v>30800</v>
      </c>
      <c r="N971" s="17">
        <f t="shared" si="137"/>
        <v>43830</v>
      </c>
      <c r="O971" s="17">
        <f t="shared" si="138"/>
        <v>13030</v>
      </c>
      <c r="P971" s="10">
        <f t="shared" si="139"/>
        <v>0.98627450980392162</v>
      </c>
      <c r="Q971" s="10">
        <f t="shared" si="140"/>
        <v>3.1809145129224649E-2</v>
      </c>
      <c r="R971" s="10">
        <f t="shared" si="141"/>
        <v>0.297284964636094</v>
      </c>
      <c r="S971" s="18">
        <f t="shared" si="142"/>
        <v>63.244353182751539</v>
      </c>
      <c r="T971" s="8">
        <f>480-ProductionData[[#This Row],[Downtime Minutes]]</f>
        <v>458</v>
      </c>
      <c r="U971" s="11">
        <f t="shared" si="143"/>
        <v>1.0982532751091703</v>
      </c>
      <c r="V971" s="18">
        <f>ProductionData[[#This Row],[Profit]]/ProductionData[[#This Row],[Good Units]]</f>
        <v>26.755646817248461</v>
      </c>
      <c r="W971" s="11">
        <f>ProductionData[[#This Row],[Good Units]]/ProductionData[[#This Row],[Operating Minutes]]</f>
        <v>1.0633187772925765</v>
      </c>
    </row>
    <row r="972" spans="1:23">
      <c r="A972" s="7">
        <v>46311</v>
      </c>
      <c r="B972" s="8" t="s">
        <v>31</v>
      </c>
      <c r="C972" s="8" t="s">
        <v>28</v>
      </c>
      <c r="D972" s="8" t="s">
        <v>23</v>
      </c>
      <c r="E972" s="8" t="s">
        <v>22</v>
      </c>
      <c r="F972" s="9">
        <v>460</v>
      </c>
      <c r="G972" s="9">
        <v>434</v>
      </c>
      <c r="H972" s="9">
        <v>21</v>
      </c>
      <c r="I972" s="9">
        <f t="shared" si="135"/>
        <v>413</v>
      </c>
      <c r="J972" s="9">
        <v>45</v>
      </c>
      <c r="K972" s="10">
        <f t="shared" si="136"/>
        <v>9.375E-2</v>
      </c>
      <c r="L972" s="17">
        <v>100</v>
      </c>
      <c r="M972" s="17">
        <v>30800</v>
      </c>
      <c r="N972" s="17">
        <f t="shared" si="137"/>
        <v>41300</v>
      </c>
      <c r="O972" s="17">
        <f t="shared" si="138"/>
        <v>10500</v>
      </c>
      <c r="P972" s="10">
        <f t="shared" si="139"/>
        <v>0.94347826086956521</v>
      </c>
      <c r="Q972" s="10">
        <f t="shared" si="140"/>
        <v>4.8387096774193547E-2</v>
      </c>
      <c r="R972" s="10">
        <f t="shared" si="141"/>
        <v>0.25423728813559321</v>
      </c>
      <c r="S972" s="18">
        <f t="shared" si="142"/>
        <v>74.576271186440678</v>
      </c>
      <c r="T972" s="8">
        <f>480-ProductionData[[#This Row],[Downtime Minutes]]</f>
        <v>435</v>
      </c>
      <c r="U972" s="11">
        <f t="shared" si="143"/>
        <v>0.99770114942528731</v>
      </c>
      <c r="V972" s="18">
        <f>ProductionData[[#This Row],[Profit]]/ProductionData[[#This Row],[Good Units]]</f>
        <v>25.423728813559322</v>
      </c>
      <c r="W972" s="11">
        <f>ProductionData[[#This Row],[Good Units]]/ProductionData[[#This Row],[Operating Minutes]]</f>
        <v>0.94942528735632181</v>
      </c>
    </row>
    <row r="973" spans="1:23">
      <c r="A973" s="7">
        <v>46311</v>
      </c>
      <c r="B973" s="8" t="s">
        <v>31</v>
      </c>
      <c r="C973" s="8" t="s">
        <v>28</v>
      </c>
      <c r="D973" s="8" t="s">
        <v>25</v>
      </c>
      <c r="E973" s="8" t="s">
        <v>24</v>
      </c>
      <c r="F973" s="9">
        <v>400</v>
      </c>
      <c r="G973" s="9">
        <v>361</v>
      </c>
      <c r="H973" s="9">
        <v>12</v>
      </c>
      <c r="I973" s="9">
        <f t="shared" si="135"/>
        <v>349</v>
      </c>
      <c r="J973" s="9">
        <v>27</v>
      </c>
      <c r="K973" s="10">
        <f t="shared" si="136"/>
        <v>5.6250000000000001E-2</v>
      </c>
      <c r="L973" s="17">
        <v>120</v>
      </c>
      <c r="M973" s="17">
        <v>30800</v>
      </c>
      <c r="N973" s="17">
        <f t="shared" si="137"/>
        <v>41880</v>
      </c>
      <c r="O973" s="17">
        <f t="shared" si="138"/>
        <v>11080</v>
      </c>
      <c r="P973" s="10">
        <f t="shared" si="139"/>
        <v>0.90249999999999997</v>
      </c>
      <c r="Q973" s="10">
        <f t="shared" si="140"/>
        <v>3.3240997229916899E-2</v>
      </c>
      <c r="R973" s="10">
        <f t="shared" si="141"/>
        <v>0.26456542502387775</v>
      </c>
      <c r="S973" s="18">
        <f t="shared" si="142"/>
        <v>88.252148997134668</v>
      </c>
      <c r="T973" s="8">
        <f>480-ProductionData[[#This Row],[Downtime Minutes]]</f>
        <v>453</v>
      </c>
      <c r="U973" s="11">
        <f t="shared" si="143"/>
        <v>0.79690949227373065</v>
      </c>
      <c r="V973" s="18">
        <f>ProductionData[[#This Row],[Profit]]/ProductionData[[#This Row],[Good Units]]</f>
        <v>31.747851002865328</v>
      </c>
      <c r="W973" s="11">
        <f>ProductionData[[#This Row],[Good Units]]/ProductionData[[#This Row],[Operating Minutes]]</f>
        <v>0.77041942604856517</v>
      </c>
    </row>
    <row r="974" spans="1:23">
      <c r="A974" s="7">
        <v>46312</v>
      </c>
      <c r="B974" s="8" t="s">
        <v>31</v>
      </c>
      <c r="C974" s="8" t="s">
        <v>20</v>
      </c>
      <c r="D974" s="8" t="s">
        <v>21</v>
      </c>
      <c r="E974" s="8" t="s">
        <v>24</v>
      </c>
      <c r="F974" s="9">
        <v>400</v>
      </c>
      <c r="G974" s="9">
        <v>386</v>
      </c>
      <c r="H974" s="9">
        <v>13</v>
      </c>
      <c r="I974" s="9">
        <f t="shared" si="135"/>
        <v>373</v>
      </c>
      <c r="J974" s="9">
        <v>27</v>
      </c>
      <c r="K974" s="10">
        <f t="shared" si="136"/>
        <v>5.6250000000000001E-2</v>
      </c>
      <c r="L974" s="17">
        <v>120</v>
      </c>
      <c r="M974" s="17">
        <v>30800</v>
      </c>
      <c r="N974" s="17">
        <f t="shared" si="137"/>
        <v>44760</v>
      </c>
      <c r="O974" s="17">
        <f t="shared" si="138"/>
        <v>13960</v>
      </c>
      <c r="P974" s="10">
        <f t="shared" si="139"/>
        <v>0.96499999999999997</v>
      </c>
      <c r="Q974" s="10">
        <f t="shared" si="140"/>
        <v>3.367875647668394E-2</v>
      </c>
      <c r="R974" s="10">
        <f t="shared" si="141"/>
        <v>0.31188561215370869</v>
      </c>
      <c r="S974" s="18">
        <f t="shared" si="142"/>
        <v>82.573726541554961</v>
      </c>
      <c r="T974" s="8">
        <f>480-ProductionData[[#This Row],[Downtime Minutes]]</f>
        <v>453</v>
      </c>
      <c r="U974" s="11">
        <f t="shared" si="143"/>
        <v>0.85209713024282563</v>
      </c>
      <c r="V974" s="18">
        <f>ProductionData[[#This Row],[Profit]]/ProductionData[[#This Row],[Good Units]]</f>
        <v>37.426273458445039</v>
      </c>
      <c r="W974" s="11">
        <f>ProductionData[[#This Row],[Good Units]]/ProductionData[[#This Row],[Operating Minutes]]</f>
        <v>0.82339955849889623</v>
      </c>
    </row>
    <row r="975" spans="1:23">
      <c r="A975" s="7">
        <v>46312</v>
      </c>
      <c r="B975" s="8" t="s">
        <v>31</v>
      </c>
      <c r="C975" s="8" t="s">
        <v>20</v>
      </c>
      <c r="D975" s="8" t="s">
        <v>23</v>
      </c>
      <c r="E975" s="8" t="s">
        <v>26</v>
      </c>
      <c r="F975" s="9">
        <v>500</v>
      </c>
      <c r="G975" s="9">
        <v>473</v>
      </c>
      <c r="H975" s="9">
        <v>17</v>
      </c>
      <c r="I975" s="9">
        <f t="shared" si="135"/>
        <v>456</v>
      </c>
      <c r="J975" s="9">
        <v>42</v>
      </c>
      <c r="K975" s="10">
        <f t="shared" si="136"/>
        <v>8.7499999999999994E-2</v>
      </c>
      <c r="L975" s="17">
        <v>90</v>
      </c>
      <c r="M975" s="17">
        <v>30800</v>
      </c>
      <c r="N975" s="17">
        <f t="shared" si="137"/>
        <v>41040</v>
      </c>
      <c r="O975" s="17">
        <f t="shared" si="138"/>
        <v>10240</v>
      </c>
      <c r="P975" s="10">
        <f t="shared" si="139"/>
        <v>0.94599999999999995</v>
      </c>
      <c r="Q975" s="10">
        <f t="shared" si="140"/>
        <v>3.5940803382663845E-2</v>
      </c>
      <c r="R975" s="10">
        <f t="shared" si="141"/>
        <v>0.24951267056530213</v>
      </c>
      <c r="S975" s="18">
        <f t="shared" si="142"/>
        <v>67.543859649122808</v>
      </c>
      <c r="T975" s="8">
        <f>480-ProductionData[[#This Row],[Downtime Minutes]]</f>
        <v>438</v>
      </c>
      <c r="U975" s="11">
        <f t="shared" si="143"/>
        <v>1.0799086757990868</v>
      </c>
      <c r="V975" s="18">
        <f>ProductionData[[#This Row],[Profit]]/ProductionData[[#This Row],[Good Units]]</f>
        <v>22.456140350877192</v>
      </c>
      <c r="W975" s="11">
        <f>ProductionData[[#This Row],[Good Units]]/ProductionData[[#This Row],[Operating Minutes]]</f>
        <v>1.0410958904109588</v>
      </c>
    </row>
    <row r="976" spans="1:23">
      <c r="A976" s="7">
        <v>46312</v>
      </c>
      <c r="B976" s="8" t="s">
        <v>31</v>
      </c>
      <c r="C976" s="8" t="s">
        <v>20</v>
      </c>
      <c r="D976" s="8" t="s">
        <v>25</v>
      </c>
      <c r="E976" s="8" t="s">
        <v>22</v>
      </c>
      <c r="F976" s="9">
        <v>430</v>
      </c>
      <c r="G976" s="9">
        <v>400</v>
      </c>
      <c r="H976" s="9">
        <v>23</v>
      </c>
      <c r="I976" s="9">
        <f t="shared" si="135"/>
        <v>377</v>
      </c>
      <c r="J976" s="9">
        <v>56</v>
      </c>
      <c r="K976" s="10">
        <f t="shared" si="136"/>
        <v>0.11666666666666667</v>
      </c>
      <c r="L976" s="17">
        <v>100</v>
      </c>
      <c r="M976" s="17">
        <v>30800</v>
      </c>
      <c r="N976" s="17">
        <f t="shared" si="137"/>
        <v>37700</v>
      </c>
      <c r="O976" s="17">
        <f t="shared" si="138"/>
        <v>6900</v>
      </c>
      <c r="P976" s="10">
        <f t="shared" si="139"/>
        <v>0.93023255813953487</v>
      </c>
      <c r="Q976" s="10">
        <f t="shared" si="140"/>
        <v>5.7500000000000002E-2</v>
      </c>
      <c r="R976" s="10">
        <f t="shared" si="141"/>
        <v>0.1830238726790451</v>
      </c>
      <c r="S976" s="18">
        <f t="shared" si="142"/>
        <v>81.697612732095493</v>
      </c>
      <c r="T976" s="8">
        <f>480-ProductionData[[#This Row],[Downtime Minutes]]</f>
        <v>424</v>
      </c>
      <c r="U976" s="11">
        <f t="shared" si="143"/>
        <v>0.94339622641509435</v>
      </c>
      <c r="V976" s="18">
        <f>ProductionData[[#This Row],[Profit]]/ProductionData[[#This Row],[Good Units]]</f>
        <v>18.302387267904511</v>
      </c>
      <c r="W976" s="11">
        <f>ProductionData[[#This Row],[Good Units]]/ProductionData[[#This Row],[Operating Minutes]]</f>
        <v>0.88915094339622647</v>
      </c>
    </row>
    <row r="977" spans="1:23">
      <c r="A977" s="7">
        <v>46312</v>
      </c>
      <c r="B977" s="8" t="s">
        <v>31</v>
      </c>
      <c r="C977" s="8" t="s">
        <v>27</v>
      </c>
      <c r="D977" s="8" t="s">
        <v>21</v>
      </c>
      <c r="E977" s="8" t="s">
        <v>26</v>
      </c>
      <c r="F977" s="9">
        <v>500</v>
      </c>
      <c r="G977" s="9">
        <v>446</v>
      </c>
      <c r="H977" s="9">
        <v>21</v>
      </c>
      <c r="I977" s="9">
        <f t="shared" si="135"/>
        <v>425</v>
      </c>
      <c r="J977" s="9">
        <v>48</v>
      </c>
      <c r="K977" s="10">
        <f t="shared" si="136"/>
        <v>0.1</v>
      </c>
      <c r="L977" s="17">
        <v>90</v>
      </c>
      <c r="M977" s="17">
        <v>30800</v>
      </c>
      <c r="N977" s="17">
        <f t="shared" si="137"/>
        <v>38250</v>
      </c>
      <c r="O977" s="17">
        <f t="shared" si="138"/>
        <v>7450</v>
      </c>
      <c r="P977" s="10">
        <f t="shared" si="139"/>
        <v>0.89200000000000002</v>
      </c>
      <c r="Q977" s="10">
        <f t="shared" si="140"/>
        <v>4.708520179372197E-2</v>
      </c>
      <c r="R977" s="10">
        <f t="shared" si="141"/>
        <v>0.19477124183006536</v>
      </c>
      <c r="S977" s="18">
        <f t="shared" si="142"/>
        <v>72.470588235294116</v>
      </c>
      <c r="T977" s="8">
        <f>480-ProductionData[[#This Row],[Downtime Minutes]]</f>
        <v>432</v>
      </c>
      <c r="U977" s="11">
        <f t="shared" si="143"/>
        <v>1.0324074074074074</v>
      </c>
      <c r="V977" s="18">
        <f>ProductionData[[#This Row],[Profit]]/ProductionData[[#This Row],[Good Units]]</f>
        <v>17.529411764705884</v>
      </c>
      <c r="W977" s="11">
        <f>ProductionData[[#This Row],[Good Units]]/ProductionData[[#This Row],[Operating Minutes]]</f>
        <v>0.98379629629629628</v>
      </c>
    </row>
    <row r="978" spans="1:23">
      <c r="A978" s="7">
        <v>46312</v>
      </c>
      <c r="B978" s="8" t="s">
        <v>31</v>
      </c>
      <c r="C978" s="8" t="s">
        <v>27</v>
      </c>
      <c r="D978" s="8" t="s">
        <v>23</v>
      </c>
      <c r="E978" s="8" t="s">
        <v>22</v>
      </c>
      <c r="F978" s="9">
        <v>470</v>
      </c>
      <c r="G978" s="9">
        <v>412</v>
      </c>
      <c r="H978" s="9">
        <v>24</v>
      </c>
      <c r="I978" s="9">
        <f t="shared" si="135"/>
        <v>388</v>
      </c>
      <c r="J978" s="9">
        <v>51</v>
      </c>
      <c r="K978" s="10">
        <f t="shared" si="136"/>
        <v>0.10625</v>
      </c>
      <c r="L978" s="17">
        <v>100</v>
      </c>
      <c r="M978" s="17">
        <v>30800</v>
      </c>
      <c r="N978" s="17">
        <f t="shared" si="137"/>
        <v>38800</v>
      </c>
      <c r="O978" s="17">
        <f t="shared" si="138"/>
        <v>8000</v>
      </c>
      <c r="P978" s="10">
        <f t="shared" si="139"/>
        <v>0.87659574468085111</v>
      </c>
      <c r="Q978" s="10">
        <f t="shared" si="140"/>
        <v>5.8252427184466021E-2</v>
      </c>
      <c r="R978" s="10">
        <f t="shared" si="141"/>
        <v>0.20618556701030927</v>
      </c>
      <c r="S978" s="18">
        <f t="shared" si="142"/>
        <v>79.381443298969074</v>
      </c>
      <c r="T978" s="8">
        <f>480-ProductionData[[#This Row],[Downtime Minutes]]</f>
        <v>429</v>
      </c>
      <c r="U978" s="11">
        <f t="shared" si="143"/>
        <v>0.96037296037296038</v>
      </c>
      <c r="V978" s="18">
        <f>ProductionData[[#This Row],[Profit]]/ProductionData[[#This Row],[Good Units]]</f>
        <v>20.618556701030929</v>
      </c>
      <c r="W978" s="11">
        <f>ProductionData[[#This Row],[Good Units]]/ProductionData[[#This Row],[Operating Minutes]]</f>
        <v>0.90442890442890445</v>
      </c>
    </row>
    <row r="979" spans="1:23">
      <c r="A979" s="7">
        <v>46312</v>
      </c>
      <c r="B979" s="8" t="s">
        <v>31</v>
      </c>
      <c r="C979" s="8" t="s">
        <v>27</v>
      </c>
      <c r="D979" s="8" t="s">
        <v>25</v>
      </c>
      <c r="E979" s="8" t="s">
        <v>24</v>
      </c>
      <c r="F979" s="9">
        <v>410</v>
      </c>
      <c r="G979" s="9">
        <v>364</v>
      </c>
      <c r="H979" s="9">
        <v>20</v>
      </c>
      <c r="I979" s="9">
        <f t="shared" si="135"/>
        <v>344</v>
      </c>
      <c r="J979" s="9">
        <v>67</v>
      </c>
      <c r="K979" s="10">
        <f t="shared" si="136"/>
        <v>0.13958333333333334</v>
      </c>
      <c r="L979" s="17">
        <v>120</v>
      </c>
      <c r="M979" s="17">
        <v>30800</v>
      </c>
      <c r="N979" s="17">
        <f t="shared" si="137"/>
        <v>41280</v>
      </c>
      <c r="O979" s="17">
        <f t="shared" si="138"/>
        <v>10480</v>
      </c>
      <c r="P979" s="10">
        <f t="shared" si="139"/>
        <v>0.8878048780487805</v>
      </c>
      <c r="Q979" s="10">
        <f t="shared" si="140"/>
        <v>5.4945054945054944E-2</v>
      </c>
      <c r="R979" s="10">
        <f t="shared" si="141"/>
        <v>0.25387596899224807</v>
      </c>
      <c r="S979" s="18">
        <f t="shared" si="142"/>
        <v>89.534883720930239</v>
      </c>
      <c r="T979" s="8">
        <f>480-ProductionData[[#This Row],[Downtime Minutes]]</f>
        <v>413</v>
      </c>
      <c r="U979" s="11">
        <f t="shared" si="143"/>
        <v>0.88135593220338981</v>
      </c>
      <c r="V979" s="18">
        <f>ProductionData[[#This Row],[Profit]]/ProductionData[[#This Row],[Good Units]]</f>
        <v>30.465116279069768</v>
      </c>
      <c r="W979" s="11">
        <f>ProductionData[[#This Row],[Good Units]]/ProductionData[[#This Row],[Operating Minutes]]</f>
        <v>0.83292978208232449</v>
      </c>
    </row>
    <row r="980" spans="1:23">
      <c r="A980" s="7">
        <v>46312</v>
      </c>
      <c r="B980" s="8" t="s">
        <v>31</v>
      </c>
      <c r="C980" s="8" t="s">
        <v>28</v>
      </c>
      <c r="D980" s="8" t="s">
        <v>21</v>
      </c>
      <c r="E980" s="8" t="s">
        <v>22</v>
      </c>
      <c r="F980" s="9">
        <v>460</v>
      </c>
      <c r="G980" s="9">
        <v>438</v>
      </c>
      <c r="H980" s="9">
        <v>19</v>
      </c>
      <c r="I980" s="9">
        <f t="shared" si="135"/>
        <v>419</v>
      </c>
      <c r="J980" s="9">
        <v>26</v>
      </c>
      <c r="K980" s="10">
        <f t="shared" si="136"/>
        <v>5.4166666666666669E-2</v>
      </c>
      <c r="L980" s="17">
        <v>100</v>
      </c>
      <c r="M980" s="17">
        <v>30800</v>
      </c>
      <c r="N980" s="17">
        <f t="shared" si="137"/>
        <v>41900</v>
      </c>
      <c r="O980" s="17">
        <f t="shared" si="138"/>
        <v>11100</v>
      </c>
      <c r="P980" s="10">
        <f t="shared" si="139"/>
        <v>0.95217391304347831</v>
      </c>
      <c r="Q980" s="10">
        <f t="shared" si="140"/>
        <v>4.3378995433789952E-2</v>
      </c>
      <c r="R980" s="10">
        <f t="shared" si="141"/>
        <v>0.2649164677804296</v>
      </c>
      <c r="S980" s="18">
        <f t="shared" si="142"/>
        <v>73.508353221957037</v>
      </c>
      <c r="T980" s="8">
        <f>480-ProductionData[[#This Row],[Downtime Minutes]]</f>
        <v>454</v>
      </c>
      <c r="U980" s="11">
        <f t="shared" si="143"/>
        <v>0.96475770925110127</v>
      </c>
      <c r="V980" s="18">
        <f>ProductionData[[#This Row],[Profit]]/ProductionData[[#This Row],[Good Units]]</f>
        <v>26.491646778042959</v>
      </c>
      <c r="W980" s="11">
        <f>ProductionData[[#This Row],[Good Units]]/ProductionData[[#This Row],[Operating Minutes]]</f>
        <v>0.9229074889867841</v>
      </c>
    </row>
    <row r="981" spans="1:23">
      <c r="A981" s="7">
        <v>46312</v>
      </c>
      <c r="B981" s="8" t="s">
        <v>31</v>
      </c>
      <c r="C981" s="8" t="s">
        <v>28</v>
      </c>
      <c r="D981" s="8" t="s">
        <v>23</v>
      </c>
      <c r="E981" s="8" t="s">
        <v>24</v>
      </c>
      <c r="F981" s="9">
        <v>410</v>
      </c>
      <c r="G981" s="9">
        <v>394</v>
      </c>
      <c r="H981" s="9">
        <v>12</v>
      </c>
      <c r="I981" s="9">
        <f t="shared" si="135"/>
        <v>382</v>
      </c>
      <c r="J981" s="9">
        <v>19</v>
      </c>
      <c r="K981" s="10">
        <f t="shared" si="136"/>
        <v>3.9583333333333331E-2</v>
      </c>
      <c r="L981" s="17">
        <v>120</v>
      </c>
      <c r="M981" s="17">
        <v>30800</v>
      </c>
      <c r="N981" s="17">
        <f t="shared" si="137"/>
        <v>45840</v>
      </c>
      <c r="O981" s="17">
        <f t="shared" si="138"/>
        <v>15040</v>
      </c>
      <c r="P981" s="10">
        <f t="shared" si="139"/>
        <v>0.96097560975609753</v>
      </c>
      <c r="Q981" s="10">
        <f t="shared" si="140"/>
        <v>3.0456852791878174E-2</v>
      </c>
      <c r="R981" s="10">
        <f t="shared" si="141"/>
        <v>0.32809773123909247</v>
      </c>
      <c r="S981" s="18">
        <f t="shared" si="142"/>
        <v>80.6282722513089</v>
      </c>
      <c r="T981" s="8">
        <f>480-ProductionData[[#This Row],[Downtime Minutes]]</f>
        <v>461</v>
      </c>
      <c r="U981" s="11">
        <f t="shared" si="143"/>
        <v>0.85466377440347074</v>
      </c>
      <c r="V981" s="18">
        <f>ProductionData[[#This Row],[Profit]]/ProductionData[[#This Row],[Good Units]]</f>
        <v>39.3717277486911</v>
      </c>
      <c r="W981" s="11">
        <f>ProductionData[[#This Row],[Good Units]]/ProductionData[[#This Row],[Operating Minutes]]</f>
        <v>0.82863340563991328</v>
      </c>
    </row>
    <row r="982" spans="1:23">
      <c r="A982" s="7">
        <v>46312</v>
      </c>
      <c r="B982" s="8" t="s">
        <v>31</v>
      </c>
      <c r="C982" s="8" t="s">
        <v>28</v>
      </c>
      <c r="D982" s="8" t="s">
        <v>25</v>
      </c>
      <c r="E982" s="8" t="s">
        <v>26</v>
      </c>
      <c r="F982" s="9">
        <v>500</v>
      </c>
      <c r="G982" s="9">
        <v>465</v>
      </c>
      <c r="H982" s="9">
        <v>22</v>
      </c>
      <c r="I982" s="9">
        <f t="shared" si="135"/>
        <v>443</v>
      </c>
      <c r="J982" s="9">
        <v>23</v>
      </c>
      <c r="K982" s="10">
        <f t="shared" si="136"/>
        <v>4.791666666666667E-2</v>
      </c>
      <c r="L982" s="17">
        <v>90</v>
      </c>
      <c r="M982" s="17">
        <v>30800</v>
      </c>
      <c r="N982" s="17">
        <f t="shared" si="137"/>
        <v>39870</v>
      </c>
      <c r="O982" s="17">
        <f t="shared" si="138"/>
        <v>9070</v>
      </c>
      <c r="P982" s="10">
        <f t="shared" si="139"/>
        <v>0.93</v>
      </c>
      <c r="Q982" s="10">
        <f t="shared" si="140"/>
        <v>4.7311827956989246E-2</v>
      </c>
      <c r="R982" s="10">
        <f t="shared" si="141"/>
        <v>0.2274893403561575</v>
      </c>
      <c r="S982" s="18">
        <f t="shared" si="142"/>
        <v>69.525959367945831</v>
      </c>
      <c r="T982" s="8">
        <f>480-ProductionData[[#This Row],[Downtime Minutes]]</f>
        <v>457</v>
      </c>
      <c r="U982" s="11">
        <f t="shared" si="143"/>
        <v>1.0175054704595186</v>
      </c>
      <c r="V982" s="18">
        <f>ProductionData[[#This Row],[Profit]]/ProductionData[[#This Row],[Good Units]]</f>
        <v>20.474040632054177</v>
      </c>
      <c r="W982" s="11">
        <f>ProductionData[[#This Row],[Good Units]]/ProductionData[[#This Row],[Operating Minutes]]</f>
        <v>0.96936542669584247</v>
      </c>
    </row>
    <row r="983" spans="1:23">
      <c r="A983" s="7">
        <v>46313</v>
      </c>
      <c r="B983" s="8" t="s">
        <v>31</v>
      </c>
      <c r="C983" s="8" t="s">
        <v>20</v>
      </c>
      <c r="D983" s="8" t="s">
        <v>21</v>
      </c>
      <c r="E983" s="8" t="s">
        <v>26</v>
      </c>
      <c r="F983" s="9">
        <v>510</v>
      </c>
      <c r="G983" s="9">
        <v>480</v>
      </c>
      <c r="H983" s="9">
        <v>16</v>
      </c>
      <c r="I983" s="9">
        <f t="shared" si="135"/>
        <v>464</v>
      </c>
      <c r="J983" s="9">
        <v>31</v>
      </c>
      <c r="K983" s="10">
        <f t="shared" si="136"/>
        <v>6.458333333333334E-2</v>
      </c>
      <c r="L983" s="17">
        <v>90</v>
      </c>
      <c r="M983" s="17">
        <v>30800</v>
      </c>
      <c r="N983" s="17">
        <f t="shared" si="137"/>
        <v>41760</v>
      </c>
      <c r="O983" s="17">
        <f t="shared" si="138"/>
        <v>10960</v>
      </c>
      <c r="P983" s="10">
        <f t="shared" si="139"/>
        <v>0.94117647058823528</v>
      </c>
      <c r="Q983" s="10">
        <f t="shared" si="140"/>
        <v>3.3333333333333333E-2</v>
      </c>
      <c r="R983" s="10">
        <f t="shared" si="141"/>
        <v>0.26245210727969348</v>
      </c>
      <c r="S983" s="18">
        <f t="shared" si="142"/>
        <v>66.379310344827587</v>
      </c>
      <c r="T983" s="8">
        <f>480-ProductionData[[#This Row],[Downtime Minutes]]</f>
        <v>449</v>
      </c>
      <c r="U983" s="11">
        <f t="shared" si="143"/>
        <v>1.069042316258352</v>
      </c>
      <c r="V983" s="18">
        <f>ProductionData[[#This Row],[Profit]]/ProductionData[[#This Row],[Good Units]]</f>
        <v>23.620689655172413</v>
      </c>
      <c r="W983" s="11">
        <f>ProductionData[[#This Row],[Good Units]]/ProductionData[[#This Row],[Operating Minutes]]</f>
        <v>1.0334075723830736</v>
      </c>
    </row>
    <row r="984" spans="1:23">
      <c r="A984" s="7">
        <v>46313</v>
      </c>
      <c r="B984" s="8" t="s">
        <v>31</v>
      </c>
      <c r="C984" s="8" t="s">
        <v>20</v>
      </c>
      <c r="D984" s="8" t="s">
        <v>23</v>
      </c>
      <c r="E984" s="8" t="s">
        <v>22</v>
      </c>
      <c r="F984" s="9">
        <v>460</v>
      </c>
      <c r="G984" s="9">
        <v>421</v>
      </c>
      <c r="H984" s="9">
        <v>18</v>
      </c>
      <c r="I984" s="9">
        <f t="shared" si="135"/>
        <v>403</v>
      </c>
      <c r="J984" s="9">
        <v>37</v>
      </c>
      <c r="K984" s="10">
        <f t="shared" si="136"/>
        <v>7.7083333333333337E-2</v>
      </c>
      <c r="L984" s="17">
        <v>100</v>
      </c>
      <c r="M984" s="17">
        <v>30800</v>
      </c>
      <c r="N984" s="17">
        <f t="shared" si="137"/>
        <v>40300</v>
      </c>
      <c r="O984" s="17">
        <f t="shared" si="138"/>
        <v>9500</v>
      </c>
      <c r="P984" s="10">
        <f t="shared" si="139"/>
        <v>0.91521739130434787</v>
      </c>
      <c r="Q984" s="10">
        <f t="shared" si="140"/>
        <v>4.2755344418052253E-2</v>
      </c>
      <c r="R984" s="10">
        <f t="shared" si="141"/>
        <v>0.23573200992555832</v>
      </c>
      <c r="S984" s="18">
        <f t="shared" si="142"/>
        <v>76.426799007444174</v>
      </c>
      <c r="T984" s="8">
        <f>480-ProductionData[[#This Row],[Downtime Minutes]]</f>
        <v>443</v>
      </c>
      <c r="U984" s="11">
        <f t="shared" si="143"/>
        <v>0.95033860045146723</v>
      </c>
      <c r="V984" s="18">
        <f>ProductionData[[#This Row],[Profit]]/ProductionData[[#This Row],[Good Units]]</f>
        <v>23.573200992555833</v>
      </c>
      <c r="W984" s="11">
        <f>ProductionData[[#This Row],[Good Units]]/ProductionData[[#This Row],[Operating Minutes]]</f>
        <v>0.90970654627539504</v>
      </c>
    </row>
    <row r="985" spans="1:23">
      <c r="A985" s="7">
        <v>46313</v>
      </c>
      <c r="B985" s="8" t="s">
        <v>31</v>
      </c>
      <c r="C985" s="8" t="s">
        <v>20</v>
      </c>
      <c r="D985" s="8" t="s">
        <v>25</v>
      </c>
      <c r="E985" s="8" t="s">
        <v>24</v>
      </c>
      <c r="F985" s="9">
        <v>390</v>
      </c>
      <c r="G985" s="9">
        <v>350</v>
      </c>
      <c r="H985" s="9">
        <v>13</v>
      </c>
      <c r="I985" s="9">
        <f t="shared" si="135"/>
        <v>337</v>
      </c>
      <c r="J985" s="9">
        <v>51</v>
      </c>
      <c r="K985" s="10">
        <f t="shared" si="136"/>
        <v>0.10625</v>
      </c>
      <c r="L985" s="17">
        <v>120</v>
      </c>
      <c r="M985" s="17">
        <v>30800</v>
      </c>
      <c r="N985" s="17">
        <f t="shared" si="137"/>
        <v>40440</v>
      </c>
      <c r="O985" s="17">
        <f t="shared" si="138"/>
        <v>9640</v>
      </c>
      <c r="P985" s="10">
        <f t="shared" si="139"/>
        <v>0.89743589743589747</v>
      </c>
      <c r="Q985" s="10">
        <f t="shared" si="140"/>
        <v>3.7142857142857144E-2</v>
      </c>
      <c r="R985" s="10">
        <f t="shared" si="141"/>
        <v>0.23837784371909002</v>
      </c>
      <c r="S985" s="18">
        <f t="shared" si="142"/>
        <v>91.394658753709194</v>
      </c>
      <c r="T985" s="8">
        <f>480-ProductionData[[#This Row],[Downtime Minutes]]</f>
        <v>429</v>
      </c>
      <c r="U985" s="11">
        <f t="shared" si="143"/>
        <v>0.81585081585081587</v>
      </c>
      <c r="V985" s="18">
        <f>ProductionData[[#This Row],[Profit]]/ProductionData[[#This Row],[Good Units]]</f>
        <v>28.605341246290802</v>
      </c>
      <c r="W985" s="11">
        <f>ProductionData[[#This Row],[Good Units]]/ProductionData[[#This Row],[Operating Minutes]]</f>
        <v>0.78554778554778559</v>
      </c>
    </row>
    <row r="986" spans="1:23">
      <c r="A986" s="7">
        <v>46313</v>
      </c>
      <c r="B986" s="8" t="s">
        <v>31</v>
      </c>
      <c r="C986" s="8" t="s">
        <v>27</v>
      </c>
      <c r="D986" s="8" t="s">
        <v>21</v>
      </c>
      <c r="E986" s="8" t="s">
        <v>22</v>
      </c>
      <c r="F986" s="9">
        <v>440</v>
      </c>
      <c r="G986" s="9">
        <v>395</v>
      </c>
      <c r="H986" s="9">
        <v>27</v>
      </c>
      <c r="I986" s="9">
        <f t="shared" si="135"/>
        <v>368</v>
      </c>
      <c r="J986" s="9">
        <v>52</v>
      </c>
      <c r="K986" s="10">
        <f t="shared" si="136"/>
        <v>0.10833333333333334</v>
      </c>
      <c r="L986" s="17">
        <v>100</v>
      </c>
      <c r="M986" s="17">
        <v>30800</v>
      </c>
      <c r="N986" s="17">
        <f t="shared" si="137"/>
        <v>36800</v>
      </c>
      <c r="O986" s="17">
        <f t="shared" si="138"/>
        <v>6000</v>
      </c>
      <c r="P986" s="10">
        <f t="shared" si="139"/>
        <v>0.89772727272727271</v>
      </c>
      <c r="Q986" s="10">
        <f t="shared" si="140"/>
        <v>6.8354430379746839E-2</v>
      </c>
      <c r="R986" s="10">
        <f t="shared" si="141"/>
        <v>0.16304347826086957</v>
      </c>
      <c r="S986" s="18">
        <f t="shared" si="142"/>
        <v>83.695652173913047</v>
      </c>
      <c r="T986" s="8">
        <f>480-ProductionData[[#This Row],[Downtime Minutes]]</f>
        <v>428</v>
      </c>
      <c r="U986" s="11">
        <f t="shared" si="143"/>
        <v>0.92289719626168221</v>
      </c>
      <c r="V986" s="18">
        <f>ProductionData[[#This Row],[Profit]]/ProductionData[[#This Row],[Good Units]]</f>
        <v>16.304347826086957</v>
      </c>
      <c r="W986" s="11">
        <f>ProductionData[[#This Row],[Good Units]]/ProductionData[[#This Row],[Operating Minutes]]</f>
        <v>0.85981308411214952</v>
      </c>
    </row>
    <row r="987" spans="1:23">
      <c r="A987" s="7">
        <v>46313</v>
      </c>
      <c r="B987" s="8" t="s">
        <v>31</v>
      </c>
      <c r="C987" s="8" t="s">
        <v>27</v>
      </c>
      <c r="D987" s="8" t="s">
        <v>23</v>
      </c>
      <c r="E987" s="8" t="s">
        <v>24</v>
      </c>
      <c r="F987" s="9">
        <v>400</v>
      </c>
      <c r="G987" s="9">
        <v>355</v>
      </c>
      <c r="H987" s="9">
        <v>16</v>
      </c>
      <c r="I987" s="9">
        <f t="shared" si="135"/>
        <v>339</v>
      </c>
      <c r="J987" s="9">
        <v>43</v>
      </c>
      <c r="K987" s="10">
        <f t="shared" si="136"/>
        <v>8.9583333333333334E-2</v>
      </c>
      <c r="L987" s="17">
        <v>120</v>
      </c>
      <c r="M987" s="17">
        <v>30800</v>
      </c>
      <c r="N987" s="17">
        <f t="shared" si="137"/>
        <v>40680</v>
      </c>
      <c r="O987" s="17">
        <f t="shared" si="138"/>
        <v>9880</v>
      </c>
      <c r="P987" s="10">
        <f t="shared" si="139"/>
        <v>0.88749999999999996</v>
      </c>
      <c r="Q987" s="10">
        <f t="shared" si="140"/>
        <v>4.507042253521127E-2</v>
      </c>
      <c r="R987" s="10">
        <f t="shared" si="141"/>
        <v>0.24287118977384464</v>
      </c>
      <c r="S987" s="18">
        <f t="shared" si="142"/>
        <v>90.855457227138643</v>
      </c>
      <c r="T987" s="8">
        <f>480-ProductionData[[#This Row],[Downtime Minutes]]</f>
        <v>437</v>
      </c>
      <c r="U987" s="11">
        <f t="shared" si="143"/>
        <v>0.81235697940503437</v>
      </c>
      <c r="V987" s="18">
        <f>ProductionData[[#This Row],[Profit]]/ProductionData[[#This Row],[Good Units]]</f>
        <v>29.144542772861357</v>
      </c>
      <c r="W987" s="11">
        <f>ProductionData[[#This Row],[Good Units]]/ProductionData[[#This Row],[Operating Minutes]]</f>
        <v>0.77574370709382146</v>
      </c>
    </row>
    <row r="988" spans="1:23">
      <c r="A988" s="7">
        <v>46313</v>
      </c>
      <c r="B988" s="8" t="s">
        <v>31</v>
      </c>
      <c r="C988" s="8" t="s">
        <v>27</v>
      </c>
      <c r="D988" s="8" t="s">
        <v>25</v>
      </c>
      <c r="E988" s="8" t="s">
        <v>26</v>
      </c>
      <c r="F988" s="9">
        <v>510</v>
      </c>
      <c r="G988" s="9">
        <v>444</v>
      </c>
      <c r="H988" s="9">
        <v>31</v>
      </c>
      <c r="I988" s="9">
        <f t="shared" si="135"/>
        <v>413</v>
      </c>
      <c r="J988" s="9">
        <v>66</v>
      </c>
      <c r="K988" s="10">
        <f t="shared" si="136"/>
        <v>0.13750000000000001</v>
      </c>
      <c r="L988" s="17">
        <v>90</v>
      </c>
      <c r="M988" s="17">
        <v>30800</v>
      </c>
      <c r="N988" s="17">
        <f t="shared" si="137"/>
        <v>37170</v>
      </c>
      <c r="O988" s="17">
        <f t="shared" si="138"/>
        <v>6370</v>
      </c>
      <c r="P988" s="10">
        <f t="shared" si="139"/>
        <v>0.87058823529411766</v>
      </c>
      <c r="Q988" s="10">
        <f t="shared" si="140"/>
        <v>6.9819819819819814E-2</v>
      </c>
      <c r="R988" s="10">
        <f t="shared" si="141"/>
        <v>0.17137476459510359</v>
      </c>
      <c r="S988" s="18">
        <f t="shared" si="142"/>
        <v>74.576271186440678</v>
      </c>
      <c r="T988" s="8">
        <f>480-ProductionData[[#This Row],[Downtime Minutes]]</f>
        <v>414</v>
      </c>
      <c r="U988" s="11">
        <f t="shared" si="143"/>
        <v>1.0724637681159421</v>
      </c>
      <c r="V988" s="18">
        <f>ProductionData[[#This Row],[Profit]]/ProductionData[[#This Row],[Good Units]]</f>
        <v>15.423728813559322</v>
      </c>
      <c r="W988" s="11">
        <f>ProductionData[[#This Row],[Good Units]]/ProductionData[[#This Row],[Operating Minutes]]</f>
        <v>0.99758454106280192</v>
      </c>
    </row>
    <row r="989" spans="1:23">
      <c r="A989" s="7">
        <v>46313</v>
      </c>
      <c r="B989" s="8" t="s">
        <v>31</v>
      </c>
      <c r="C989" s="8" t="s">
        <v>28</v>
      </c>
      <c r="D989" s="8" t="s">
        <v>21</v>
      </c>
      <c r="E989" s="8" t="s">
        <v>24</v>
      </c>
      <c r="F989" s="9">
        <v>390</v>
      </c>
      <c r="G989" s="9">
        <v>376</v>
      </c>
      <c r="H989" s="9">
        <v>6</v>
      </c>
      <c r="I989" s="9">
        <f t="shared" si="135"/>
        <v>370</v>
      </c>
      <c r="J989" s="9">
        <v>25</v>
      </c>
      <c r="K989" s="10">
        <f t="shared" si="136"/>
        <v>5.2083333333333336E-2</v>
      </c>
      <c r="L989" s="17">
        <v>120</v>
      </c>
      <c r="M989" s="17">
        <v>30800</v>
      </c>
      <c r="N989" s="17">
        <f t="shared" si="137"/>
        <v>44400</v>
      </c>
      <c r="O989" s="17">
        <f t="shared" si="138"/>
        <v>13600</v>
      </c>
      <c r="P989" s="10">
        <f t="shared" si="139"/>
        <v>0.96410256410256412</v>
      </c>
      <c r="Q989" s="10">
        <f t="shared" si="140"/>
        <v>1.5957446808510637E-2</v>
      </c>
      <c r="R989" s="10">
        <f t="shared" si="141"/>
        <v>0.30630630630630629</v>
      </c>
      <c r="S989" s="18">
        <f t="shared" si="142"/>
        <v>83.243243243243242</v>
      </c>
      <c r="T989" s="8">
        <f>480-ProductionData[[#This Row],[Downtime Minutes]]</f>
        <v>455</v>
      </c>
      <c r="U989" s="11">
        <f t="shared" si="143"/>
        <v>0.82637362637362632</v>
      </c>
      <c r="V989" s="18">
        <f>ProductionData[[#This Row],[Profit]]/ProductionData[[#This Row],[Good Units]]</f>
        <v>36.756756756756758</v>
      </c>
      <c r="W989" s="11">
        <f>ProductionData[[#This Row],[Good Units]]/ProductionData[[#This Row],[Operating Minutes]]</f>
        <v>0.81318681318681318</v>
      </c>
    </row>
    <row r="990" spans="1:23">
      <c r="A990" s="7">
        <v>46313</v>
      </c>
      <c r="B990" s="8" t="s">
        <v>31</v>
      </c>
      <c r="C990" s="8" t="s">
        <v>28</v>
      </c>
      <c r="D990" s="8" t="s">
        <v>23</v>
      </c>
      <c r="E990" s="8" t="s">
        <v>26</v>
      </c>
      <c r="F990" s="9">
        <v>480</v>
      </c>
      <c r="G990" s="9">
        <v>469</v>
      </c>
      <c r="H990" s="9">
        <v>15</v>
      </c>
      <c r="I990" s="9">
        <f t="shared" si="135"/>
        <v>454</v>
      </c>
      <c r="J990" s="9">
        <v>14</v>
      </c>
      <c r="K990" s="10">
        <f t="shared" si="136"/>
        <v>2.9166666666666667E-2</v>
      </c>
      <c r="L990" s="17">
        <v>90</v>
      </c>
      <c r="M990" s="17">
        <v>30800</v>
      </c>
      <c r="N990" s="17">
        <f t="shared" si="137"/>
        <v>40860</v>
      </c>
      <c r="O990" s="17">
        <f t="shared" si="138"/>
        <v>10060</v>
      </c>
      <c r="P990" s="10">
        <f t="shared" si="139"/>
        <v>0.9770833333333333</v>
      </c>
      <c r="Q990" s="10">
        <f t="shared" si="140"/>
        <v>3.1982942430703626E-2</v>
      </c>
      <c r="R990" s="10">
        <f t="shared" si="141"/>
        <v>0.24620655898188937</v>
      </c>
      <c r="S990" s="18">
        <f t="shared" si="142"/>
        <v>67.841409691629963</v>
      </c>
      <c r="T990" s="8">
        <f>480-ProductionData[[#This Row],[Downtime Minutes]]</f>
        <v>466</v>
      </c>
      <c r="U990" s="11">
        <f t="shared" si="143"/>
        <v>1.0064377682403434</v>
      </c>
      <c r="V990" s="18">
        <f>ProductionData[[#This Row],[Profit]]/ProductionData[[#This Row],[Good Units]]</f>
        <v>22.158590308370044</v>
      </c>
      <c r="W990" s="11">
        <f>ProductionData[[#This Row],[Good Units]]/ProductionData[[#This Row],[Operating Minutes]]</f>
        <v>0.97424892703862664</v>
      </c>
    </row>
    <row r="991" spans="1:23">
      <c r="A991" s="7">
        <v>46313</v>
      </c>
      <c r="B991" s="8" t="s">
        <v>31</v>
      </c>
      <c r="C991" s="8" t="s">
        <v>28</v>
      </c>
      <c r="D991" s="8" t="s">
        <v>25</v>
      </c>
      <c r="E991" s="8" t="s">
        <v>22</v>
      </c>
      <c r="F991" s="9">
        <v>440</v>
      </c>
      <c r="G991" s="9">
        <v>400</v>
      </c>
      <c r="H991" s="9">
        <v>21</v>
      </c>
      <c r="I991" s="9">
        <f t="shared" si="135"/>
        <v>379</v>
      </c>
      <c r="J991" s="9">
        <v>40</v>
      </c>
      <c r="K991" s="10">
        <f t="shared" si="136"/>
        <v>8.3333333333333329E-2</v>
      </c>
      <c r="L991" s="17">
        <v>100</v>
      </c>
      <c r="M991" s="17">
        <v>30800</v>
      </c>
      <c r="N991" s="17">
        <f t="shared" si="137"/>
        <v>37900</v>
      </c>
      <c r="O991" s="17">
        <f t="shared" si="138"/>
        <v>7100</v>
      </c>
      <c r="P991" s="10">
        <f t="shared" si="139"/>
        <v>0.90909090909090906</v>
      </c>
      <c r="Q991" s="10">
        <f t="shared" si="140"/>
        <v>5.2499999999999998E-2</v>
      </c>
      <c r="R991" s="10">
        <f t="shared" si="141"/>
        <v>0.18733509234828497</v>
      </c>
      <c r="S991" s="18">
        <f t="shared" si="142"/>
        <v>81.266490765171497</v>
      </c>
      <c r="T991" s="8">
        <f>480-ProductionData[[#This Row],[Downtime Minutes]]</f>
        <v>440</v>
      </c>
      <c r="U991" s="11">
        <f t="shared" si="143"/>
        <v>0.90909090909090906</v>
      </c>
      <c r="V991" s="18">
        <f>ProductionData[[#This Row],[Profit]]/ProductionData[[#This Row],[Good Units]]</f>
        <v>18.733509234828496</v>
      </c>
      <c r="W991" s="11">
        <f>ProductionData[[#This Row],[Good Units]]/ProductionData[[#This Row],[Operating Minutes]]</f>
        <v>0.86136363636363633</v>
      </c>
    </row>
    <row r="992" spans="1:23">
      <c r="A992" s="7">
        <v>46314</v>
      </c>
      <c r="B992" s="8" t="s">
        <v>31</v>
      </c>
      <c r="C992" s="8" t="s">
        <v>20</v>
      </c>
      <c r="D992" s="8" t="s">
        <v>21</v>
      </c>
      <c r="E992" s="8" t="s">
        <v>22</v>
      </c>
      <c r="F992" s="9">
        <v>440</v>
      </c>
      <c r="G992" s="9">
        <v>424</v>
      </c>
      <c r="H992" s="9">
        <v>18</v>
      </c>
      <c r="I992" s="9">
        <f t="shared" si="135"/>
        <v>406</v>
      </c>
      <c r="J992" s="9">
        <v>27</v>
      </c>
      <c r="K992" s="10">
        <f t="shared" si="136"/>
        <v>5.6250000000000001E-2</v>
      </c>
      <c r="L992" s="17">
        <v>100</v>
      </c>
      <c r="M992" s="17">
        <v>30800</v>
      </c>
      <c r="N992" s="17">
        <f t="shared" si="137"/>
        <v>40600</v>
      </c>
      <c r="O992" s="17">
        <f t="shared" si="138"/>
        <v>9800</v>
      </c>
      <c r="P992" s="10">
        <f t="shared" si="139"/>
        <v>0.96363636363636362</v>
      </c>
      <c r="Q992" s="10">
        <f t="shared" si="140"/>
        <v>4.2452830188679243E-2</v>
      </c>
      <c r="R992" s="10">
        <f t="shared" si="141"/>
        <v>0.2413793103448276</v>
      </c>
      <c r="S992" s="18">
        <f t="shared" si="142"/>
        <v>75.862068965517238</v>
      </c>
      <c r="T992" s="8">
        <f>480-ProductionData[[#This Row],[Downtime Minutes]]</f>
        <v>453</v>
      </c>
      <c r="U992" s="11">
        <f t="shared" si="143"/>
        <v>0.9359823399558499</v>
      </c>
      <c r="V992" s="18">
        <f>ProductionData[[#This Row],[Profit]]/ProductionData[[#This Row],[Good Units]]</f>
        <v>24.137931034482758</v>
      </c>
      <c r="W992" s="11">
        <f>ProductionData[[#This Row],[Good Units]]/ProductionData[[#This Row],[Operating Minutes]]</f>
        <v>0.89624724061810157</v>
      </c>
    </row>
    <row r="993" spans="1:23">
      <c r="A993" s="7">
        <v>46314</v>
      </c>
      <c r="B993" s="8" t="s">
        <v>31</v>
      </c>
      <c r="C993" s="8" t="s">
        <v>20</v>
      </c>
      <c r="D993" s="8" t="s">
        <v>23</v>
      </c>
      <c r="E993" s="8" t="s">
        <v>24</v>
      </c>
      <c r="F993" s="9">
        <v>400</v>
      </c>
      <c r="G993" s="9">
        <v>368</v>
      </c>
      <c r="H993" s="9">
        <v>9</v>
      </c>
      <c r="I993" s="9">
        <f t="shared" si="135"/>
        <v>359</v>
      </c>
      <c r="J993" s="9">
        <v>36</v>
      </c>
      <c r="K993" s="10">
        <f t="shared" si="136"/>
        <v>7.4999999999999997E-2</v>
      </c>
      <c r="L993" s="17">
        <v>120</v>
      </c>
      <c r="M993" s="17">
        <v>30800</v>
      </c>
      <c r="N993" s="17">
        <f t="shared" si="137"/>
        <v>43080</v>
      </c>
      <c r="O993" s="17">
        <f t="shared" si="138"/>
        <v>12280</v>
      </c>
      <c r="P993" s="10">
        <f t="shared" si="139"/>
        <v>0.92</v>
      </c>
      <c r="Q993" s="10">
        <f t="shared" si="140"/>
        <v>2.4456521739130436E-2</v>
      </c>
      <c r="R993" s="10">
        <f t="shared" si="141"/>
        <v>0.2850510677808728</v>
      </c>
      <c r="S993" s="18">
        <f t="shared" si="142"/>
        <v>85.793871866295262</v>
      </c>
      <c r="T993" s="8">
        <f>480-ProductionData[[#This Row],[Downtime Minutes]]</f>
        <v>444</v>
      </c>
      <c r="U993" s="11">
        <f t="shared" si="143"/>
        <v>0.8288288288288288</v>
      </c>
      <c r="V993" s="18">
        <f>ProductionData[[#This Row],[Profit]]/ProductionData[[#This Row],[Good Units]]</f>
        <v>34.206128133704738</v>
      </c>
      <c r="W993" s="11">
        <f>ProductionData[[#This Row],[Good Units]]/ProductionData[[#This Row],[Operating Minutes]]</f>
        <v>0.80855855855855852</v>
      </c>
    </row>
    <row r="994" spans="1:23">
      <c r="A994" s="7">
        <v>46314</v>
      </c>
      <c r="B994" s="8" t="s">
        <v>31</v>
      </c>
      <c r="C994" s="8" t="s">
        <v>20</v>
      </c>
      <c r="D994" s="8" t="s">
        <v>25</v>
      </c>
      <c r="E994" s="8" t="s">
        <v>26</v>
      </c>
      <c r="F994" s="9">
        <v>510</v>
      </c>
      <c r="G994" s="9">
        <v>462</v>
      </c>
      <c r="H994" s="9">
        <v>24</v>
      </c>
      <c r="I994" s="9">
        <f t="shared" si="135"/>
        <v>438</v>
      </c>
      <c r="J994" s="9">
        <v>34</v>
      </c>
      <c r="K994" s="10">
        <f t="shared" si="136"/>
        <v>7.0833333333333331E-2</v>
      </c>
      <c r="L994" s="17">
        <v>90</v>
      </c>
      <c r="M994" s="17">
        <v>30800</v>
      </c>
      <c r="N994" s="17">
        <f t="shared" si="137"/>
        <v>39420</v>
      </c>
      <c r="O994" s="17">
        <f t="shared" si="138"/>
        <v>8620</v>
      </c>
      <c r="P994" s="10">
        <f t="shared" si="139"/>
        <v>0.90588235294117647</v>
      </c>
      <c r="Q994" s="10">
        <f t="shared" si="140"/>
        <v>5.1948051948051951E-2</v>
      </c>
      <c r="R994" s="10">
        <f t="shared" si="141"/>
        <v>0.21867072552004058</v>
      </c>
      <c r="S994" s="18">
        <f t="shared" si="142"/>
        <v>70.319634703196343</v>
      </c>
      <c r="T994" s="8">
        <f>480-ProductionData[[#This Row],[Downtime Minutes]]</f>
        <v>446</v>
      </c>
      <c r="U994" s="11">
        <f t="shared" si="143"/>
        <v>1.0358744394618835</v>
      </c>
      <c r="V994" s="18">
        <f>ProductionData[[#This Row],[Profit]]/ProductionData[[#This Row],[Good Units]]</f>
        <v>19.680365296803654</v>
      </c>
      <c r="W994" s="11">
        <f>ProductionData[[#This Row],[Good Units]]/ProductionData[[#This Row],[Operating Minutes]]</f>
        <v>0.98206278026905824</v>
      </c>
    </row>
    <row r="995" spans="1:23">
      <c r="A995" s="7">
        <v>46314</v>
      </c>
      <c r="B995" s="8" t="s">
        <v>31</v>
      </c>
      <c r="C995" s="8" t="s">
        <v>27</v>
      </c>
      <c r="D995" s="8" t="s">
        <v>21</v>
      </c>
      <c r="E995" s="8" t="s">
        <v>24</v>
      </c>
      <c r="F995" s="9">
        <v>400</v>
      </c>
      <c r="G995" s="9">
        <v>371</v>
      </c>
      <c r="H995" s="9">
        <v>18</v>
      </c>
      <c r="I995" s="9">
        <f t="shared" si="135"/>
        <v>353</v>
      </c>
      <c r="J995" s="9">
        <v>41</v>
      </c>
      <c r="K995" s="10">
        <f t="shared" si="136"/>
        <v>8.5416666666666669E-2</v>
      </c>
      <c r="L995" s="17">
        <v>120</v>
      </c>
      <c r="M995" s="17">
        <v>30800</v>
      </c>
      <c r="N995" s="17">
        <f t="shared" si="137"/>
        <v>42360</v>
      </c>
      <c r="O995" s="17">
        <f t="shared" si="138"/>
        <v>11560</v>
      </c>
      <c r="P995" s="10">
        <f t="shared" si="139"/>
        <v>0.92749999999999999</v>
      </c>
      <c r="Q995" s="10">
        <f t="shared" si="140"/>
        <v>4.8517520215633422E-2</v>
      </c>
      <c r="R995" s="10">
        <f t="shared" si="141"/>
        <v>0.27289896128423041</v>
      </c>
      <c r="S995" s="18">
        <f t="shared" si="142"/>
        <v>87.252124645892351</v>
      </c>
      <c r="T995" s="8">
        <f>480-ProductionData[[#This Row],[Downtime Minutes]]</f>
        <v>439</v>
      </c>
      <c r="U995" s="11">
        <f t="shared" si="143"/>
        <v>0.84510250569476086</v>
      </c>
      <c r="V995" s="18">
        <f>ProductionData[[#This Row],[Profit]]/ProductionData[[#This Row],[Good Units]]</f>
        <v>32.747875354107649</v>
      </c>
      <c r="W995" s="11">
        <f>ProductionData[[#This Row],[Good Units]]/ProductionData[[#This Row],[Operating Minutes]]</f>
        <v>0.80410022779043278</v>
      </c>
    </row>
    <row r="996" spans="1:23">
      <c r="A996" s="7">
        <v>46314</v>
      </c>
      <c r="B996" s="8" t="s">
        <v>31</v>
      </c>
      <c r="C996" s="8" t="s">
        <v>27</v>
      </c>
      <c r="D996" s="8" t="s">
        <v>23</v>
      </c>
      <c r="E996" s="8" t="s">
        <v>26</v>
      </c>
      <c r="F996" s="9">
        <v>500</v>
      </c>
      <c r="G996" s="9">
        <v>448</v>
      </c>
      <c r="H996" s="9">
        <v>26</v>
      </c>
      <c r="I996" s="9">
        <f t="shared" si="135"/>
        <v>422</v>
      </c>
      <c r="J996" s="9">
        <v>56</v>
      </c>
      <c r="K996" s="10">
        <f t="shared" si="136"/>
        <v>0.11666666666666667</v>
      </c>
      <c r="L996" s="17">
        <v>90</v>
      </c>
      <c r="M996" s="17">
        <v>30800</v>
      </c>
      <c r="N996" s="17">
        <f t="shared" si="137"/>
        <v>37980</v>
      </c>
      <c r="O996" s="17">
        <f t="shared" si="138"/>
        <v>7180</v>
      </c>
      <c r="P996" s="10">
        <f t="shared" si="139"/>
        <v>0.89600000000000002</v>
      </c>
      <c r="Q996" s="10">
        <f t="shared" si="140"/>
        <v>5.8035714285714288E-2</v>
      </c>
      <c r="R996" s="10">
        <f t="shared" si="141"/>
        <v>0.18904686677198526</v>
      </c>
      <c r="S996" s="18">
        <f t="shared" si="142"/>
        <v>72.985781990521332</v>
      </c>
      <c r="T996" s="8">
        <f>480-ProductionData[[#This Row],[Downtime Minutes]]</f>
        <v>424</v>
      </c>
      <c r="U996" s="11">
        <f t="shared" si="143"/>
        <v>1.0566037735849056</v>
      </c>
      <c r="V996" s="18">
        <f>ProductionData[[#This Row],[Profit]]/ProductionData[[#This Row],[Good Units]]</f>
        <v>17.014218009478672</v>
      </c>
      <c r="W996" s="11">
        <f>ProductionData[[#This Row],[Good Units]]/ProductionData[[#This Row],[Operating Minutes]]</f>
        <v>0.99528301886792447</v>
      </c>
    </row>
    <row r="997" spans="1:23">
      <c r="A997" s="7">
        <v>46314</v>
      </c>
      <c r="B997" s="8" t="s">
        <v>31</v>
      </c>
      <c r="C997" s="8" t="s">
        <v>27</v>
      </c>
      <c r="D997" s="8" t="s">
        <v>25</v>
      </c>
      <c r="E997" s="8" t="s">
        <v>22</v>
      </c>
      <c r="F997" s="9">
        <v>450</v>
      </c>
      <c r="G997" s="9">
        <v>390</v>
      </c>
      <c r="H997" s="9">
        <v>28</v>
      </c>
      <c r="I997" s="9">
        <f t="shared" si="135"/>
        <v>362</v>
      </c>
      <c r="J997" s="9">
        <v>65</v>
      </c>
      <c r="K997" s="10">
        <f t="shared" si="136"/>
        <v>0.13541666666666666</v>
      </c>
      <c r="L997" s="17">
        <v>100</v>
      </c>
      <c r="M997" s="17">
        <v>30800</v>
      </c>
      <c r="N997" s="17">
        <f t="shared" si="137"/>
        <v>36200</v>
      </c>
      <c r="O997" s="17">
        <f t="shared" si="138"/>
        <v>5400</v>
      </c>
      <c r="P997" s="10">
        <f t="shared" si="139"/>
        <v>0.8666666666666667</v>
      </c>
      <c r="Q997" s="10">
        <f t="shared" si="140"/>
        <v>7.179487179487179E-2</v>
      </c>
      <c r="R997" s="10">
        <f t="shared" si="141"/>
        <v>0.14917127071823205</v>
      </c>
      <c r="S997" s="18">
        <f t="shared" si="142"/>
        <v>85.082872928176798</v>
      </c>
      <c r="T997" s="8">
        <f>480-ProductionData[[#This Row],[Downtime Minutes]]</f>
        <v>415</v>
      </c>
      <c r="U997" s="11">
        <f t="shared" si="143"/>
        <v>0.93975903614457834</v>
      </c>
      <c r="V997" s="18">
        <f>ProductionData[[#This Row],[Profit]]/ProductionData[[#This Row],[Good Units]]</f>
        <v>14.917127071823204</v>
      </c>
      <c r="W997" s="11">
        <f>ProductionData[[#This Row],[Good Units]]/ProductionData[[#This Row],[Operating Minutes]]</f>
        <v>0.87228915662650608</v>
      </c>
    </row>
    <row r="998" spans="1:23">
      <c r="A998" s="7">
        <v>46314</v>
      </c>
      <c r="B998" s="8" t="s">
        <v>31</v>
      </c>
      <c r="C998" s="8" t="s">
        <v>28</v>
      </c>
      <c r="D998" s="8" t="s">
        <v>21</v>
      </c>
      <c r="E998" s="8" t="s">
        <v>26</v>
      </c>
      <c r="F998" s="9">
        <v>500</v>
      </c>
      <c r="G998" s="9">
        <v>494</v>
      </c>
      <c r="H998" s="9">
        <v>12</v>
      </c>
      <c r="I998" s="9">
        <f t="shared" si="135"/>
        <v>482</v>
      </c>
      <c r="J998" s="9">
        <v>16</v>
      </c>
      <c r="K998" s="10">
        <f t="shared" si="136"/>
        <v>3.3333333333333333E-2</v>
      </c>
      <c r="L998" s="17">
        <v>90</v>
      </c>
      <c r="M998" s="17">
        <v>30800</v>
      </c>
      <c r="N998" s="17">
        <f t="shared" si="137"/>
        <v>43380</v>
      </c>
      <c r="O998" s="17">
        <f t="shared" si="138"/>
        <v>12580</v>
      </c>
      <c r="P998" s="10">
        <f t="shared" si="139"/>
        <v>0.98799999999999999</v>
      </c>
      <c r="Q998" s="10">
        <f t="shared" si="140"/>
        <v>2.4291497975708502E-2</v>
      </c>
      <c r="R998" s="10">
        <f t="shared" si="141"/>
        <v>0.28999538958045185</v>
      </c>
      <c r="S998" s="18">
        <f t="shared" si="142"/>
        <v>63.900414937759336</v>
      </c>
      <c r="T998" s="8">
        <f>480-ProductionData[[#This Row],[Downtime Minutes]]</f>
        <v>464</v>
      </c>
      <c r="U998" s="11">
        <f t="shared" si="143"/>
        <v>1.0646551724137931</v>
      </c>
      <c r="V998" s="18">
        <f>ProductionData[[#This Row],[Profit]]/ProductionData[[#This Row],[Good Units]]</f>
        <v>26.099585062240664</v>
      </c>
      <c r="W998" s="11">
        <f>ProductionData[[#This Row],[Good Units]]/ProductionData[[#This Row],[Operating Minutes]]</f>
        <v>1.0387931034482758</v>
      </c>
    </row>
    <row r="999" spans="1:23">
      <c r="A999" s="7">
        <v>46314</v>
      </c>
      <c r="B999" s="8" t="s">
        <v>31</v>
      </c>
      <c r="C999" s="8" t="s">
        <v>28</v>
      </c>
      <c r="D999" s="8" t="s">
        <v>23</v>
      </c>
      <c r="E999" s="8" t="s">
        <v>22</v>
      </c>
      <c r="F999" s="9">
        <v>440</v>
      </c>
      <c r="G999" s="9">
        <v>417</v>
      </c>
      <c r="H999" s="9">
        <v>15</v>
      </c>
      <c r="I999" s="9">
        <f t="shared" si="135"/>
        <v>402</v>
      </c>
      <c r="J999" s="9">
        <v>46</v>
      </c>
      <c r="K999" s="10">
        <f t="shared" si="136"/>
        <v>9.583333333333334E-2</v>
      </c>
      <c r="L999" s="17">
        <v>100</v>
      </c>
      <c r="M999" s="17">
        <v>30800</v>
      </c>
      <c r="N999" s="17">
        <f t="shared" si="137"/>
        <v>40200</v>
      </c>
      <c r="O999" s="17">
        <f t="shared" si="138"/>
        <v>9400</v>
      </c>
      <c r="P999" s="10">
        <f t="shared" si="139"/>
        <v>0.94772727272727275</v>
      </c>
      <c r="Q999" s="10">
        <f t="shared" si="140"/>
        <v>3.5971223021582732E-2</v>
      </c>
      <c r="R999" s="10">
        <f t="shared" si="141"/>
        <v>0.23383084577114427</v>
      </c>
      <c r="S999" s="18">
        <f t="shared" si="142"/>
        <v>76.616915422885569</v>
      </c>
      <c r="T999" s="8">
        <f>480-ProductionData[[#This Row],[Downtime Minutes]]</f>
        <v>434</v>
      </c>
      <c r="U999" s="11">
        <f t="shared" si="143"/>
        <v>0.96082949308755761</v>
      </c>
      <c r="V999" s="18">
        <f>ProductionData[[#This Row],[Profit]]/ProductionData[[#This Row],[Good Units]]</f>
        <v>23.383084577114428</v>
      </c>
      <c r="W999" s="11">
        <f>ProductionData[[#This Row],[Good Units]]/ProductionData[[#This Row],[Operating Minutes]]</f>
        <v>0.92626728110599077</v>
      </c>
    </row>
    <row r="1000" spans="1:23">
      <c r="A1000" s="7">
        <v>46314</v>
      </c>
      <c r="B1000" s="8" t="s">
        <v>31</v>
      </c>
      <c r="C1000" s="8" t="s">
        <v>28</v>
      </c>
      <c r="D1000" s="8" t="s">
        <v>25</v>
      </c>
      <c r="E1000" s="8" t="s">
        <v>24</v>
      </c>
      <c r="F1000" s="9">
        <v>400</v>
      </c>
      <c r="G1000" s="9">
        <v>371</v>
      </c>
      <c r="H1000" s="9">
        <v>10</v>
      </c>
      <c r="I1000" s="9">
        <f t="shared" si="135"/>
        <v>361</v>
      </c>
      <c r="J1000" s="9">
        <v>38</v>
      </c>
      <c r="K1000" s="10">
        <f t="shared" si="136"/>
        <v>7.9166666666666663E-2</v>
      </c>
      <c r="L1000" s="17">
        <v>120</v>
      </c>
      <c r="M1000" s="17">
        <v>30800</v>
      </c>
      <c r="N1000" s="17">
        <f t="shared" si="137"/>
        <v>43320</v>
      </c>
      <c r="O1000" s="17">
        <f t="shared" si="138"/>
        <v>12520</v>
      </c>
      <c r="P1000" s="10">
        <f t="shared" si="139"/>
        <v>0.92749999999999999</v>
      </c>
      <c r="Q1000" s="10">
        <f t="shared" si="140"/>
        <v>2.6954177897574125E-2</v>
      </c>
      <c r="R1000" s="10">
        <f t="shared" si="141"/>
        <v>0.28901200369344415</v>
      </c>
      <c r="S1000" s="18">
        <f t="shared" si="142"/>
        <v>85.31855955678671</v>
      </c>
      <c r="T1000" s="8">
        <f>480-ProductionData[[#This Row],[Downtime Minutes]]</f>
        <v>442</v>
      </c>
      <c r="U1000" s="11">
        <f t="shared" si="143"/>
        <v>0.83936651583710409</v>
      </c>
      <c r="V1000" s="18">
        <f>ProductionData[[#This Row],[Profit]]/ProductionData[[#This Row],[Good Units]]</f>
        <v>34.681440443213297</v>
      </c>
      <c r="W1000" s="11">
        <f>ProductionData[[#This Row],[Good Units]]/ProductionData[[#This Row],[Operating Minutes]]</f>
        <v>0.81674208144796379</v>
      </c>
    </row>
    <row r="1001" spans="1:23">
      <c r="A1001" s="7">
        <v>46315</v>
      </c>
      <c r="B1001" s="8" t="s">
        <v>31</v>
      </c>
      <c r="C1001" s="8" t="s">
        <v>20</v>
      </c>
      <c r="D1001" s="8" t="s">
        <v>21</v>
      </c>
      <c r="E1001" s="8" t="s">
        <v>24</v>
      </c>
      <c r="F1001" s="9">
        <v>390</v>
      </c>
      <c r="G1001" s="9">
        <v>376</v>
      </c>
      <c r="H1001" s="9">
        <v>12</v>
      </c>
      <c r="I1001" s="9">
        <f t="shared" si="135"/>
        <v>364</v>
      </c>
      <c r="J1001" s="9">
        <v>37</v>
      </c>
      <c r="K1001" s="10">
        <f t="shared" si="136"/>
        <v>7.7083333333333337E-2</v>
      </c>
      <c r="L1001" s="17">
        <v>120</v>
      </c>
      <c r="M1001" s="17">
        <v>30800</v>
      </c>
      <c r="N1001" s="17">
        <f t="shared" si="137"/>
        <v>43680</v>
      </c>
      <c r="O1001" s="17">
        <f t="shared" si="138"/>
        <v>12880</v>
      </c>
      <c r="P1001" s="10">
        <f t="shared" si="139"/>
        <v>0.96410256410256412</v>
      </c>
      <c r="Q1001" s="10">
        <f t="shared" si="140"/>
        <v>3.1914893617021274E-2</v>
      </c>
      <c r="R1001" s="10">
        <f t="shared" si="141"/>
        <v>0.29487179487179488</v>
      </c>
      <c r="S1001" s="18">
        <f t="shared" si="142"/>
        <v>84.615384615384613</v>
      </c>
      <c r="T1001" s="8">
        <f>480-ProductionData[[#This Row],[Downtime Minutes]]</f>
        <v>443</v>
      </c>
      <c r="U1001" s="11">
        <f t="shared" si="143"/>
        <v>0.84875846501128671</v>
      </c>
      <c r="V1001" s="18">
        <f>ProductionData[[#This Row],[Profit]]/ProductionData[[#This Row],[Good Units]]</f>
        <v>35.384615384615387</v>
      </c>
      <c r="W1001" s="11">
        <f>ProductionData[[#This Row],[Good Units]]/ProductionData[[#This Row],[Operating Minutes]]</f>
        <v>0.82167042889390518</v>
      </c>
    </row>
    <row r="1002" spans="1:23">
      <c r="A1002" s="7">
        <v>46315</v>
      </c>
      <c r="B1002" s="8" t="s">
        <v>31</v>
      </c>
      <c r="C1002" s="8" t="s">
        <v>20</v>
      </c>
      <c r="D1002" s="8" t="s">
        <v>23</v>
      </c>
      <c r="E1002" s="8" t="s">
        <v>26</v>
      </c>
      <c r="F1002" s="9">
        <v>510</v>
      </c>
      <c r="G1002" s="9">
        <v>480</v>
      </c>
      <c r="H1002" s="9">
        <v>15</v>
      </c>
      <c r="I1002" s="9">
        <f t="shared" si="135"/>
        <v>465</v>
      </c>
      <c r="J1002" s="9">
        <v>37</v>
      </c>
      <c r="K1002" s="10">
        <f t="shared" si="136"/>
        <v>7.7083333333333337E-2</v>
      </c>
      <c r="L1002" s="17">
        <v>90</v>
      </c>
      <c r="M1002" s="17">
        <v>30800</v>
      </c>
      <c r="N1002" s="17">
        <f t="shared" si="137"/>
        <v>41850</v>
      </c>
      <c r="O1002" s="17">
        <f t="shared" si="138"/>
        <v>11050</v>
      </c>
      <c r="P1002" s="10">
        <f t="shared" si="139"/>
        <v>0.94117647058823528</v>
      </c>
      <c r="Q1002" s="10">
        <f t="shared" si="140"/>
        <v>3.125E-2</v>
      </c>
      <c r="R1002" s="10">
        <f t="shared" si="141"/>
        <v>0.26403823178016728</v>
      </c>
      <c r="S1002" s="18">
        <f t="shared" si="142"/>
        <v>66.236559139784944</v>
      </c>
      <c r="T1002" s="8">
        <f>480-ProductionData[[#This Row],[Downtime Minutes]]</f>
        <v>443</v>
      </c>
      <c r="U1002" s="11">
        <f t="shared" si="143"/>
        <v>1.0835214446952597</v>
      </c>
      <c r="V1002" s="18">
        <f>ProductionData[[#This Row],[Profit]]/ProductionData[[#This Row],[Good Units]]</f>
        <v>23.763440860215052</v>
      </c>
      <c r="W1002" s="11">
        <f>ProductionData[[#This Row],[Good Units]]/ProductionData[[#This Row],[Operating Minutes]]</f>
        <v>1.0496613995485327</v>
      </c>
    </row>
    <row r="1003" spans="1:23">
      <c r="A1003" s="7">
        <v>46315</v>
      </c>
      <c r="B1003" s="8" t="s">
        <v>31</v>
      </c>
      <c r="C1003" s="8" t="s">
        <v>20</v>
      </c>
      <c r="D1003" s="8" t="s">
        <v>25</v>
      </c>
      <c r="E1003" s="8" t="s">
        <v>22</v>
      </c>
      <c r="F1003" s="9">
        <v>450</v>
      </c>
      <c r="G1003" s="9">
        <v>399</v>
      </c>
      <c r="H1003" s="9">
        <v>24</v>
      </c>
      <c r="I1003" s="9">
        <f t="shared" si="135"/>
        <v>375</v>
      </c>
      <c r="J1003" s="9">
        <v>48</v>
      </c>
      <c r="K1003" s="10">
        <f t="shared" si="136"/>
        <v>0.1</v>
      </c>
      <c r="L1003" s="17">
        <v>100</v>
      </c>
      <c r="M1003" s="17">
        <v>30800</v>
      </c>
      <c r="N1003" s="17">
        <f t="shared" si="137"/>
        <v>37500</v>
      </c>
      <c r="O1003" s="17">
        <f t="shared" si="138"/>
        <v>6700</v>
      </c>
      <c r="P1003" s="10">
        <f t="shared" si="139"/>
        <v>0.88666666666666671</v>
      </c>
      <c r="Q1003" s="10">
        <f t="shared" si="140"/>
        <v>6.0150375939849621E-2</v>
      </c>
      <c r="R1003" s="10">
        <f t="shared" si="141"/>
        <v>0.17866666666666667</v>
      </c>
      <c r="S1003" s="18">
        <f t="shared" si="142"/>
        <v>82.13333333333334</v>
      </c>
      <c r="T1003" s="8">
        <f>480-ProductionData[[#This Row],[Downtime Minutes]]</f>
        <v>432</v>
      </c>
      <c r="U1003" s="11">
        <f t="shared" si="143"/>
        <v>0.92361111111111116</v>
      </c>
      <c r="V1003" s="18">
        <f>ProductionData[[#This Row],[Profit]]/ProductionData[[#This Row],[Good Units]]</f>
        <v>17.866666666666667</v>
      </c>
      <c r="W1003" s="11">
        <f>ProductionData[[#This Row],[Good Units]]/ProductionData[[#This Row],[Operating Minutes]]</f>
        <v>0.86805555555555558</v>
      </c>
    </row>
    <row r="1004" spans="1:23">
      <c r="A1004" s="7">
        <v>46315</v>
      </c>
      <c r="B1004" s="8" t="s">
        <v>31</v>
      </c>
      <c r="C1004" s="8" t="s">
        <v>27</v>
      </c>
      <c r="D1004" s="8" t="s">
        <v>21</v>
      </c>
      <c r="E1004" s="8" t="s">
        <v>26</v>
      </c>
      <c r="F1004" s="9">
        <v>490</v>
      </c>
      <c r="G1004" s="9">
        <v>427</v>
      </c>
      <c r="H1004" s="9">
        <v>22</v>
      </c>
      <c r="I1004" s="9">
        <f t="shared" si="135"/>
        <v>405</v>
      </c>
      <c r="J1004" s="9">
        <v>47</v>
      </c>
      <c r="K1004" s="10">
        <f t="shared" si="136"/>
        <v>9.7916666666666666E-2</v>
      </c>
      <c r="L1004" s="17">
        <v>90</v>
      </c>
      <c r="M1004" s="17">
        <v>30800</v>
      </c>
      <c r="N1004" s="17">
        <f t="shared" si="137"/>
        <v>36450</v>
      </c>
      <c r="O1004" s="17">
        <f t="shared" si="138"/>
        <v>5650</v>
      </c>
      <c r="P1004" s="10">
        <f t="shared" si="139"/>
        <v>0.87142857142857144</v>
      </c>
      <c r="Q1004" s="10">
        <f t="shared" si="140"/>
        <v>5.1522248243559721E-2</v>
      </c>
      <c r="R1004" s="10">
        <f t="shared" si="141"/>
        <v>0.15500685871056241</v>
      </c>
      <c r="S1004" s="18">
        <f t="shared" si="142"/>
        <v>76.049382716049379</v>
      </c>
      <c r="T1004" s="8">
        <f>480-ProductionData[[#This Row],[Downtime Minutes]]</f>
        <v>433</v>
      </c>
      <c r="U1004" s="11">
        <f t="shared" si="143"/>
        <v>0.98614318706697457</v>
      </c>
      <c r="V1004" s="18">
        <f>ProductionData[[#This Row],[Profit]]/ProductionData[[#This Row],[Good Units]]</f>
        <v>13.950617283950617</v>
      </c>
      <c r="W1004" s="11">
        <f>ProductionData[[#This Row],[Good Units]]/ProductionData[[#This Row],[Operating Minutes]]</f>
        <v>0.9353348729792148</v>
      </c>
    </row>
    <row r="1005" spans="1:23">
      <c r="A1005" s="7">
        <v>46315</v>
      </c>
      <c r="B1005" s="8" t="s">
        <v>31</v>
      </c>
      <c r="C1005" s="8" t="s">
        <v>27</v>
      </c>
      <c r="D1005" s="8" t="s">
        <v>23</v>
      </c>
      <c r="E1005" s="8" t="s">
        <v>22</v>
      </c>
      <c r="F1005" s="9">
        <v>460</v>
      </c>
      <c r="G1005" s="9">
        <v>413</v>
      </c>
      <c r="H1005" s="9">
        <v>26</v>
      </c>
      <c r="I1005" s="9">
        <f t="shared" si="135"/>
        <v>387</v>
      </c>
      <c r="J1005" s="9">
        <v>71</v>
      </c>
      <c r="K1005" s="10">
        <f t="shared" si="136"/>
        <v>0.14791666666666667</v>
      </c>
      <c r="L1005" s="17">
        <v>100</v>
      </c>
      <c r="M1005" s="17">
        <v>30800</v>
      </c>
      <c r="N1005" s="17">
        <f t="shared" si="137"/>
        <v>38700</v>
      </c>
      <c r="O1005" s="17">
        <f t="shared" si="138"/>
        <v>7900</v>
      </c>
      <c r="P1005" s="10">
        <f t="shared" si="139"/>
        <v>0.89782608695652177</v>
      </c>
      <c r="Q1005" s="10">
        <f t="shared" si="140"/>
        <v>6.2953995157384993E-2</v>
      </c>
      <c r="R1005" s="10">
        <f t="shared" si="141"/>
        <v>0.20413436692506459</v>
      </c>
      <c r="S1005" s="18">
        <f t="shared" si="142"/>
        <v>79.586563307493535</v>
      </c>
      <c r="T1005" s="8">
        <f>480-ProductionData[[#This Row],[Downtime Minutes]]</f>
        <v>409</v>
      </c>
      <c r="U1005" s="11">
        <f t="shared" si="143"/>
        <v>1.0097799511002445</v>
      </c>
      <c r="V1005" s="18">
        <f>ProductionData[[#This Row],[Profit]]/ProductionData[[#This Row],[Good Units]]</f>
        <v>20.413436692506458</v>
      </c>
      <c r="W1005" s="11">
        <f>ProductionData[[#This Row],[Good Units]]/ProductionData[[#This Row],[Operating Minutes]]</f>
        <v>0.94621026894865523</v>
      </c>
    </row>
    <row r="1006" spans="1:23">
      <c r="A1006" s="7">
        <v>46315</v>
      </c>
      <c r="B1006" s="8" t="s">
        <v>31</v>
      </c>
      <c r="C1006" s="8" t="s">
        <v>27</v>
      </c>
      <c r="D1006" s="8" t="s">
        <v>25</v>
      </c>
      <c r="E1006" s="8" t="s">
        <v>24</v>
      </c>
      <c r="F1006" s="9">
        <v>410</v>
      </c>
      <c r="G1006" s="9">
        <v>349</v>
      </c>
      <c r="H1006" s="9">
        <v>23</v>
      </c>
      <c r="I1006" s="9">
        <f t="shared" si="135"/>
        <v>326</v>
      </c>
      <c r="J1006" s="9">
        <v>54</v>
      </c>
      <c r="K1006" s="10">
        <f t="shared" si="136"/>
        <v>0.1125</v>
      </c>
      <c r="L1006" s="17">
        <v>120</v>
      </c>
      <c r="M1006" s="17">
        <v>30800</v>
      </c>
      <c r="N1006" s="17">
        <f t="shared" si="137"/>
        <v>39120</v>
      </c>
      <c r="O1006" s="17">
        <f t="shared" si="138"/>
        <v>8320</v>
      </c>
      <c r="P1006" s="10">
        <f t="shared" si="139"/>
        <v>0.85121951219512193</v>
      </c>
      <c r="Q1006" s="10">
        <f t="shared" si="140"/>
        <v>6.5902578796561598E-2</v>
      </c>
      <c r="R1006" s="10">
        <f t="shared" si="141"/>
        <v>0.21267893660531698</v>
      </c>
      <c r="S1006" s="18">
        <f t="shared" si="142"/>
        <v>94.478527607361968</v>
      </c>
      <c r="T1006" s="8">
        <f>480-ProductionData[[#This Row],[Downtime Minutes]]</f>
        <v>426</v>
      </c>
      <c r="U1006" s="11">
        <f t="shared" si="143"/>
        <v>0.81924882629107976</v>
      </c>
      <c r="V1006" s="18">
        <f>ProductionData[[#This Row],[Profit]]/ProductionData[[#This Row],[Good Units]]</f>
        <v>25.521472392638035</v>
      </c>
      <c r="W1006" s="11">
        <f>ProductionData[[#This Row],[Good Units]]/ProductionData[[#This Row],[Operating Minutes]]</f>
        <v>0.76525821596244137</v>
      </c>
    </row>
    <row r="1007" spans="1:23">
      <c r="A1007" s="7">
        <v>46315</v>
      </c>
      <c r="B1007" s="8" t="s">
        <v>31</v>
      </c>
      <c r="C1007" s="8" t="s">
        <v>28</v>
      </c>
      <c r="D1007" s="8" t="s">
        <v>21</v>
      </c>
      <c r="E1007" s="8" t="s">
        <v>22</v>
      </c>
      <c r="F1007" s="9">
        <v>440</v>
      </c>
      <c r="G1007" s="9">
        <v>429</v>
      </c>
      <c r="H1007" s="9">
        <v>17</v>
      </c>
      <c r="I1007" s="9">
        <f t="shared" si="135"/>
        <v>412</v>
      </c>
      <c r="J1007" s="9">
        <v>23</v>
      </c>
      <c r="K1007" s="10">
        <f t="shared" si="136"/>
        <v>4.791666666666667E-2</v>
      </c>
      <c r="L1007" s="17">
        <v>100</v>
      </c>
      <c r="M1007" s="17">
        <v>30800</v>
      </c>
      <c r="N1007" s="17">
        <f t="shared" si="137"/>
        <v>41200</v>
      </c>
      <c r="O1007" s="17">
        <f t="shared" si="138"/>
        <v>10400</v>
      </c>
      <c r="P1007" s="10">
        <f t="shared" si="139"/>
        <v>0.97499999999999998</v>
      </c>
      <c r="Q1007" s="10">
        <f t="shared" si="140"/>
        <v>3.9627039627039624E-2</v>
      </c>
      <c r="R1007" s="10">
        <f t="shared" si="141"/>
        <v>0.25242718446601942</v>
      </c>
      <c r="S1007" s="18">
        <f t="shared" si="142"/>
        <v>74.757281553398059</v>
      </c>
      <c r="T1007" s="8">
        <f>480-ProductionData[[#This Row],[Downtime Minutes]]</f>
        <v>457</v>
      </c>
      <c r="U1007" s="11">
        <f t="shared" si="143"/>
        <v>0.93873085339168494</v>
      </c>
      <c r="V1007" s="18">
        <f>ProductionData[[#This Row],[Profit]]/ProductionData[[#This Row],[Good Units]]</f>
        <v>25.242718446601941</v>
      </c>
      <c r="W1007" s="11">
        <f>ProductionData[[#This Row],[Good Units]]/ProductionData[[#This Row],[Operating Minutes]]</f>
        <v>0.90153172866520792</v>
      </c>
    </row>
    <row r="1008" spans="1:23">
      <c r="A1008" s="7">
        <v>46315</v>
      </c>
      <c r="B1008" s="8" t="s">
        <v>31</v>
      </c>
      <c r="C1008" s="8" t="s">
        <v>28</v>
      </c>
      <c r="D1008" s="8" t="s">
        <v>23</v>
      </c>
      <c r="E1008" s="8" t="s">
        <v>24</v>
      </c>
      <c r="F1008" s="9">
        <v>400</v>
      </c>
      <c r="G1008" s="9">
        <v>379</v>
      </c>
      <c r="H1008" s="9">
        <v>8</v>
      </c>
      <c r="I1008" s="9">
        <f t="shared" si="135"/>
        <v>371</v>
      </c>
      <c r="J1008" s="9">
        <v>34</v>
      </c>
      <c r="K1008" s="10">
        <f t="shared" si="136"/>
        <v>7.0833333333333331E-2</v>
      </c>
      <c r="L1008" s="17">
        <v>120</v>
      </c>
      <c r="M1008" s="17">
        <v>30800</v>
      </c>
      <c r="N1008" s="17">
        <f t="shared" si="137"/>
        <v>44520</v>
      </c>
      <c r="O1008" s="17">
        <f t="shared" si="138"/>
        <v>13720</v>
      </c>
      <c r="P1008" s="10">
        <f t="shared" si="139"/>
        <v>0.94750000000000001</v>
      </c>
      <c r="Q1008" s="10">
        <f t="shared" si="140"/>
        <v>2.1108179419525065E-2</v>
      </c>
      <c r="R1008" s="10">
        <f t="shared" si="141"/>
        <v>0.3081761006289308</v>
      </c>
      <c r="S1008" s="18">
        <f t="shared" si="142"/>
        <v>83.018867924528308</v>
      </c>
      <c r="T1008" s="8">
        <f>480-ProductionData[[#This Row],[Downtime Minutes]]</f>
        <v>446</v>
      </c>
      <c r="U1008" s="11">
        <f t="shared" si="143"/>
        <v>0.84977578475336324</v>
      </c>
      <c r="V1008" s="18">
        <f>ProductionData[[#This Row],[Profit]]/ProductionData[[#This Row],[Good Units]]</f>
        <v>36.981132075471699</v>
      </c>
      <c r="W1008" s="11">
        <f>ProductionData[[#This Row],[Good Units]]/ProductionData[[#This Row],[Operating Minutes]]</f>
        <v>0.83183856502242148</v>
      </c>
    </row>
    <row r="1009" spans="1:23">
      <c r="A1009" s="7">
        <v>46315</v>
      </c>
      <c r="B1009" s="8" t="s">
        <v>31</v>
      </c>
      <c r="C1009" s="8" t="s">
        <v>28</v>
      </c>
      <c r="D1009" s="8" t="s">
        <v>25</v>
      </c>
      <c r="E1009" s="8" t="s">
        <v>26</v>
      </c>
      <c r="F1009" s="9">
        <v>490</v>
      </c>
      <c r="G1009" s="9">
        <v>443</v>
      </c>
      <c r="H1009" s="9">
        <v>16</v>
      </c>
      <c r="I1009" s="9">
        <f t="shared" si="135"/>
        <v>427</v>
      </c>
      <c r="J1009" s="9">
        <v>40</v>
      </c>
      <c r="K1009" s="10">
        <f t="shared" si="136"/>
        <v>8.3333333333333329E-2</v>
      </c>
      <c r="L1009" s="17">
        <v>90</v>
      </c>
      <c r="M1009" s="17">
        <v>30800</v>
      </c>
      <c r="N1009" s="17">
        <f t="shared" si="137"/>
        <v>38430</v>
      </c>
      <c r="O1009" s="17">
        <f t="shared" si="138"/>
        <v>7630</v>
      </c>
      <c r="P1009" s="10">
        <f t="shared" si="139"/>
        <v>0.90408163265306118</v>
      </c>
      <c r="Q1009" s="10">
        <f t="shared" si="140"/>
        <v>3.6117381489841983E-2</v>
      </c>
      <c r="R1009" s="10">
        <f t="shared" si="141"/>
        <v>0.19854280510018216</v>
      </c>
      <c r="S1009" s="18">
        <f t="shared" si="142"/>
        <v>72.131147540983605</v>
      </c>
      <c r="T1009" s="8">
        <f>480-ProductionData[[#This Row],[Downtime Minutes]]</f>
        <v>440</v>
      </c>
      <c r="U1009" s="11">
        <f t="shared" si="143"/>
        <v>1.0068181818181818</v>
      </c>
      <c r="V1009" s="18">
        <f>ProductionData[[#This Row],[Profit]]/ProductionData[[#This Row],[Good Units]]</f>
        <v>17.868852459016395</v>
      </c>
      <c r="W1009" s="11">
        <f>ProductionData[[#This Row],[Good Units]]/ProductionData[[#This Row],[Operating Minutes]]</f>
        <v>0.97045454545454546</v>
      </c>
    </row>
    <row r="1010" spans="1:23">
      <c r="A1010" s="7">
        <v>46316</v>
      </c>
      <c r="B1010" s="8" t="s">
        <v>31</v>
      </c>
      <c r="C1010" s="8" t="s">
        <v>20</v>
      </c>
      <c r="D1010" s="8" t="s">
        <v>21</v>
      </c>
      <c r="E1010" s="8" t="s">
        <v>26</v>
      </c>
      <c r="F1010" s="9">
        <v>510</v>
      </c>
      <c r="G1010" s="9">
        <v>474</v>
      </c>
      <c r="H1010" s="9">
        <v>13</v>
      </c>
      <c r="I1010" s="9">
        <f t="shared" si="135"/>
        <v>461</v>
      </c>
      <c r="J1010" s="9">
        <v>28</v>
      </c>
      <c r="K1010" s="10">
        <f t="shared" si="136"/>
        <v>5.8333333333333334E-2</v>
      </c>
      <c r="L1010" s="17">
        <v>90</v>
      </c>
      <c r="M1010" s="17">
        <v>30800</v>
      </c>
      <c r="N1010" s="17">
        <f t="shared" si="137"/>
        <v>41490</v>
      </c>
      <c r="O1010" s="17">
        <f t="shared" si="138"/>
        <v>10690</v>
      </c>
      <c r="P1010" s="10">
        <f t="shared" si="139"/>
        <v>0.92941176470588238</v>
      </c>
      <c r="Q1010" s="10">
        <f t="shared" si="140"/>
        <v>2.7426160337552744E-2</v>
      </c>
      <c r="R1010" s="10">
        <f t="shared" si="141"/>
        <v>0.25765244637261991</v>
      </c>
      <c r="S1010" s="18">
        <f t="shared" si="142"/>
        <v>66.811279826464215</v>
      </c>
      <c r="T1010" s="8">
        <f>480-ProductionData[[#This Row],[Downtime Minutes]]</f>
        <v>452</v>
      </c>
      <c r="U1010" s="11">
        <f t="shared" si="143"/>
        <v>1.0486725663716814</v>
      </c>
      <c r="V1010" s="18">
        <f>ProductionData[[#This Row],[Profit]]/ProductionData[[#This Row],[Good Units]]</f>
        <v>23.188720173535792</v>
      </c>
      <c r="W1010" s="11">
        <f>ProductionData[[#This Row],[Good Units]]/ProductionData[[#This Row],[Operating Minutes]]</f>
        <v>1.0199115044247788</v>
      </c>
    </row>
    <row r="1011" spans="1:23">
      <c r="A1011" s="7">
        <v>46316</v>
      </c>
      <c r="B1011" s="8" t="s">
        <v>31</v>
      </c>
      <c r="C1011" s="8" t="s">
        <v>20</v>
      </c>
      <c r="D1011" s="8" t="s">
        <v>23</v>
      </c>
      <c r="E1011" s="8" t="s">
        <v>22</v>
      </c>
      <c r="F1011" s="9">
        <v>440</v>
      </c>
      <c r="G1011" s="9">
        <v>407</v>
      </c>
      <c r="H1011" s="9">
        <v>22</v>
      </c>
      <c r="I1011" s="9">
        <f t="shared" si="135"/>
        <v>385</v>
      </c>
      <c r="J1011" s="9">
        <v>41</v>
      </c>
      <c r="K1011" s="10">
        <f t="shared" si="136"/>
        <v>8.5416666666666669E-2</v>
      </c>
      <c r="L1011" s="17">
        <v>100</v>
      </c>
      <c r="M1011" s="17">
        <v>30800</v>
      </c>
      <c r="N1011" s="17">
        <f t="shared" si="137"/>
        <v>38500</v>
      </c>
      <c r="O1011" s="17">
        <f t="shared" si="138"/>
        <v>7700</v>
      </c>
      <c r="P1011" s="10">
        <f t="shared" si="139"/>
        <v>0.92500000000000004</v>
      </c>
      <c r="Q1011" s="10">
        <f t="shared" si="140"/>
        <v>5.4054054054054057E-2</v>
      </c>
      <c r="R1011" s="10">
        <f t="shared" si="141"/>
        <v>0.2</v>
      </c>
      <c r="S1011" s="18">
        <f t="shared" si="142"/>
        <v>80</v>
      </c>
      <c r="T1011" s="8">
        <f>480-ProductionData[[#This Row],[Downtime Minutes]]</f>
        <v>439</v>
      </c>
      <c r="U1011" s="11">
        <f t="shared" si="143"/>
        <v>0.92710706150341682</v>
      </c>
      <c r="V1011" s="18">
        <f>ProductionData[[#This Row],[Profit]]/ProductionData[[#This Row],[Good Units]]</f>
        <v>20</v>
      </c>
      <c r="W1011" s="11">
        <f>ProductionData[[#This Row],[Good Units]]/ProductionData[[#This Row],[Operating Minutes]]</f>
        <v>0.87699316628701596</v>
      </c>
    </row>
    <row r="1012" spans="1:23">
      <c r="A1012" s="7">
        <v>46316</v>
      </c>
      <c r="B1012" s="8" t="s">
        <v>31</v>
      </c>
      <c r="C1012" s="8" t="s">
        <v>20</v>
      </c>
      <c r="D1012" s="8" t="s">
        <v>25</v>
      </c>
      <c r="E1012" s="8" t="s">
        <v>24</v>
      </c>
      <c r="F1012" s="9">
        <v>410</v>
      </c>
      <c r="G1012" s="9">
        <v>360</v>
      </c>
      <c r="H1012" s="9">
        <v>12</v>
      </c>
      <c r="I1012" s="9">
        <f t="shared" si="135"/>
        <v>348</v>
      </c>
      <c r="J1012" s="9">
        <v>55</v>
      </c>
      <c r="K1012" s="10">
        <f t="shared" si="136"/>
        <v>0.11458333333333333</v>
      </c>
      <c r="L1012" s="17">
        <v>120</v>
      </c>
      <c r="M1012" s="17">
        <v>30800</v>
      </c>
      <c r="N1012" s="17">
        <f t="shared" si="137"/>
        <v>41760</v>
      </c>
      <c r="O1012" s="17">
        <f t="shared" si="138"/>
        <v>10960</v>
      </c>
      <c r="P1012" s="10">
        <f t="shared" si="139"/>
        <v>0.87804878048780488</v>
      </c>
      <c r="Q1012" s="10">
        <f t="shared" si="140"/>
        <v>3.3333333333333333E-2</v>
      </c>
      <c r="R1012" s="10">
        <f t="shared" si="141"/>
        <v>0.26245210727969348</v>
      </c>
      <c r="S1012" s="18">
        <f t="shared" si="142"/>
        <v>88.505747126436788</v>
      </c>
      <c r="T1012" s="8">
        <f>480-ProductionData[[#This Row],[Downtime Minutes]]</f>
        <v>425</v>
      </c>
      <c r="U1012" s="11">
        <f t="shared" si="143"/>
        <v>0.84705882352941175</v>
      </c>
      <c r="V1012" s="18">
        <f>ProductionData[[#This Row],[Profit]]/ProductionData[[#This Row],[Good Units]]</f>
        <v>31.494252873563219</v>
      </c>
      <c r="W1012" s="11">
        <f>ProductionData[[#This Row],[Good Units]]/ProductionData[[#This Row],[Operating Minutes]]</f>
        <v>0.81882352941176473</v>
      </c>
    </row>
    <row r="1013" spans="1:23">
      <c r="A1013" s="7">
        <v>46316</v>
      </c>
      <c r="B1013" s="8" t="s">
        <v>31</v>
      </c>
      <c r="C1013" s="8" t="s">
        <v>27</v>
      </c>
      <c r="D1013" s="8" t="s">
        <v>21</v>
      </c>
      <c r="E1013" s="8" t="s">
        <v>22</v>
      </c>
      <c r="F1013" s="9">
        <v>430</v>
      </c>
      <c r="G1013" s="9">
        <v>393</v>
      </c>
      <c r="H1013" s="9">
        <v>22</v>
      </c>
      <c r="I1013" s="9">
        <f t="shared" si="135"/>
        <v>371</v>
      </c>
      <c r="J1013" s="9">
        <v>56</v>
      </c>
      <c r="K1013" s="10">
        <f t="shared" si="136"/>
        <v>0.11666666666666667</v>
      </c>
      <c r="L1013" s="17">
        <v>100</v>
      </c>
      <c r="M1013" s="17">
        <v>30800</v>
      </c>
      <c r="N1013" s="17">
        <f t="shared" si="137"/>
        <v>37100</v>
      </c>
      <c r="O1013" s="17">
        <f t="shared" si="138"/>
        <v>6300</v>
      </c>
      <c r="P1013" s="10">
        <f t="shared" si="139"/>
        <v>0.913953488372093</v>
      </c>
      <c r="Q1013" s="10">
        <f t="shared" si="140"/>
        <v>5.5979643765903309E-2</v>
      </c>
      <c r="R1013" s="10">
        <f t="shared" si="141"/>
        <v>0.16981132075471697</v>
      </c>
      <c r="S1013" s="18">
        <f t="shared" si="142"/>
        <v>83.018867924528308</v>
      </c>
      <c r="T1013" s="8">
        <f>480-ProductionData[[#This Row],[Downtime Minutes]]</f>
        <v>424</v>
      </c>
      <c r="U1013" s="11">
        <f t="shared" si="143"/>
        <v>0.92688679245283023</v>
      </c>
      <c r="V1013" s="18">
        <f>ProductionData[[#This Row],[Profit]]/ProductionData[[#This Row],[Good Units]]</f>
        <v>16.981132075471699</v>
      </c>
      <c r="W1013" s="11">
        <f>ProductionData[[#This Row],[Good Units]]/ProductionData[[#This Row],[Operating Minutes]]</f>
        <v>0.875</v>
      </c>
    </row>
    <row r="1014" spans="1:23">
      <c r="A1014" s="7">
        <v>46316</v>
      </c>
      <c r="B1014" s="8" t="s">
        <v>31</v>
      </c>
      <c r="C1014" s="8" t="s">
        <v>27</v>
      </c>
      <c r="D1014" s="8" t="s">
        <v>23</v>
      </c>
      <c r="E1014" s="8" t="s">
        <v>24</v>
      </c>
      <c r="F1014" s="9">
        <v>390</v>
      </c>
      <c r="G1014" s="9">
        <v>354</v>
      </c>
      <c r="H1014" s="9">
        <v>20</v>
      </c>
      <c r="I1014" s="9">
        <f t="shared" si="135"/>
        <v>334</v>
      </c>
      <c r="J1014" s="9">
        <v>43</v>
      </c>
      <c r="K1014" s="10">
        <f t="shared" si="136"/>
        <v>8.9583333333333334E-2</v>
      </c>
      <c r="L1014" s="17">
        <v>120</v>
      </c>
      <c r="M1014" s="17">
        <v>30800</v>
      </c>
      <c r="N1014" s="17">
        <f t="shared" si="137"/>
        <v>40080</v>
      </c>
      <c r="O1014" s="17">
        <f t="shared" si="138"/>
        <v>9280</v>
      </c>
      <c r="P1014" s="10">
        <f t="shared" si="139"/>
        <v>0.90769230769230769</v>
      </c>
      <c r="Q1014" s="10">
        <f t="shared" si="140"/>
        <v>5.6497175141242938E-2</v>
      </c>
      <c r="R1014" s="10">
        <f t="shared" si="141"/>
        <v>0.2315369261477046</v>
      </c>
      <c r="S1014" s="18">
        <f t="shared" si="142"/>
        <v>92.215568862275447</v>
      </c>
      <c r="T1014" s="8">
        <f>480-ProductionData[[#This Row],[Downtime Minutes]]</f>
        <v>437</v>
      </c>
      <c r="U1014" s="11">
        <f t="shared" si="143"/>
        <v>0.81006864988558347</v>
      </c>
      <c r="V1014" s="18">
        <f>ProductionData[[#This Row],[Profit]]/ProductionData[[#This Row],[Good Units]]</f>
        <v>27.78443113772455</v>
      </c>
      <c r="W1014" s="11">
        <f>ProductionData[[#This Row],[Good Units]]/ProductionData[[#This Row],[Operating Minutes]]</f>
        <v>0.76430205949656749</v>
      </c>
    </row>
    <row r="1015" spans="1:23">
      <c r="A1015" s="7">
        <v>46316</v>
      </c>
      <c r="B1015" s="8" t="s">
        <v>31</v>
      </c>
      <c r="C1015" s="8" t="s">
        <v>27</v>
      </c>
      <c r="D1015" s="8" t="s">
        <v>25</v>
      </c>
      <c r="E1015" s="8" t="s">
        <v>26</v>
      </c>
      <c r="F1015" s="9">
        <v>520</v>
      </c>
      <c r="G1015" s="9">
        <v>452</v>
      </c>
      <c r="H1015" s="9">
        <v>28</v>
      </c>
      <c r="I1015" s="9">
        <f t="shared" si="135"/>
        <v>424</v>
      </c>
      <c r="J1015" s="9">
        <v>58</v>
      </c>
      <c r="K1015" s="10">
        <f t="shared" si="136"/>
        <v>0.12083333333333333</v>
      </c>
      <c r="L1015" s="17">
        <v>90</v>
      </c>
      <c r="M1015" s="17">
        <v>30800</v>
      </c>
      <c r="N1015" s="17">
        <f t="shared" si="137"/>
        <v>38160</v>
      </c>
      <c r="O1015" s="17">
        <f t="shared" si="138"/>
        <v>7360</v>
      </c>
      <c r="P1015" s="10">
        <f t="shared" si="139"/>
        <v>0.86923076923076925</v>
      </c>
      <c r="Q1015" s="10">
        <f t="shared" si="140"/>
        <v>6.1946902654867256E-2</v>
      </c>
      <c r="R1015" s="10">
        <f t="shared" si="141"/>
        <v>0.19287211740041929</v>
      </c>
      <c r="S1015" s="18">
        <f t="shared" si="142"/>
        <v>72.64150943396227</v>
      </c>
      <c r="T1015" s="8">
        <f>480-ProductionData[[#This Row],[Downtime Minutes]]</f>
        <v>422</v>
      </c>
      <c r="U1015" s="11">
        <f t="shared" si="143"/>
        <v>1.0710900473933649</v>
      </c>
      <c r="V1015" s="18">
        <f>ProductionData[[#This Row],[Profit]]/ProductionData[[#This Row],[Good Units]]</f>
        <v>17.358490566037737</v>
      </c>
      <c r="W1015" s="11">
        <f>ProductionData[[#This Row],[Good Units]]/ProductionData[[#This Row],[Operating Minutes]]</f>
        <v>1.0047393364928909</v>
      </c>
    </row>
    <row r="1016" spans="1:23">
      <c r="A1016" s="7">
        <v>46316</v>
      </c>
      <c r="B1016" s="8" t="s">
        <v>31</v>
      </c>
      <c r="C1016" s="8" t="s">
        <v>28</v>
      </c>
      <c r="D1016" s="8" t="s">
        <v>21</v>
      </c>
      <c r="E1016" s="8" t="s">
        <v>24</v>
      </c>
      <c r="F1016" s="9">
        <v>410</v>
      </c>
      <c r="G1016" s="9">
        <v>385</v>
      </c>
      <c r="H1016" s="9">
        <v>8</v>
      </c>
      <c r="I1016" s="9">
        <f t="shared" si="135"/>
        <v>377</v>
      </c>
      <c r="J1016" s="9">
        <v>34</v>
      </c>
      <c r="K1016" s="10">
        <f t="shared" si="136"/>
        <v>7.0833333333333331E-2</v>
      </c>
      <c r="L1016" s="17">
        <v>120</v>
      </c>
      <c r="M1016" s="17">
        <v>30800</v>
      </c>
      <c r="N1016" s="17">
        <f t="shared" si="137"/>
        <v>45240</v>
      </c>
      <c r="O1016" s="17">
        <f t="shared" si="138"/>
        <v>14440</v>
      </c>
      <c r="P1016" s="10">
        <f t="shared" si="139"/>
        <v>0.93902439024390238</v>
      </c>
      <c r="Q1016" s="10">
        <f t="shared" si="140"/>
        <v>2.0779220779220779E-2</v>
      </c>
      <c r="R1016" s="10">
        <f t="shared" si="141"/>
        <v>0.31918656056587091</v>
      </c>
      <c r="S1016" s="18">
        <f t="shared" si="142"/>
        <v>81.697612732095493</v>
      </c>
      <c r="T1016" s="8">
        <f>480-ProductionData[[#This Row],[Downtime Minutes]]</f>
        <v>446</v>
      </c>
      <c r="U1016" s="11">
        <f t="shared" si="143"/>
        <v>0.86322869955156956</v>
      </c>
      <c r="V1016" s="18">
        <f>ProductionData[[#This Row],[Profit]]/ProductionData[[#This Row],[Good Units]]</f>
        <v>38.302387267904507</v>
      </c>
      <c r="W1016" s="11">
        <f>ProductionData[[#This Row],[Good Units]]/ProductionData[[#This Row],[Operating Minutes]]</f>
        <v>0.8452914798206278</v>
      </c>
    </row>
    <row r="1017" spans="1:23">
      <c r="A1017" s="7">
        <v>46316</v>
      </c>
      <c r="B1017" s="8" t="s">
        <v>31</v>
      </c>
      <c r="C1017" s="8" t="s">
        <v>28</v>
      </c>
      <c r="D1017" s="8" t="s">
        <v>23</v>
      </c>
      <c r="E1017" s="8" t="s">
        <v>26</v>
      </c>
      <c r="F1017" s="9">
        <v>500</v>
      </c>
      <c r="G1017" s="9">
        <v>493</v>
      </c>
      <c r="H1017" s="9">
        <v>15</v>
      </c>
      <c r="I1017" s="9">
        <f t="shared" si="135"/>
        <v>478</v>
      </c>
      <c r="J1017" s="9">
        <v>33</v>
      </c>
      <c r="K1017" s="10">
        <f t="shared" si="136"/>
        <v>6.8750000000000006E-2</v>
      </c>
      <c r="L1017" s="17">
        <v>90</v>
      </c>
      <c r="M1017" s="17">
        <v>30800</v>
      </c>
      <c r="N1017" s="17">
        <f t="shared" si="137"/>
        <v>43020</v>
      </c>
      <c r="O1017" s="17">
        <f t="shared" si="138"/>
        <v>12220</v>
      </c>
      <c r="P1017" s="10">
        <f t="shared" si="139"/>
        <v>0.98599999999999999</v>
      </c>
      <c r="Q1017" s="10">
        <f t="shared" si="140"/>
        <v>3.0425963488843813E-2</v>
      </c>
      <c r="R1017" s="10">
        <f t="shared" si="141"/>
        <v>0.28405392840539284</v>
      </c>
      <c r="S1017" s="18">
        <f t="shared" si="142"/>
        <v>64.43514644351464</v>
      </c>
      <c r="T1017" s="8">
        <f>480-ProductionData[[#This Row],[Downtime Minutes]]</f>
        <v>447</v>
      </c>
      <c r="U1017" s="11">
        <f t="shared" si="143"/>
        <v>1.1029082774049217</v>
      </c>
      <c r="V1017" s="18">
        <f>ProductionData[[#This Row],[Profit]]/ProductionData[[#This Row],[Good Units]]</f>
        <v>25.564853556485357</v>
      </c>
      <c r="W1017" s="11">
        <f>ProductionData[[#This Row],[Good Units]]/ProductionData[[#This Row],[Operating Minutes]]</f>
        <v>1.0693512304250559</v>
      </c>
    </row>
    <row r="1018" spans="1:23">
      <c r="A1018" s="7">
        <v>46316</v>
      </c>
      <c r="B1018" s="8" t="s">
        <v>31</v>
      </c>
      <c r="C1018" s="8" t="s">
        <v>28</v>
      </c>
      <c r="D1018" s="8" t="s">
        <v>25</v>
      </c>
      <c r="E1018" s="8" t="s">
        <v>22</v>
      </c>
      <c r="F1018" s="9">
        <v>470</v>
      </c>
      <c r="G1018" s="9">
        <v>426</v>
      </c>
      <c r="H1018" s="9">
        <v>23</v>
      </c>
      <c r="I1018" s="9">
        <f t="shared" si="135"/>
        <v>403</v>
      </c>
      <c r="J1018" s="9">
        <v>51</v>
      </c>
      <c r="K1018" s="10">
        <f t="shared" si="136"/>
        <v>0.10625</v>
      </c>
      <c r="L1018" s="17">
        <v>100</v>
      </c>
      <c r="M1018" s="17">
        <v>30800</v>
      </c>
      <c r="N1018" s="17">
        <f t="shared" si="137"/>
        <v>40300</v>
      </c>
      <c r="O1018" s="17">
        <f t="shared" si="138"/>
        <v>9500</v>
      </c>
      <c r="P1018" s="10">
        <f t="shared" si="139"/>
        <v>0.90638297872340423</v>
      </c>
      <c r="Q1018" s="10">
        <f t="shared" si="140"/>
        <v>5.39906103286385E-2</v>
      </c>
      <c r="R1018" s="10">
        <f t="shared" si="141"/>
        <v>0.23573200992555832</v>
      </c>
      <c r="S1018" s="18">
        <f t="shared" si="142"/>
        <v>76.426799007444174</v>
      </c>
      <c r="T1018" s="8">
        <f>480-ProductionData[[#This Row],[Downtime Minutes]]</f>
        <v>429</v>
      </c>
      <c r="U1018" s="11">
        <f t="shared" si="143"/>
        <v>0.99300699300699302</v>
      </c>
      <c r="V1018" s="18">
        <f>ProductionData[[#This Row],[Profit]]/ProductionData[[#This Row],[Good Units]]</f>
        <v>23.573200992555833</v>
      </c>
      <c r="W1018" s="11">
        <f>ProductionData[[#This Row],[Good Units]]/ProductionData[[#This Row],[Operating Minutes]]</f>
        <v>0.93939393939393945</v>
      </c>
    </row>
    <row r="1019" spans="1:23">
      <c r="A1019" s="7">
        <v>46317</v>
      </c>
      <c r="B1019" s="8" t="s">
        <v>31</v>
      </c>
      <c r="C1019" s="8" t="s">
        <v>20</v>
      </c>
      <c r="D1019" s="8" t="s">
        <v>21</v>
      </c>
      <c r="E1019" s="8" t="s">
        <v>22</v>
      </c>
      <c r="F1019" s="9">
        <v>450</v>
      </c>
      <c r="G1019" s="9">
        <v>419</v>
      </c>
      <c r="H1019" s="9">
        <v>19</v>
      </c>
      <c r="I1019" s="9">
        <f t="shared" si="135"/>
        <v>400</v>
      </c>
      <c r="J1019" s="9">
        <v>29</v>
      </c>
      <c r="K1019" s="10">
        <f t="shared" si="136"/>
        <v>6.0416666666666667E-2</v>
      </c>
      <c r="L1019" s="17">
        <v>100</v>
      </c>
      <c r="M1019" s="17">
        <v>30800</v>
      </c>
      <c r="N1019" s="17">
        <f t="shared" si="137"/>
        <v>40000</v>
      </c>
      <c r="O1019" s="17">
        <f t="shared" si="138"/>
        <v>9200</v>
      </c>
      <c r="P1019" s="10">
        <f t="shared" si="139"/>
        <v>0.93111111111111111</v>
      </c>
      <c r="Q1019" s="10">
        <f t="shared" si="140"/>
        <v>4.5346062052505964E-2</v>
      </c>
      <c r="R1019" s="10">
        <f t="shared" si="141"/>
        <v>0.23</v>
      </c>
      <c r="S1019" s="18">
        <f t="shared" si="142"/>
        <v>77</v>
      </c>
      <c r="T1019" s="8">
        <f>480-ProductionData[[#This Row],[Downtime Minutes]]</f>
        <v>451</v>
      </c>
      <c r="U1019" s="11">
        <f t="shared" si="143"/>
        <v>0.92904656319290468</v>
      </c>
      <c r="V1019" s="18">
        <f>ProductionData[[#This Row],[Profit]]/ProductionData[[#This Row],[Good Units]]</f>
        <v>23</v>
      </c>
      <c r="W1019" s="11">
        <f>ProductionData[[#This Row],[Good Units]]/ProductionData[[#This Row],[Operating Minutes]]</f>
        <v>0.88691796008869184</v>
      </c>
    </row>
    <row r="1020" spans="1:23">
      <c r="A1020" s="7">
        <v>46317</v>
      </c>
      <c r="B1020" s="8" t="s">
        <v>31</v>
      </c>
      <c r="C1020" s="8" t="s">
        <v>20</v>
      </c>
      <c r="D1020" s="8" t="s">
        <v>23</v>
      </c>
      <c r="E1020" s="8" t="s">
        <v>24</v>
      </c>
      <c r="F1020" s="9">
        <v>410</v>
      </c>
      <c r="G1020" s="9">
        <v>392</v>
      </c>
      <c r="H1020" s="9">
        <v>11</v>
      </c>
      <c r="I1020" s="9">
        <f t="shared" si="135"/>
        <v>381</v>
      </c>
      <c r="J1020" s="9">
        <v>28</v>
      </c>
      <c r="K1020" s="10">
        <f t="shared" si="136"/>
        <v>5.8333333333333334E-2</v>
      </c>
      <c r="L1020" s="17">
        <v>120</v>
      </c>
      <c r="M1020" s="17">
        <v>30800</v>
      </c>
      <c r="N1020" s="17">
        <f t="shared" si="137"/>
        <v>45720</v>
      </c>
      <c r="O1020" s="17">
        <f t="shared" si="138"/>
        <v>14920</v>
      </c>
      <c r="P1020" s="10">
        <f t="shared" si="139"/>
        <v>0.95609756097560972</v>
      </c>
      <c r="Q1020" s="10">
        <f t="shared" si="140"/>
        <v>2.8061224489795918E-2</v>
      </c>
      <c r="R1020" s="10">
        <f t="shared" si="141"/>
        <v>0.32633420822397202</v>
      </c>
      <c r="S1020" s="18">
        <f t="shared" si="142"/>
        <v>80.839895013123353</v>
      </c>
      <c r="T1020" s="8">
        <f>480-ProductionData[[#This Row],[Downtime Minutes]]</f>
        <v>452</v>
      </c>
      <c r="U1020" s="11">
        <f t="shared" si="143"/>
        <v>0.86725663716814161</v>
      </c>
      <c r="V1020" s="18">
        <f>ProductionData[[#This Row],[Profit]]/ProductionData[[#This Row],[Good Units]]</f>
        <v>39.16010498687664</v>
      </c>
      <c r="W1020" s="11">
        <f>ProductionData[[#This Row],[Good Units]]/ProductionData[[#This Row],[Operating Minutes]]</f>
        <v>0.84292035398230092</v>
      </c>
    </row>
    <row r="1021" spans="1:23">
      <c r="A1021" s="7">
        <v>46317</v>
      </c>
      <c r="B1021" s="8" t="s">
        <v>31</v>
      </c>
      <c r="C1021" s="8" t="s">
        <v>20</v>
      </c>
      <c r="D1021" s="8" t="s">
        <v>25</v>
      </c>
      <c r="E1021" s="8" t="s">
        <v>26</v>
      </c>
      <c r="F1021" s="9">
        <v>510</v>
      </c>
      <c r="G1021" s="9">
        <v>456</v>
      </c>
      <c r="H1021" s="9">
        <v>18</v>
      </c>
      <c r="I1021" s="9">
        <f t="shared" si="135"/>
        <v>438</v>
      </c>
      <c r="J1021" s="9">
        <v>34</v>
      </c>
      <c r="K1021" s="10">
        <f t="shared" si="136"/>
        <v>7.0833333333333331E-2</v>
      </c>
      <c r="L1021" s="17">
        <v>90</v>
      </c>
      <c r="M1021" s="17">
        <v>30800</v>
      </c>
      <c r="N1021" s="17">
        <f t="shared" si="137"/>
        <v>39420</v>
      </c>
      <c r="O1021" s="17">
        <f t="shared" si="138"/>
        <v>8620</v>
      </c>
      <c r="P1021" s="10">
        <f t="shared" si="139"/>
        <v>0.89411764705882357</v>
      </c>
      <c r="Q1021" s="10">
        <f t="shared" si="140"/>
        <v>3.9473684210526314E-2</v>
      </c>
      <c r="R1021" s="10">
        <f t="shared" si="141"/>
        <v>0.21867072552004058</v>
      </c>
      <c r="S1021" s="18">
        <f t="shared" si="142"/>
        <v>70.319634703196343</v>
      </c>
      <c r="T1021" s="8">
        <f>480-ProductionData[[#This Row],[Downtime Minutes]]</f>
        <v>446</v>
      </c>
      <c r="U1021" s="11">
        <f t="shared" si="143"/>
        <v>1.0224215246636772</v>
      </c>
      <c r="V1021" s="18">
        <f>ProductionData[[#This Row],[Profit]]/ProductionData[[#This Row],[Good Units]]</f>
        <v>19.680365296803654</v>
      </c>
      <c r="W1021" s="11">
        <f>ProductionData[[#This Row],[Good Units]]/ProductionData[[#This Row],[Operating Minutes]]</f>
        <v>0.98206278026905824</v>
      </c>
    </row>
    <row r="1022" spans="1:23">
      <c r="A1022" s="7">
        <v>46317</v>
      </c>
      <c r="B1022" s="8" t="s">
        <v>31</v>
      </c>
      <c r="C1022" s="8" t="s">
        <v>27</v>
      </c>
      <c r="D1022" s="8" t="s">
        <v>21</v>
      </c>
      <c r="E1022" s="8" t="s">
        <v>24</v>
      </c>
      <c r="F1022" s="9">
        <v>390</v>
      </c>
      <c r="G1022" s="9">
        <v>356</v>
      </c>
      <c r="H1022" s="9">
        <v>14</v>
      </c>
      <c r="I1022" s="9">
        <f t="shared" si="135"/>
        <v>342</v>
      </c>
      <c r="J1022" s="9">
        <v>37</v>
      </c>
      <c r="K1022" s="10">
        <f t="shared" si="136"/>
        <v>7.7083333333333337E-2</v>
      </c>
      <c r="L1022" s="17">
        <v>120</v>
      </c>
      <c r="M1022" s="17">
        <v>30800</v>
      </c>
      <c r="N1022" s="17">
        <f t="shared" si="137"/>
        <v>41040</v>
      </c>
      <c r="O1022" s="17">
        <f t="shared" si="138"/>
        <v>10240</v>
      </c>
      <c r="P1022" s="10">
        <f t="shared" si="139"/>
        <v>0.9128205128205128</v>
      </c>
      <c r="Q1022" s="10">
        <f t="shared" si="140"/>
        <v>3.9325842696629212E-2</v>
      </c>
      <c r="R1022" s="10">
        <f t="shared" si="141"/>
        <v>0.24951267056530213</v>
      </c>
      <c r="S1022" s="18">
        <f t="shared" si="142"/>
        <v>90.058479532163744</v>
      </c>
      <c r="T1022" s="8">
        <f>480-ProductionData[[#This Row],[Downtime Minutes]]</f>
        <v>443</v>
      </c>
      <c r="U1022" s="11">
        <f t="shared" si="143"/>
        <v>0.80361173814898423</v>
      </c>
      <c r="V1022" s="18">
        <f>ProductionData[[#This Row],[Profit]]/ProductionData[[#This Row],[Good Units]]</f>
        <v>29.941520467836256</v>
      </c>
      <c r="W1022" s="11">
        <f>ProductionData[[#This Row],[Good Units]]/ProductionData[[#This Row],[Operating Minutes]]</f>
        <v>0.77200902934537241</v>
      </c>
    </row>
    <row r="1023" spans="1:23">
      <c r="A1023" s="7">
        <v>46317</v>
      </c>
      <c r="B1023" s="8" t="s">
        <v>31</v>
      </c>
      <c r="C1023" s="8" t="s">
        <v>27</v>
      </c>
      <c r="D1023" s="8" t="s">
        <v>23</v>
      </c>
      <c r="E1023" s="8" t="s">
        <v>26</v>
      </c>
      <c r="F1023" s="9">
        <v>510</v>
      </c>
      <c r="G1023" s="9">
        <v>451</v>
      </c>
      <c r="H1023" s="9">
        <v>25</v>
      </c>
      <c r="I1023" s="9">
        <f t="shared" si="135"/>
        <v>426</v>
      </c>
      <c r="J1023" s="9">
        <v>49</v>
      </c>
      <c r="K1023" s="10">
        <f t="shared" si="136"/>
        <v>0.10208333333333333</v>
      </c>
      <c r="L1023" s="17">
        <v>90</v>
      </c>
      <c r="M1023" s="17">
        <v>30800</v>
      </c>
      <c r="N1023" s="17">
        <f t="shared" si="137"/>
        <v>38340</v>
      </c>
      <c r="O1023" s="17">
        <f t="shared" si="138"/>
        <v>7540</v>
      </c>
      <c r="P1023" s="10">
        <f t="shared" si="139"/>
        <v>0.88431372549019605</v>
      </c>
      <c r="Q1023" s="10">
        <f t="shared" si="140"/>
        <v>5.543237250554324E-2</v>
      </c>
      <c r="R1023" s="10">
        <f t="shared" si="141"/>
        <v>0.19666145018257694</v>
      </c>
      <c r="S1023" s="18">
        <f t="shared" si="142"/>
        <v>72.300469483568079</v>
      </c>
      <c r="T1023" s="8">
        <f>480-ProductionData[[#This Row],[Downtime Minutes]]</f>
        <v>431</v>
      </c>
      <c r="U1023" s="11">
        <f t="shared" si="143"/>
        <v>1.0464037122969838</v>
      </c>
      <c r="V1023" s="18">
        <f>ProductionData[[#This Row],[Profit]]/ProductionData[[#This Row],[Good Units]]</f>
        <v>17.699530516431924</v>
      </c>
      <c r="W1023" s="11">
        <f>ProductionData[[#This Row],[Good Units]]/ProductionData[[#This Row],[Operating Minutes]]</f>
        <v>0.98839907192575405</v>
      </c>
    </row>
    <row r="1024" spans="1:23">
      <c r="A1024" s="7">
        <v>46317</v>
      </c>
      <c r="B1024" s="8" t="s">
        <v>31</v>
      </c>
      <c r="C1024" s="8" t="s">
        <v>27</v>
      </c>
      <c r="D1024" s="8" t="s">
        <v>25</v>
      </c>
      <c r="E1024" s="8" t="s">
        <v>22</v>
      </c>
      <c r="F1024" s="9">
        <v>440</v>
      </c>
      <c r="G1024" s="9">
        <v>376</v>
      </c>
      <c r="H1024" s="9">
        <v>29</v>
      </c>
      <c r="I1024" s="9">
        <f t="shared" si="135"/>
        <v>347</v>
      </c>
      <c r="J1024" s="9">
        <v>64</v>
      </c>
      <c r="K1024" s="10">
        <f t="shared" si="136"/>
        <v>0.13333333333333333</v>
      </c>
      <c r="L1024" s="17">
        <v>100</v>
      </c>
      <c r="M1024" s="17">
        <v>30800</v>
      </c>
      <c r="N1024" s="17">
        <f t="shared" si="137"/>
        <v>34700</v>
      </c>
      <c r="O1024" s="17">
        <f t="shared" si="138"/>
        <v>3900</v>
      </c>
      <c r="P1024" s="10">
        <f t="shared" si="139"/>
        <v>0.8545454545454545</v>
      </c>
      <c r="Q1024" s="10">
        <f t="shared" si="140"/>
        <v>7.7127659574468085E-2</v>
      </c>
      <c r="R1024" s="10">
        <f t="shared" si="141"/>
        <v>0.11239193083573487</v>
      </c>
      <c r="S1024" s="18">
        <f t="shared" si="142"/>
        <v>88.760806916426517</v>
      </c>
      <c r="T1024" s="8">
        <f>480-ProductionData[[#This Row],[Downtime Minutes]]</f>
        <v>416</v>
      </c>
      <c r="U1024" s="11">
        <f t="shared" si="143"/>
        <v>0.90384615384615385</v>
      </c>
      <c r="V1024" s="18">
        <f>ProductionData[[#This Row],[Profit]]/ProductionData[[#This Row],[Good Units]]</f>
        <v>11.239193083573488</v>
      </c>
      <c r="W1024" s="11">
        <f>ProductionData[[#This Row],[Good Units]]/ProductionData[[#This Row],[Operating Minutes]]</f>
        <v>0.83413461538461542</v>
      </c>
    </row>
    <row r="1025" spans="1:23">
      <c r="A1025" s="7">
        <v>46317</v>
      </c>
      <c r="B1025" s="8" t="s">
        <v>31</v>
      </c>
      <c r="C1025" s="8" t="s">
        <v>28</v>
      </c>
      <c r="D1025" s="8" t="s">
        <v>21</v>
      </c>
      <c r="E1025" s="8" t="s">
        <v>26</v>
      </c>
      <c r="F1025" s="9">
        <v>480</v>
      </c>
      <c r="G1025" s="9">
        <v>459</v>
      </c>
      <c r="H1025" s="9">
        <v>9</v>
      </c>
      <c r="I1025" s="9">
        <f t="shared" si="135"/>
        <v>450</v>
      </c>
      <c r="J1025" s="9">
        <v>22</v>
      </c>
      <c r="K1025" s="10">
        <f t="shared" si="136"/>
        <v>4.583333333333333E-2</v>
      </c>
      <c r="L1025" s="17">
        <v>90</v>
      </c>
      <c r="M1025" s="17">
        <v>30800</v>
      </c>
      <c r="N1025" s="17">
        <f t="shared" si="137"/>
        <v>40500</v>
      </c>
      <c r="O1025" s="17">
        <f t="shared" si="138"/>
        <v>9700</v>
      </c>
      <c r="P1025" s="10">
        <f t="shared" si="139"/>
        <v>0.95625000000000004</v>
      </c>
      <c r="Q1025" s="10">
        <f t="shared" si="140"/>
        <v>1.9607843137254902E-2</v>
      </c>
      <c r="R1025" s="10">
        <f t="shared" si="141"/>
        <v>0.23950617283950618</v>
      </c>
      <c r="S1025" s="18">
        <f t="shared" si="142"/>
        <v>68.444444444444443</v>
      </c>
      <c r="T1025" s="8">
        <f>480-ProductionData[[#This Row],[Downtime Minutes]]</f>
        <v>458</v>
      </c>
      <c r="U1025" s="11">
        <f t="shared" si="143"/>
        <v>1.0021834061135371</v>
      </c>
      <c r="V1025" s="18">
        <f>ProductionData[[#This Row],[Profit]]/ProductionData[[#This Row],[Good Units]]</f>
        <v>21.555555555555557</v>
      </c>
      <c r="W1025" s="11">
        <f>ProductionData[[#This Row],[Good Units]]/ProductionData[[#This Row],[Operating Minutes]]</f>
        <v>0.98253275109170302</v>
      </c>
    </row>
    <row r="1026" spans="1:23">
      <c r="A1026" s="7">
        <v>46317</v>
      </c>
      <c r="B1026" s="8" t="s">
        <v>31</v>
      </c>
      <c r="C1026" s="8" t="s">
        <v>28</v>
      </c>
      <c r="D1026" s="8" t="s">
        <v>23</v>
      </c>
      <c r="E1026" s="8" t="s">
        <v>22</v>
      </c>
      <c r="F1026" s="9">
        <v>440</v>
      </c>
      <c r="G1026" s="9">
        <v>413</v>
      </c>
      <c r="H1026" s="9">
        <v>21</v>
      </c>
      <c r="I1026" s="9">
        <f t="shared" ref="I1026:I1089" si="144">G1026-H1026</f>
        <v>392</v>
      </c>
      <c r="J1026" s="9">
        <v>42</v>
      </c>
      <c r="K1026" s="10">
        <f t="shared" ref="K1026:K1089" si="145">J1026/480</f>
        <v>8.7499999999999994E-2</v>
      </c>
      <c r="L1026" s="17">
        <v>100</v>
      </c>
      <c r="M1026" s="17">
        <v>30800</v>
      </c>
      <c r="N1026" s="17">
        <f t="shared" ref="N1026:N1089" si="146">I1026*L1026</f>
        <v>39200</v>
      </c>
      <c r="O1026" s="17">
        <f t="shared" ref="O1026:O1089" si="147">N1026-M1026</f>
        <v>8400</v>
      </c>
      <c r="P1026" s="10">
        <f t="shared" ref="P1026:P1089" si="148">G1026/F1026</f>
        <v>0.9386363636363636</v>
      </c>
      <c r="Q1026" s="10">
        <f t="shared" ref="Q1026:Q1089" si="149">H1026/G1026</f>
        <v>5.0847457627118647E-2</v>
      </c>
      <c r="R1026" s="10">
        <f t="shared" ref="R1026:R1089" si="150">O1026/N1026</f>
        <v>0.21428571428571427</v>
      </c>
      <c r="S1026" s="18">
        <f t="shared" ref="S1026:S1089" si="151">M1026/I1026</f>
        <v>78.571428571428569</v>
      </c>
      <c r="T1026" s="8">
        <f>480-ProductionData[[#This Row],[Downtime Minutes]]</f>
        <v>438</v>
      </c>
      <c r="U1026" s="11">
        <f t="shared" ref="U1026:U1089" si="152">G1026/T1026</f>
        <v>0.94292237442922378</v>
      </c>
      <c r="V1026" s="18">
        <f>ProductionData[[#This Row],[Profit]]/ProductionData[[#This Row],[Good Units]]</f>
        <v>21.428571428571427</v>
      </c>
      <c r="W1026" s="11">
        <f>ProductionData[[#This Row],[Good Units]]/ProductionData[[#This Row],[Operating Minutes]]</f>
        <v>0.89497716894977164</v>
      </c>
    </row>
    <row r="1027" spans="1:23">
      <c r="A1027" s="7">
        <v>46317</v>
      </c>
      <c r="B1027" s="8" t="s">
        <v>31</v>
      </c>
      <c r="C1027" s="8" t="s">
        <v>28</v>
      </c>
      <c r="D1027" s="8" t="s">
        <v>25</v>
      </c>
      <c r="E1027" s="8" t="s">
        <v>24</v>
      </c>
      <c r="F1027" s="9">
        <v>410</v>
      </c>
      <c r="G1027" s="9">
        <v>378</v>
      </c>
      <c r="H1027" s="9">
        <v>11</v>
      </c>
      <c r="I1027" s="9">
        <f t="shared" si="144"/>
        <v>367</v>
      </c>
      <c r="J1027" s="9">
        <v>45</v>
      </c>
      <c r="K1027" s="10">
        <f t="shared" si="145"/>
        <v>9.375E-2</v>
      </c>
      <c r="L1027" s="17">
        <v>120</v>
      </c>
      <c r="M1027" s="17">
        <v>30800</v>
      </c>
      <c r="N1027" s="17">
        <f t="shared" si="146"/>
        <v>44040</v>
      </c>
      <c r="O1027" s="17">
        <f t="shared" si="147"/>
        <v>13240</v>
      </c>
      <c r="P1027" s="10">
        <f t="shared" si="148"/>
        <v>0.92195121951219516</v>
      </c>
      <c r="Q1027" s="10">
        <f t="shared" si="149"/>
        <v>2.9100529100529099E-2</v>
      </c>
      <c r="R1027" s="10">
        <f t="shared" si="150"/>
        <v>0.30063578564940963</v>
      </c>
      <c r="S1027" s="18">
        <f t="shared" si="151"/>
        <v>83.923705722070849</v>
      </c>
      <c r="T1027" s="8">
        <f>480-ProductionData[[#This Row],[Downtime Minutes]]</f>
        <v>435</v>
      </c>
      <c r="U1027" s="11">
        <f t="shared" si="152"/>
        <v>0.86896551724137927</v>
      </c>
      <c r="V1027" s="18">
        <f>ProductionData[[#This Row],[Profit]]/ProductionData[[#This Row],[Good Units]]</f>
        <v>36.076294277929158</v>
      </c>
      <c r="W1027" s="11">
        <f>ProductionData[[#This Row],[Good Units]]/ProductionData[[#This Row],[Operating Minutes]]</f>
        <v>0.84367816091954018</v>
      </c>
    </row>
    <row r="1028" spans="1:23">
      <c r="A1028" s="7">
        <v>46318</v>
      </c>
      <c r="B1028" s="8" t="s">
        <v>31</v>
      </c>
      <c r="C1028" s="8" t="s">
        <v>20</v>
      </c>
      <c r="D1028" s="8" t="s">
        <v>21</v>
      </c>
      <c r="E1028" s="8" t="s">
        <v>24</v>
      </c>
      <c r="F1028" s="9">
        <v>400</v>
      </c>
      <c r="G1028" s="9">
        <v>369</v>
      </c>
      <c r="H1028" s="9">
        <v>13</v>
      </c>
      <c r="I1028" s="9">
        <f t="shared" si="144"/>
        <v>356</v>
      </c>
      <c r="J1028" s="9">
        <v>33</v>
      </c>
      <c r="K1028" s="10">
        <f t="shared" si="145"/>
        <v>6.8750000000000006E-2</v>
      </c>
      <c r="L1028" s="17">
        <v>120</v>
      </c>
      <c r="M1028" s="17">
        <v>30800</v>
      </c>
      <c r="N1028" s="17">
        <f t="shared" si="146"/>
        <v>42720</v>
      </c>
      <c r="O1028" s="17">
        <f t="shared" si="147"/>
        <v>11920</v>
      </c>
      <c r="P1028" s="10">
        <f t="shared" si="148"/>
        <v>0.92249999999999999</v>
      </c>
      <c r="Q1028" s="10">
        <f t="shared" si="149"/>
        <v>3.5230352303523033E-2</v>
      </c>
      <c r="R1028" s="10">
        <f t="shared" si="150"/>
        <v>0.27902621722846443</v>
      </c>
      <c r="S1028" s="18">
        <f t="shared" si="151"/>
        <v>86.516853932584269</v>
      </c>
      <c r="T1028" s="8">
        <f>480-ProductionData[[#This Row],[Downtime Minutes]]</f>
        <v>447</v>
      </c>
      <c r="U1028" s="11">
        <f t="shared" si="152"/>
        <v>0.82550335570469802</v>
      </c>
      <c r="V1028" s="18">
        <f>ProductionData[[#This Row],[Profit]]/ProductionData[[#This Row],[Good Units]]</f>
        <v>33.483146067415731</v>
      </c>
      <c r="W1028" s="11">
        <f>ProductionData[[#This Row],[Good Units]]/ProductionData[[#This Row],[Operating Minutes]]</f>
        <v>0.79642058165548102</v>
      </c>
    </row>
    <row r="1029" spans="1:23">
      <c r="A1029" s="7">
        <v>46318</v>
      </c>
      <c r="B1029" s="8" t="s">
        <v>31</v>
      </c>
      <c r="C1029" s="8" t="s">
        <v>20</v>
      </c>
      <c r="D1029" s="8" t="s">
        <v>23</v>
      </c>
      <c r="E1029" s="8" t="s">
        <v>26</v>
      </c>
      <c r="F1029" s="9">
        <v>500</v>
      </c>
      <c r="G1029" s="9">
        <v>468</v>
      </c>
      <c r="H1029" s="9">
        <v>17</v>
      </c>
      <c r="I1029" s="9">
        <f t="shared" si="144"/>
        <v>451</v>
      </c>
      <c r="J1029" s="9">
        <v>38</v>
      </c>
      <c r="K1029" s="10">
        <f t="shared" si="145"/>
        <v>7.9166666666666663E-2</v>
      </c>
      <c r="L1029" s="17">
        <v>90</v>
      </c>
      <c r="M1029" s="17">
        <v>30800</v>
      </c>
      <c r="N1029" s="17">
        <f t="shared" si="146"/>
        <v>40590</v>
      </c>
      <c r="O1029" s="17">
        <f t="shared" si="147"/>
        <v>9790</v>
      </c>
      <c r="P1029" s="10">
        <f t="shared" si="148"/>
        <v>0.93600000000000005</v>
      </c>
      <c r="Q1029" s="10">
        <f t="shared" si="149"/>
        <v>3.6324786324786328E-2</v>
      </c>
      <c r="R1029" s="10">
        <f t="shared" si="150"/>
        <v>0.24119241192411925</v>
      </c>
      <c r="S1029" s="18">
        <f t="shared" si="151"/>
        <v>68.292682926829272</v>
      </c>
      <c r="T1029" s="8">
        <f>480-ProductionData[[#This Row],[Downtime Minutes]]</f>
        <v>442</v>
      </c>
      <c r="U1029" s="11">
        <f t="shared" si="152"/>
        <v>1.0588235294117647</v>
      </c>
      <c r="V1029" s="18">
        <f>ProductionData[[#This Row],[Profit]]/ProductionData[[#This Row],[Good Units]]</f>
        <v>21.707317073170731</v>
      </c>
      <c r="W1029" s="11">
        <f>ProductionData[[#This Row],[Good Units]]/ProductionData[[#This Row],[Operating Minutes]]</f>
        <v>1.0203619909502262</v>
      </c>
    </row>
    <row r="1030" spans="1:23">
      <c r="A1030" s="7">
        <v>46318</v>
      </c>
      <c r="B1030" s="8" t="s">
        <v>31</v>
      </c>
      <c r="C1030" s="8" t="s">
        <v>20</v>
      </c>
      <c r="D1030" s="8" t="s">
        <v>25</v>
      </c>
      <c r="E1030" s="8" t="s">
        <v>22</v>
      </c>
      <c r="F1030" s="9">
        <v>450</v>
      </c>
      <c r="G1030" s="9">
        <v>402</v>
      </c>
      <c r="H1030" s="9">
        <v>23</v>
      </c>
      <c r="I1030" s="9">
        <f t="shared" si="144"/>
        <v>379</v>
      </c>
      <c r="J1030" s="9">
        <v>55</v>
      </c>
      <c r="K1030" s="10">
        <f t="shared" si="145"/>
        <v>0.11458333333333333</v>
      </c>
      <c r="L1030" s="17">
        <v>100</v>
      </c>
      <c r="M1030" s="17">
        <v>30800</v>
      </c>
      <c r="N1030" s="17">
        <f t="shared" si="146"/>
        <v>37900</v>
      </c>
      <c r="O1030" s="17">
        <f t="shared" si="147"/>
        <v>7100</v>
      </c>
      <c r="P1030" s="10">
        <f t="shared" si="148"/>
        <v>0.89333333333333331</v>
      </c>
      <c r="Q1030" s="10">
        <f t="shared" si="149"/>
        <v>5.721393034825871E-2</v>
      </c>
      <c r="R1030" s="10">
        <f t="shared" si="150"/>
        <v>0.18733509234828497</v>
      </c>
      <c r="S1030" s="18">
        <f t="shared" si="151"/>
        <v>81.266490765171497</v>
      </c>
      <c r="T1030" s="8">
        <f>480-ProductionData[[#This Row],[Downtime Minutes]]</f>
        <v>425</v>
      </c>
      <c r="U1030" s="11">
        <f t="shared" si="152"/>
        <v>0.94588235294117651</v>
      </c>
      <c r="V1030" s="18">
        <f>ProductionData[[#This Row],[Profit]]/ProductionData[[#This Row],[Good Units]]</f>
        <v>18.733509234828496</v>
      </c>
      <c r="W1030" s="11">
        <f>ProductionData[[#This Row],[Good Units]]/ProductionData[[#This Row],[Operating Minutes]]</f>
        <v>0.8917647058823529</v>
      </c>
    </row>
    <row r="1031" spans="1:23">
      <c r="A1031" s="7">
        <v>46318</v>
      </c>
      <c r="B1031" s="8" t="s">
        <v>31</v>
      </c>
      <c r="C1031" s="8" t="s">
        <v>27</v>
      </c>
      <c r="D1031" s="8" t="s">
        <v>21</v>
      </c>
      <c r="E1031" s="8" t="s">
        <v>26</v>
      </c>
      <c r="F1031" s="9">
        <v>490</v>
      </c>
      <c r="G1031" s="9">
        <v>439</v>
      </c>
      <c r="H1031" s="9">
        <v>22</v>
      </c>
      <c r="I1031" s="9">
        <f t="shared" si="144"/>
        <v>417</v>
      </c>
      <c r="J1031" s="9">
        <v>39</v>
      </c>
      <c r="K1031" s="10">
        <f t="shared" si="145"/>
        <v>8.1250000000000003E-2</v>
      </c>
      <c r="L1031" s="17">
        <v>90</v>
      </c>
      <c r="M1031" s="17">
        <v>30800</v>
      </c>
      <c r="N1031" s="17">
        <f t="shared" si="146"/>
        <v>37530</v>
      </c>
      <c r="O1031" s="17">
        <f t="shared" si="147"/>
        <v>6730</v>
      </c>
      <c r="P1031" s="10">
        <f t="shared" si="148"/>
        <v>0.89591836734693875</v>
      </c>
      <c r="Q1031" s="10">
        <f t="shared" si="149"/>
        <v>5.011389521640091E-2</v>
      </c>
      <c r="R1031" s="10">
        <f t="shared" si="150"/>
        <v>0.17932320810018651</v>
      </c>
      <c r="S1031" s="18">
        <f t="shared" si="151"/>
        <v>73.860911270983209</v>
      </c>
      <c r="T1031" s="8">
        <f>480-ProductionData[[#This Row],[Downtime Minutes]]</f>
        <v>441</v>
      </c>
      <c r="U1031" s="11">
        <f t="shared" si="152"/>
        <v>0.99546485260770978</v>
      </c>
      <c r="V1031" s="18">
        <f>ProductionData[[#This Row],[Profit]]/ProductionData[[#This Row],[Good Units]]</f>
        <v>16.139088729016787</v>
      </c>
      <c r="W1031" s="11">
        <f>ProductionData[[#This Row],[Good Units]]/ProductionData[[#This Row],[Operating Minutes]]</f>
        <v>0.94557823129251706</v>
      </c>
    </row>
    <row r="1032" spans="1:23">
      <c r="A1032" s="7">
        <v>46318</v>
      </c>
      <c r="B1032" s="8" t="s">
        <v>31</v>
      </c>
      <c r="C1032" s="8" t="s">
        <v>27</v>
      </c>
      <c r="D1032" s="8" t="s">
        <v>23</v>
      </c>
      <c r="E1032" s="8" t="s">
        <v>22</v>
      </c>
      <c r="F1032" s="9">
        <v>450</v>
      </c>
      <c r="G1032" s="9">
        <v>384</v>
      </c>
      <c r="H1032" s="9">
        <v>27</v>
      </c>
      <c r="I1032" s="9">
        <f t="shared" si="144"/>
        <v>357</v>
      </c>
      <c r="J1032" s="9">
        <v>60</v>
      </c>
      <c r="K1032" s="10">
        <f t="shared" si="145"/>
        <v>0.125</v>
      </c>
      <c r="L1032" s="17">
        <v>100</v>
      </c>
      <c r="M1032" s="17">
        <v>30800</v>
      </c>
      <c r="N1032" s="17">
        <f t="shared" si="146"/>
        <v>35700</v>
      </c>
      <c r="O1032" s="17">
        <f t="shared" si="147"/>
        <v>4900</v>
      </c>
      <c r="P1032" s="10">
        <f t="shared" si="148"/>
        <v>0.85333333333333339</v>
      </c>
      <c r="Q1032" s="10">
        <f t="shared" si="149"/>
        <v>7.03125E-2</v>
      </c>
      <c r="R1032" s="10">
        <f t="shared" si="150"/>
        <v>0.13725490196078433</v>
      </c>
      <c r="S1032" s="18">
        <f t="shared" si="151"/>
        <v>86.274509803921575</v>
      </c>
      <c r="T1032" s="8">
        <f>480-ProductionData[[#This Row],[Downtime Minutes]]</f>
        <v>420</v>
      </c>
      <c r="U1032" s="11">
        <f t="shared" si="152"/>
        <v>0.91428571428571426</v>
      </c>
      <c r="V1032" s="18">
        <f>ProductionData[[#This Row],[Profit]]/ProductionData[[#This Row],[Good Units]]</f>
        <v>13.725490196078431</v>
      </c>
      <c r="W1032" s="11">
        <f>ProductionData[[#This Row],[Good Units]]/ProductionData[[#This Row],[Operating Minutes]]</f>
        <v>0.85</v>
      </c>
    </row>
    <row r="1033" spans="1:23">
      <c r="A1033" s="7">
        <v>46318</v>
      </c>
      <c r="B1033" s="8" t="s">
        <v>31</v>
      </c>
      <c r="C1033" s="8" t="s">
        <v>27</v>
      </c>
      <c r="D1033" s="8" t="s">
        <v>25</v>
      </c>
      <c r="E1033" s="8" t="s">
        <v>24</v>
      </c>
      <c r="F1033" s="9">
        <v>410</v>
      </c>
      <c r="G1033" s="9">
        <v>353</v>
      </c>
      <c r="H1033" s="9">
        <v>20</v>
      </c>
      <c r="I1033" s="9">
        <f t="shared" si="144"/>
        <v>333</v>
      </c>
      <c r="J1033" s="9">
        <v>68</v>
      </c>
      <c r="K1033" s="10">
        <f t="shared" si="145"/>
        <v>0.14166666666666666</v>
      </c>
      <c r="L1033" s="17">
        <v>120</v>
      </c>
      <c r="M1033" s="17">
        <v>30800</v>
      </c>
      <c r="N1033" s="17">
        <f t="shared" si="146"/>
        <v>39960</v>
      </c>
      <c r="O1033" s="17">
        <f t="shared" si="147"/>
        <v>9160</v>
      </c>
      <c r="P1033" s="10">
        <f t="shared" si="148"/>
        <v>0.86097560975609755</v>
      </c>
      <c r="Q1033" s="10">
        <f t="shared" si="149"/>
        <v>5.6657223796033995E-2</v>
      </c>
      <c r="R1033" s="10">
        <f t="shared" si="150"/>
        <v>0.22922922922922923</v>
      </c>
      <c r="S1033" s="18">
        <f t="shared" si="151"/>
        <v>92.492492492492488</v>
      </c>
      <c r="T1033" s="8">
        <f>480-ProductionData[[#This Row],[Downtime Minutes]]</f>
        <v>412</v>
      </c>
      <c r="U1033" s="11">
        <f t="shared" si="152"/>
        <v>0.85679611650485432</v>
      </c>
      <c r="V1033" s="18">
        <f>ProductionData[[#This Row],[Profit]]/ProductionData[[#This Row],[Good Units]]</f>
        <v>27.507507507507508</v>
      </c>
      <c r="W1033" s="11">
        <f>ProductionData[[#This Row],[Good Units]]/ProductionData[[#This Row],[Operating Minutes]]</f>
        <v>0.80825242718446599</v>
      </c>
    </row>
    <row r="1034" spans="1:23">
      <c r="A1034" s="7">
        <v>46318</v>
      </c>
      <c r="B1034" s="8" t="s">
        <v>31</v>
      </c>
      <c r="C1034" s="8" t="s">
        <v>28</v>
      </c>
      <c r="D1034" s="8" t="s">
        <v>21</v>
      </c>
      <c r="E1034" s="8" t="s">
        <v>22</v>
      </c>
      <c r="F1034" s="9">
        <v>440</v>
      </c>
      <c r="G1034" s="9">
        <v>413</v>
      </c>
      <c r="H1034" s="9">
        <v>19</v>
      </c>
      <c r="I1034" s="9">
        <f t="shared" si="144"/>
        <v>394</v>
      </c>
      <c r="J1034" s="9">
        <v>27</v>
      </c>
      <c r="K1034" s="10">
        <f t="shared" si="145"/>
        <v>5.6250000000000001E-2</v>
      </c>
      <c r="L1034" s="17">
        <v>100</v>
      </c>
      <c r="M1034" s="17">
        <v>30800</v>
      </c>
      <c r="N1034" s="17">
        <f t="shared" si="146"/>
        <v>39400</v>
      </c>
      <c r="O1034" s="17">
        <f t="shared" si="147"/>
        <v>8600</v>
      </c>
      <c r="P1034" s="10">
        <f t="shared" si="148"/>
        <v>0.9386363636363636</v>
      </c>
      <c r="Q1034" s="10">
        <f t="shared" si="149"/>
        <v>4.6004842615012108E-2</v>
      </c>
      <c r="R1034" s="10">
        <f t="shared" si="150"/>
        <v>0.21827411167512689</v>
      </c>
      <c r="S1034" s="18">
        <f t="shared" si="151"/>
        <v>78.172588832487307</v>
      </c>
      <c r="T1034" s="8">
        <f>480-ProductionData[[#This Row],[Downtime Minutes]]</f>
        <v>453</v>
      </c>
      <c r="U1034" s="11">
        <f t="shared" si="152"/>
        <v>0.91169977924944812</v>
      </c>
      <c r="V1034" s="18">
        <f>ProductionData[[#This Row],[Profit]]/ProductionData[[#This Row],[Good Units]]</f>
        <v>21.82741116751269</v>
      </c>
      <c r="W1034" s="11">
        <f>ProductionData[[#This Row],[Good Units]]/ProductionData[[#This Row],[Operating Minutes]]</f>
        <v>0.86975717439293598</v>
      </c>
    </row>
    <row r="1035" spans="1:23">
      <c r="A1035" s="7">
        <v>46318</v>
      </c>
      <c r="B1035" s="8" t="s">
        <v>31</v>
      </c>
      <c r="C1035" s="8" t="s">
        <v>28</v>
      </c>
      <c r="D1035" s="8" t="s">
        <v>23</v>
      </c>
      <c r="E1035" s="8" t="s">
        <v>24</v>
      </c>
      <c r="F1035" s="9">
        <v>400</v>
      </c>
      <c r="G1035" s="9">
        <v>381</v>
      </c>
      <c r="H1035" s="9">
        <v>11</v>
      </c>
      <c r="I1035" s="9">
        <f t="shared" si="144"/>
        <v>370</v>
      </c>
      <c r="J1035" s="9">
        <v>36</v>
      </c>
      <c r="K1035" s="10">
        <f t="shared" si="145"/>
        <v>7.4999999999999997E-2</v>
      </c>
      <c r="L1035" s="17">
        <v>120</v>
      </c>
      <c r="M1035" s="17">
        <v>30800</v>
      </c>
      <c r="N1035" s="17">
        <f t="shared" si="146"/>
        <v>44400</v>
      </c>
      <c r="O1035" s="17">
        <f t="shared" si="147"/>
        <v>13600</v>
      </c>
      <c r="P1035" s="10">
        <f t="shared" si="148"/>
        <v>0.95250000000000001</v>
      </c>
      <c r="Q1035" s="10">
        <f t="shared" si="149"/>
        <v>2.8871391076115485E-2</v>
      </c>
      <c r="R1035" s="10">
        <f t="shared" si="150"/>
        <v>0.30630630630630629</v>
      </c>
      <c r="S1035" s="18">
        <f t="shared" si="151"/>
        <v>83.243243243243242</v>
      </c>
      <c r="T1035" s="8">
        <f>480-ProductionData[[#This Row],[Downtime Minutes]]</f>
        <v>444</v>
      </c>
      <c r="U1035" s="11">
        <f t="shared" si="152"/>
        <v>0.85810810810810811</v>
      </c>
      <c r="V1035" s="18">
        <f>ProductionData[[#This Row],[Profit]]/ProductionData[[#This Row],[Good Units]]</f>
        <v>36.756756756756758</v>
      </c>
      <c r="W1035" s="11">
        <f>ProductionData[[#This Row],[Good Units]]/ProductionData[[#This Row],[Operating Minutes]]</f>
        <v>0.83333333333333337</v>
      </c>
    </row>
    <row r="1036" spans="1:23">
      <c r="A1036" s="7">
        <v>46318</v>
      </c>
      <c r="B1036" s="8" t="s">
        <v>31</v>
      </c>
      <c r="C1036" s="8" t="s">
        <v>28</v>
      </c>
      <c r="D1036" s="8" t="s">
        <v>25</v>
      </c>
      <c r="E1036" s="8" t="s">
        <v>26</v>
      </c>
      <c r="F1036" s="9">
        <v>490</v>
      </c>
      <c r="G1036" s="9">
        <v>457</v>
      </c>
      <c r="H1036" s="9">
        <v>15</v>
      </c>
      <c r="I1036" s="9">
        <f t="shared" si="144"/>
        <v>442</v>
      </c>
      <c r="J1036" s="9">
        <v>34</v>
      </c>
      <c r="K1036" s="10">
        <f t="shared" si="145"/>
        <v>7.0833333333333331E-2</v>
      </c>
      <c r="L1036" s="17">
        <v>90</v>
      </c>
      <c r="M1036" s="17">
        <v>30800</v>
      </c>
      <c r="N1036" s="17">
        <f t="shared" si="146"/>
        <v>39780</v>
      </c>
      <c r="O1036" s="17">
        <f t="shared" si="147"/>
        <v>8980</v>
      </c>
      <c r="P1036" s="10">
        <f t="shared" si="148"/>
        <v>0.93265306122448977</v>
      </c>
      <c r="Q1036" s="10">
        <f t="shared" si="149"/>
        <v>3.2822757111597371E-2</v>
      </c>
      <c r="R1036" s="10">
        <f t="shared" si="150"/>
        <v>0.22574157868275516</v>
      </c>
      <c r="S1036" s="18">
        <f t="shared" si="151"/>
        <v>69.68325791855203</v>
      </c>
      <c r="T1036" s="8">
        <f>480-ProductionData[[#This Row],[Downtime Minutes]]</f>
        <v>446</v>
      </c>
      <c r="U1036" s="11">
        <f t="shared" si="152"/>
        <v>1.0246636771300448</v>
      </c>
      <c r="V1036" s="18">
        <f>ProductionData[[#This Row],[Profit]]/ProductionData[[#This Row],[Good Units]]</f>
        <v>20.316742081447963</v>
      </c>
      <c r="W1036" s="11">
        <f>ProductionData[[#This Row],[Good Units]]/ProductionData[[#This Row],[Operating Minutes]]</f>
        <v>0.99103139013452912</v>
      </c>
    </row>
    <row r="1037" spans="1:23">
      <c r="A1037" s="7">
        <v>46319</v>
      </c>
      <c r="B1037" s="8" t="s">
        <v>31</v>
      </c>
      <c r="C1037" s="8" t="s">
        <v>20</v>
      </c>
      <c r="D1037" s="8" t="s">
        <v>21</v>
      </c>
      <c r="E1037" s="8" t="s">
        <v>26</v>
      </c>
      <c r="F1037" s="9">
        <v>480</v>
      </c>
      <c r="G1037" s="9">
        <v>462</v>
      </c>
      <c r="H1037" s="9">
        <v>12</v>
      </c>
      <c r="I1037" s="9">
        <f t="shared" si="144"/>
        <v>450</v>
      </c>
      <c r="J1037" s="9">
        <v>14</v>
      </c>
      <c r="K1037" s="10">
        <f t="shared" si="145"/>
        <v>2.9166666666666667E-2</v>
      </c>
      <c r="L1037" s="17">
        <v>90</v>
      </c>
      <c r="M1037" s="17">
        <v>30800</v>
      </c>
      <c r="N1037" s="17">
        <f t="shared" si="146"/>
        <v>40500</v>
      </c>
      <c r="O1037" s="17">
        <f t="shared" si="147"/>
        <v>9700</v>
      </c>
      <c r="P1037" s="10">
        <f t="shared" si="148"/>
        <v>0.96250000000000002</v>
      </c>
      <c r="Q1037" s="10">
        <f t="shared" si="149"/>
        <v>2.5974025974025976E-2</v>
      </c>
      <c r="R1037" s="10">
        <f t="shared" si="150"/>
        <v>0.23950617283950618</v>
      </c>
      <c r="S1037" s="18">
        <f t="shared" si="151"/>
        <v>68.444444444444443</v>
      </c>
      <c r="T1037" s="8">
        <f>480-ProductionData[[#This Row],[Downtime Minutes]]</f>
        <v>466</v>
      </c>
      <c r="U1037" s="11">
        <f t="shared" si="152"/>
        <v>0.99141630901287559</v>
      </c>
      <c r="V1037" s="18">
        <f>ProductionData[[#This Row],[Profit]]/ProductionData[[#This Row],[Good Units]]</f>
        <v>21.555555555555557</v>
      </c>
      <c r="W1037" s="11">
        <f>ProductionData[[#This Row],[Good Units]]/ProductionData[[#This Row],[Operating Minutes]]</f>
        <v>0.96566523605150212</v>
      </c>
    </row>
    <row r="1038" spans="1:23">
      <c r="A1038" s="7">
        <v>46319</v>
      </c>
      <c r="B1038" s="8" t="s">
        <v>31</v>
      </c>
      <c r="C1038" s="8" t="s">
        <v>20</v>
      </c>
      <c r="D1038" s="8" t="s">
        <v>23</v>
      </c>
      <c r="E1038" s="8" t="s">
        <v>22</v>
      </c>
      <c r="F1038" s="9">
        <v>440</v>
      </c>
      <c r="G1038" s="9">
        <v>402</v>
      </c>
      <c r="H1038" s="9">
        <v>17</v>
      </c>
      <c r="I1038" s="9">
        <f t="shared" si="144"/>
        <v>385</v>
      </c>
      <c r="J1038" s="9">
        <v>50</v>
      </c>
      <c r="K1038" s="10">
        <f t="shared" si="145"/>
        <v>0.10416666666666667</v>
      </c>
      <c r="L1038" s="17">
        <v>100</v>
      </c>
      <c r="M1038" s="17">
        <v>30800</v>
      </c>
      <c r="N1038" s="17">
        <f t="shared" si="146"/>
        <v>38500</v>
      </c>
      <c r="O1038" s="17">
        <f t="shared" si="147"/>
        <v>7700</v>
      </c>
      <c r="P1038" s="10">
        <f t="shared" si="148"/>
        <v>0.91363636363636369</v>
      </c>
      <c r="Q1038" s="10">
        <f t="shared" si="149"/>
        <v>4.228855721393035E-2</v>
      </c>
      <c r="R1038" s="10">
        <f t="shared" si="150"/>
        <v>0.2</v>
      </c>
      <c r="S1038" s="18">
        <f t="shared" si="151"/>
        <v>80</v>
      </c>
      <c r="T1038" s="8">
        <f>480-ProductionData[[#This Row],[Downtime Minutes]]</f>
        <v>430</v>
      </c>
      <c r="U1038" s="11">
        <f t="shared" si="152"/>
        <v>0.93488372093023253</v>
      </c>
      <c r="V1038" s="18">
        <f>ProductionData[[#This Row],[Profit]]/ProductionData[[#This Row],[Good Units]]</f>
        <v>20</v>
      </c>
      <c r="W1038" s="11">
        <f>ProductionData[[#This Row],[Good Units]]/ProductionData[[#This Row],[Operating Minutes]]</f>
        <v>0.89534883720930236</v>
      </c>
    </row>
    <row r="1039" spans="1:23">
      <c r="A1039" s="7">
        <v>46319</v>
      </c>
      <c r="B1039" s="8" t="s">
        <v>31</v>
      </c>
      <c r="C1039" s="8" t="s">
        <v>20</v>
      </c>
      <c r="D1039" s="8" t="s">
        <v>25</v>
      </c>
      <c r="E1039" s="8" t="s">
        <v>24</v>
      </c>
      <c r="F1039" s="9">
        <v>410</v>
      </c>
      <c r="G1039" s="9">
        <v>371</v>
      </c>
      <c r="H1039" s="9">
        <v>16</v>
      </c>
      <c r="I1039" s="9">
        <f t="shared" si="144"/>
        <v>355</v>
      </c>
      <c r="J1039" s="9">
        <v>39</v>
      </c>
      <c r="K1039" s="10">
        <f t="shared" si="145"/>
        <v>8.1250000000000003E-2</v>
      </c>
      <c r="L1039" s="17">
        <v>120</v>
      </c>
      <c r="M1039" s="17">
        <v>30800</v>
      </c>
      <c r="N1039" s="17">
        <f t="shared" si="146"/>
        <v>42600</v>
      </c>
      <c r="O1039" s="17">
        <f t="shared" si="147"/>
        <v>11800</v>
      </c>
      <c r="P1039" s="10">
        <f t="shared" si="148"/>
        <v>0.90487804878048783</v>
      </c>
      <c r="Q1039" s="10">
        <f t="shared" si="149"/>
        <v>4.3126684636118601E-2</v>
      </c>
      <c r="R1039" s="10">
        <f t="shared" si="150"/>
        <v>0.27699530516431925</v>
      </c>
      <c r="S1039" s="18">
        <f t="shared" si="151"/>
        <v>86.760563380281695</v>
      </c>
      <c r="T1039" s="8">
        <f>480-ProductionData[[#This Row],[Downtime Minutes]]</f>
        <v>441</v>
      </c>
      <c r="U1039" s="11">
        <f t="shared" si="152"/>
        <v>0.84126984126984128</v>
      </c>
      <c r="V1039" s="18">
        <f>ProductionData[[#This Row],[Profit]]/ProductionData[[#This Row],[Good Units]]</f>
        <v>33.239436619718312</v>
      </c>
      <c r="W1039" s="11">
        <f>ProductionData[[#This Row],[Good Units]]/ProductionData[[#This Row],[Operating Minutes]]</f>
        <v>0.80498866213151932</v>
      </c>
    </row>
    <row r="1040" spans="1:23">
      <c r="A1040" s="7">
        <v>46319</v>
      </c>
      <c r="B1040" s="8" t="s">
        <v>31</v>
      </c>
      <c r="C1040" s="8" t="s">
        <v>27</v>
      </c>
      <c r="D1040" s="8" t="s">
        <v>21</v>
      </c>
      <c r="E1040" s="8" t="s">
        <v>22</v>
      </c>
      <c r="F1040" s="9">
        <v>450</v>
      </c>
      <c r="G1040" s="9">
        <v>405</v>
      </c>
      <c r="H1040" s="9">
        <v>22</v>
      </c>
      <c r="I1040" s="9">
        <f t="shared" si="144"/>
        <v>383</v>
      </c>
      <c r="J1040" s="9">
        <v>47</v>
      </c>
      <c r="K1040" s="10">
        <f t="shared" si="145"/>
        <v>9.7916666666666666E-2</v>
      </c>
      <c r="L1040" s="17">
        <v>100</v>
      </c>
      <c r="M1040" s="17">
        <v>30800</v>
      </c>
      <c r="N1040" s="17">
        <f t="shared" si="146"/>
        <v>38300</v>
      </c>
      <c r="O1040" s="17">
        <f t="shared" si="147"/>
        <v>7500</v>
      </c>
      <c r="P1040" s="10">
        <f t="shared" si="148"/>
        <v>0.9</v>
      </c>
      <c r="Q1040" s="10">
        <f t="shared" si="149"/>
        <v>5.4320987654320987E-2</v>
      </c>
      <c r="R1040" s="10">
        <f t="shared" si="150"/>
        <v>0.195822454308094</v>
      </c>
      <c r="S1040" s="18">
        <f t="shared" si="151"/>
        <v>80.417754569190606</v>
      </c>
      <c r="T1040" s="8">
        <f>480-ProductionData[[#This Row],[Downtime Minutes]]</f>
        <v>433</v>
      </c>
      <c r="U1040" s="11">
        <f t="shared" si="152"/>
        <v>0.9353348729792148</v>
      </c>
      <c r="V1040" s="18">
        <f>ProductionData[[#This Row],[Profit]]/ProductionData[[#This Row],[Good Units]]</f>
        <v>19.582245430809401</v>
      </c>
      <c r="W1040" s="11">
        <f>ProductionData[[#This Row],[Good Units]]/ProductionData[[#This Row],[Operating Minutes]]</f>
        <v>0.88452655889145493</v>
      </c>
    </row>
    <row r="1041" spans="1:23">
      <c r="A1041" s="7">
        <v>46319</v>
      </c>
      <c r="B1041" s="8" t="s">
        <v>31</v>
      </c>
      <c r="C1041" s="8" t="s">
        <v>27</v>
      </c>
      <c r="D1041" s="8" t="s">
        <v>23</v>
      </c>
      <c r="E1041" s="8" t="s">
        <v>24</v>
      </c>
      <c r="F1041" s="9">
        <v>400</v>
      </c>
      <c r="G1041" s="9">
        <v>362</v>
      </c>
      <c r="H1041" s="9">
        <v>16</v>
      </c>
      <c r="I1041" s="9">
        <f t="shared" si="144"/>
        <v>346</v>
      </c>
      <c r="J1041" s="9">
        <v>63</v>
      </c>
      <c r="K1041" s="10">
        <f t="shared" si="145"/>
        <v>0.13125000000000001</v>
      </c>
      <c r="L1041" s="17">
        <v>120</v>
      </c>
      <c r="M1041" s="17">
        <v>30800</v>
      </c>
      <c r="N1041" s="17">
        <f t="shared" si="146"/>
        <v>41520</v>
      </c>
      <c r="O1041" s="17">
        <f t="shared" si="147"/>
        <v>10720</v>
      </c>
      <c r="P1041" s="10">
        <f t="shared" si="148"/>
        <v>0.90500000000000003</v>
      </c>
      <c r="Q1041" s="10">
        <f t="shared" si="149"/>
        <v>4.4198895027624308E-2</v>
      </c>
      <c r="R1041" s="10">
        <f t="shared" si="150"/>
        <v>0.25818882466281312</v>
      </c>
      <c r="S1041" s="18">
        <f t="shared" si="151"/>
        <v>89.017341040462426</v>
      </c>
      <c r="T1041" s="8">
        <f>480-ProductionData[[#This Row],[Downtime Minutes]]</f>
        <v>417</v>
      </c>
      <c r="U1041" s="11">
        <f t="shared" si="152"/>
        <v>0.86810551558753002</v>
      </c>
      <c r="V1041" s="18">
        <f>ProductionData[[#This Row],[Profit]]/ProductionData[[#This Row],[Good Units]]</f>
        <v>30.982658959537574</v>
      </c>
      <c r="W1041" s="11">
        <f>ProductionData[[#This Row],[Good Units]]/ProductionData[[#This Row],[Operating Minutes]]</f>
        <v>0.82973621103117501</v>
      </c>
    </row>
    <row r="1042" spans="1:23">
      <c r="A1042" s="7">
        <v>46319</v>
      </c>
      <c r="B1042" s="8" t="s">
        <v>31</v>
      </c>
      <c r="C1042" s="8" t="s">
        <v>27</v>
      </c>
      <c r="D1042" s="8" t="s">
        <v>25</v>
      </c>
      <c r="E1042" s="8" t="s">
        <v>26</v>
      </c>
      <c r="F1042" s="9">
        <v>490</v>
      </c>
      <c r="G1042" s="9">
        <v>425</v>
      </c>
      <c r="H1042" s="9">
        <v>29</v>
      </c>
      <c r="I1042" s="9">
        <f t="shared" si="144"/>
        <v>396</v>
      </c>
      <c r="J1042" s="9">
        <v>55</v>
      </c>
      <c r="K1042" s="10">
        <f t="shared" si="145"/>
        <v>0.11458333333333333</v>
      </c>
      <c r="L1042" s="17">
        <v>90</v>
      </c>
      <c r="M1042" s="17">
        <v>30800</v>
      </c>
      <c r="N1042" s="17">
        <f t="shared" si="146"/>
        <v>35640</v>
      </c>
      <c r="O1042" s="17">
        <f t="shared" si="147"/>
        <v>4840</v>
      </c>
      <c r="P1042" s="10">
        <f t="shared" si="148"/>
        <v>0.86734693877551017</v>
      </c>
      <c r="Q1042" s="10">
        <f t="shared" si="149"/>
        <v>6.8235294117647061E-2</v>
      </c>
      <c r="R1042" s="10">
        <f t="shared" si="150"/>
        <v>0.13580246913580246</v>
      </c>
      <c r="S1042" s="18">
        <f t="shared" si="151"/>
        <v>77.777777777777771</v>
      </c>
      <c r="T1042" s="8">
        <f>480-ProductionData[[#This Row],[Downtime Minutes]]</f>
        <v>425</v>
      </c>
      <c r="U1042" s="11">
        <f t="shared" si="152"/>
        <v>1</v>
      </c>
      <c r="V1042" s="18">
        <f>ProductionData[[#This Row],[Profit]]/ProductionData[[#This Row],[Good Units]]</f>
        <v>12.222222222222221</v>
      </c>
      <c r="W1042" s="11">
        <f>ProductionData[[#This Row],[Good Units]]/ProductionData[[#This Row],[Operating Minutes]]</f>
        <v>0.93176470588235294</v>
      </c>
    </row>
    <row r="1043" spans="1:23">
      <c r="A1043" s="7">
        <v>46319</v>
      </c>
      <c r="B1043" s="8" t="s">
        <v>31</v>
      </c>
      <c r="C1043" s="8" t="s">
        <v>28</v>
      </c>
      <c r="D1043" s="8" t="s">
        <v>21</v>
      </c>
      <c r="E1043" s="8" t="s">
        <v>24</v>
      </c>
      <c r="F1043" s="9">
        <v>410</v>
      </c>
      <c r="G1043" s="9">
        <v>389</v>
      </c>
      <c r="H1043" s="9">
        <v>6</v>
      </c>
      <c r="I1043" s="9">
        <f t="shared" si="144"/>
        <v>383</v>
      </c>
      <c r="J1043" s="9">
        <v>12</v>
      </c>
      <c r="K1043" s="10">
        <f t="shared" si="145"/>
        <v>2.5000000000000001E-2</v>
      </c>
      <c r="L1043" s="17">
        <v>120</v>
      </c>
      <c r="M1043" s="17">
        <v>30800</v>
      </c>
      <c r="N1043" s="17">
        <f t="shared" si="146"/>
        <v>45960</v>
      </c>
      <c r="O1043" s="17">
        <f t="shared" si="147"/>
        <v>15160</v>
      </c>
      <c r="P1043" s="10">
        <f t="shared" si="148"/>
        <v>0.948780487804878</v>
      </c>
      <c r="Q1043" s="10">
        <f t="shared" si="149"/>
        <v>1.5424164524421594E-2</v>
      </c>
      <c r="R1043" s="10">
        <f t="shared" si="150"/>
        <v>0.329852045256745</v>
      </c>
      <c r="S1043" s="18">
        <f t="shared" si="151"/>
        <v>80.417754569190606</v>
      </c>
      <c r="T1043" s="8">
        <f>480-ProductionData[[#This Row],[Downtime Minutes]]</f>
        <v>468</v>
      </c>
      <c r="U1043" s="11">
        <f t="shared" si="152"/>
        <v>0.83119658119658124</v>
      </c>
      <c r="V1043" s="18">
        <f>ProductionData[[#This Row],[Profit]]/ProductionData[[#This Row],[Good Units]]</f>
        <v>39.582245430809401</v>
      </c>
      <c r="W1043" s="11">
        <f>ProductionData[[#This Row],[Good Units]]/ProductionData[[#This Row],[Operating Minutes]]</f>
        <v>0.81837606837606836</v>
      </c>
    </row>
    <row r="1044" spans="1:23">
      <c r="A1044" s="7">
        <v>46319</v>
      </c>
      <c r="B1044" s="8" t="s">
        <v>31</v>
      </c>
      <c r="C1044" s="8" t="s">
        <v>28</v>
      </c>
      <c r="D1044" s="8" t="s">
        <v>23</v>
      </c>
      <c r="E1044" s="8" t="s">
        <v>26</v>
      </c>
      <c r="F1044" s="9">
        <v>480</v>
      </c>
      <c r="G1044" s="9">
        <v>449</v>
      </c>
      <c r="H1044" s="9">
        <v>14</v>
      </c>
      <c r="I1044" s="9">
        <f t="shared" si="144"/>
        <v>435</v>
      </c>
      <c r="J1044" s="9">
        <v>15</v>
      </c>
      <c r="K1044" s="10">
        <f t="shared" si="145"/>
        <v>3.125E-2</v>
      </c>
      <c r="L1044" s="17">
        <v>90</v>
      </c>
      <c r="M1044" s="17">
        <v>30800</v>
      </c>
      <c r="N1044" s="17">
        <f t="shared" si="146"/>
        <v>39150</v>
      </c>
      <c r="O1044" s="17">
        <f t="shared" si="147"/>
        <v>8350</v>
      </c>
      <c r="P1044" s="10">
        <f t="shared" si="148"/>
        <v>0.93541666666666667</v>
      </c>
      <c r="Q1044" s="10">
        <f t="shared" si="149"/>
        <v>3.1180400890868598E-2</v>
      </c>
      <c r="R1044" s="10">
        <f t="shared" si="150"/>
        <v>0.21328224776500637</v>
      </c>
      <c r="S1044" s="18">
        <f t="shared" si="151"/>
        <v>70.804597701149419</v>
      </c>
      <c r="T1044" s="8">
        <f>480-ProductionData[[#This Row],[Downtime Minutes]]</f>
        <v>465</v>
      </c>
      <c r="U1044" s="11">
        <f t="shared" si="152"/>
        <v>0.96559139784946235</v>
      </c>
      <c r="V1044" s="18">
        <f>ProductionData[[#This Row],[Profit]]/ProductionData[[#This Row],[Good Units]]</f>
        <v>19.195402298850574</v>
      </c>
      <c r="W1044" s="11">
        <f>ProductionData[[#This Row],[Good Units]]/ProductionData[[#This Row],[Operating Minutes]]</f>
        <v>0.93548387096774188</v>
      </c>
    </row>
    <row r="1045" spans="1:23">
      <c r="A1045" s="7">
        <v>46319</v>
      </c>
      <c r="B1045" s="8" t="s">
        <v>31</v>
      </c>
      <c r="C1045" s="8" t="s">
        <v>28</v>
      </c>
      <c r="D1045" s="8" t="s">
        <v>25</v>
      </c>
      <c r="E1045" s="8" t="s">
        <v>22</v>
      </c>
      <c r="F1045" s="9">
        <v>450</v>
      </c>
      <c r="G1045" s="9">
        <v>407</v>
      </c>
      <c r="H1045" s="9">
        <v>21</v>
      </c>
      <c r="I1045" s="9">
        <f t="shared" si="144"/>
        <v>386</v>
      </c>
      <c r="J1045" s="9">
        <v>35</v>
      </c>
      <c r="K1045" s="10">
        <f t="shared" si="145"/>
        <v>7.2916666666666671E-2</v>
      </c>
      <c r="L1045" s="17">
        <v>100</v>
      </c>
      <c r="M1045" s="17">
        <v>30800</v>
      </c>
      <c r="N1045" s="17">
        <f t="shared" si="146"/>
        <v>38600</v>
      </c>
      <c r="O1045" s="17">
        <f t="shared" si="147"/>
        <v>7800</v>
      </c>
      <c r="P1045" s="10">
        <f t="shared" si="148"/>
        <v>0.9044444444444445</v>
      </c>
      <c r="Q1045" s="10">
        <f t="shared" si="149"/>
        <v>5.1597051597051594E-2</v>
      </c>
      <c r="R1045" s="10">
        <f t="shared" si="150"/>
        <v>0.20207253886010362</v>
      </c>
      <c r="S1045" s="18">
        <f t="shared" si="151"/>
        <v>79.792746113989637</v>
      </c>
      <c r="T1045" s="8">
        <f>480-ProductionData[[#This Row],[Downtime Minutes]]</f>
        <v>445</v>
      </c>
      <c r="U1045" s="11">
        <f t="shared" si="152"/>
        <v>0.91460674157303368</v>
      </c>
      <c r="V1045" s="18">
        <f>ProductionData[[#This Row],[Profit]]/ProductionData[[#This Row],[Good Units]]</f>
        <v>20.207253886010363</v>
      </c>
      <c r="W1045" s="11">
        <f>ProductionData[[#This Row],[Good Units]]/ProductionData[[#This Row],[Operating Minutes]]</f>
        <v>0.86741573033707864</v>
      </c>
    </row>
    <row r="1046" spans="1:23">
      <c r="A1046" s="7">
        <v>46320</v>
      </c>
      <c r="B1046" s="8" t="s">
        <v>31</v>
      </c>
      <c r="C1046" s="8" t="s">
        <v>20</v>
      </c>
      <c r="D1046" s="8" t="s">
        <v>21</v>
      </c>
      <c r="E1046" s="8" t="s">
        <v>22</v>
      </c>
      <c r="F1046" s="9">
        <v>450</v>
      </c>
      <c r="G1046" s="9">
        <v>415</v>
      </c>
      <c r="H1046" s="9">
        <v>20</v>
      </c>
      <c r="I1046" s="9">
        <f t="shared" si="144"/>
        <v>395</v>
      </c>
      <c r="J1046" s="9">
        <v>36</v>
      </c>
      <c r="K1046" s="10">
        <f t="shared" si="145"/>
        <v>7.4999999999999997E-2</v>
      </c>
      <c r="L1046" s="17">
        <v>100</v>
      </c>
      <c r="M1046" s="17">
        <v>30800</v>
      </c>
      <c r="N1046" s="17">
        <f t="shared" si="146"/>
        <v>39500</v>
      </c>
      <c r="O1046" s="17">
        <f t="shared" si="147"/>
        <v>8700</v>
      </c>
      <c r="P1046" s="10">
        <f t="shared" si="148"/>
        <v>0.92222222222222228</v>
      </c>
      <c r="Q1046" s="10">
        <f t="shared" si="149"/>
        <v>4.8192771084337352E-2</v>
      </c>
      <c r="R1046" s="10">
        <f t="shared" si="150"/>
        <v>0.22025316455696203</v>
      </c>
      <c r="S1046" s="18">
        <f t="shared" si="151"/>
        <v>77.974683544303801</v>
      </c>
      <c r="T1046" s="8">
        <f>480-ProductionData[[#This Row],[Downtime Minutes]]</f>
        <v>444</v>
      </c>
      <c r="U1046" s="11">
        <f t="shared" si="152"/>
        <v>0.93468468468468469</v>
      </c>
      <c r="V1046" s="18">
        <f>ProductionData[[#This Row],[Profit]]/ProductionData[[#This Row],[Good Units]]</f>
        <v>22.025316455696203</v>
      </c>
      <c r="W1046" s="11">
        <f>ProductionData[[#This Row],[Good Units]]/ProductionData[[#This Row],[Operating Minutes]]</f>
        <v>0.88963963963963966</v>
      </c>
    </row>
    <row r="1047" spans="1:23">
      <c r="A1047" s="7">
        <v>46320</v>
      </c>
      <c r="B1047" s="8" t="s">
        <v>31</v>
      </c>
      <c r="C1047" s="8" t="s">
        <v>20</v>
      </c>
      <c r="D1047" s="8" t="s">
        <v>23</v>
      </c>
      <c r="E1047" s="8" t="s">
        <v>24</v>
      </c>
      <c r="F1047" s="9">
        <v>410</v>
      </c>
      <c r="G1047" s="9">
        <v>384</v>
      </c>
      <c r="H1047" s="9">
        <v>14</v>
      </c>
      <c r="I1047" s="9">
        <f t="shared" si="144"/>
        <v>370</v>
      </c>
      <c r="J1047" s="9">
        <v>47</v>
      </c>
      <c r="K1047" s="10">
        <f t="shared" si="145"/>
        <v>9.7916666666666666E-2</v>
      </c>
      <c r="L1047" s="17">
        <v>120</v>
      </c>
      <c r="M1047" s="17">
        <v>30800</v>
      </c>
      <c r="N1047" s="17">
        <f t="shared" si="146"/>
        <v>44400</v>
      </c>
      <c r="O1047" s="17">
        <f t="shared" si="147"/>
        <v>13600</v>
      </c>
      <c r="P1047" s="10">
        <f t="shared" si="148"/>
        <v>0.93658536585365859</v>
      </c>
      <c r="Q1047" s="10">
        <f t="shared" si="149"/>
        <v>3.6458333333333336E-2</v>
      </c>
      <c r="R1047" s="10">
        <f t="shared" si="150"/>
        <v>0.30630630630630629</v>
      </c>
      <c r="S1047" s="18">
        <f t="shared" si="151"/>
        <v>83.243243243243242</v>
      </c>
      <c r="T1047" s="8">
        <f>480-ProductionData[[#This Row],[Downtime Minutes]]</f>
        <v>433</v>
      </c>
      <c r="U1047" s="11">
        <f t="shared" si="152"/>
        <v>0.88683602771362591</v>
      </c>
      <c r="V1047" s="18">
        <f>ProductionData[[#This Row],[Profit]]/ProductionData[[#This Row],[Good Units]]</f>
        <v>36.756756756756758</v>
      </c>
      <c r="W1047" s="11">
        <f>ProductionData[[#This Row],[Good Units]]/ProductionData[[#This Row],[Operating Minutes]]</f>
        <v>0.85450346420323331</v>
      </c>
    </row>
    <row r="1048" spans="1:23">
      <c r="A1048" s="7">
        <v>46320</v>
      </c>
      <c r="B1048" s="8" t="s">
        <v>31</v>
      </c>
      <c r="C1048" s="8" t="s">
        <v>20</v>
      </c>
      <c r="D1048" s="8" t="s">
        <v>25</v>
      </c>
      <c r="E1048" s="8" t="s">
        <v>26</v>
      </c>
      <c r="F1048" s="9">
        <v>500</v>
      </c>
      <c r="G1048" s="9">
        <v>439</v>
      </c>
      <c r="H1048" s="9">
        <v>22</v>
      </c>
      <c r="I1048" s="9">
        <f t="shared" si="144"/>
        <v>417</v>
      </c>
      <c r="J1048" s="9">
        <v>43</v>
      </c>
      <c r="K1048" s="10">
        <f t="shared" si="145"/>
        <v>8.9583333333333334E-2</v>
      </c>
      <c r="L1048" s="17">
        <v>90</v>
      </c>
      <c r="M1048" s="17">
        <v>30800</v>
      </c>
      <c r="N1048" s="17">
        <f t="shared" si="146"/>
        <v>37530</v>
      </c>
      <c r="O1048" s="17">
        <f t="shared" si="147"/>
        <v>6730</v>
      </c>
      <c r="P1048" s="10">
        <f t="shared" si="148"/>
        <v>0.878</v>
      </c>
      <c r="Q1048" s="10">
        <f t="shared" si="149"/>
        <v>5.011389521640091E-2</v>
      </c>
      <c r="R1048" s="10">
        <f t="shared" si="150"/>
        <v>0.17932320810018651</v>
      </c>
      <c r="S1048" s="18">
        <f t="shared" si="151"/>
        <v>73.860911270983209</v>
      </c>
      <c r="T1048" s="8">
        <f>480-ProductionData[[#This Row],[Downtime Minutes]]</f>
        <v>437</v>
      </c>
      <c r="U1048" s="11">
        <f t="shared" si="152"/>
        <v>1.0045766590389016</v>
      </c>
      <c r="V1048" s="18">
        <f>ProductionData[[#This Row],[Profit]]/ProductionData[[#This Row],[Good Units]]</f>
        <v>16.139088729016787</v>
      </c>
      <c r="W1048" s="11">
        <f>ProductionData[[#This Row],[Good Units]]/ProductionData[[#This Row],[Operating Minutes]]</f>
        <v>0.95423340961098402</v>
      </c>
    </row>
    <row r="1049" spans="1:23">
      <c r="A1049" s="7">
        <v>46320</v>
      </c>
      <c r="B1049" s="8" t="s">
        <v>31</v>
      </c>
      <c r="C1049" s="8" t="s">
        <v>27</v>
      </c>
      <c r="D1049" s="8" t="s">
        <v>21</v>
      </c>
      <c r="E1049" s="8" t="s">
        <v>24</v>
      </c>
      <c r="F1049" s="9">
        <v>400</v>
      </c>
      <c r="G1049" s="9">
        <v>360</v>
      </c>
      <c r="H1049" s="9">
        <v>17</v>
      </c>
      <c r="I1049" s="9">
        <f t="shared" si="144"/>
        <v>343</v>
      </c>
      <c r="J1049" s="9">
        <v>55</v>
      </c>
      <c r="K1049" s="10">
        <f t="shared" si="145"/>
        <v>0.11458333333333333</v>
      </c>
      <c r="L1049" s="17">
        <v>120</v>
      </c>
      <c r="M1049" s="17">
        <v>30800</v>
      </c>
      <c r="N1049" s="17">
        <f t="shared" si="146"/>
        <v>41160</v>
      </c>
      <c r="O1049" s="17">
        <f t="shared" si="147"/>
        <v>10360</v>
      </c>
      <c r="P1049" s="10">
        <f t="shared" si="148"/>
        <v>0.9</v>
      </c>
      <c r="Q1049" s="10">
        <f t="shared" si="149"/>
        <v>4.7222222222222221E-2</v>
      </c>
      <c r="R1049" s="10">
        <f t="shared" si="150"/>
        <v>0.25170068027210885</v>
      </c>
      <c r="S1049" s="18">
        <f t="shared" si="151"/>
        <v>89.795918367346943</v>
      </c>
      <c r="T1049" s="8">
        <f>480-ProductionData[[#This Row],[Downtime Minutes]]</f>
        <v>425</v>
      </c>
      <c r="U1049" s="11">
        <f t="shared" si="152"/>
        <v>0.84705882352941175</v>
      </c>
      <c r="V1049" s="18">
        <f>ProductionData[[#This Row],[Profit]]/ProductionData[[#This Row],[Good Units]]</f>
        <v>30.204081632653061</v>
      </c>
      <c r="W1049" s="11">
        <f>ProductionData[[#This Row],[Good Units]]/ProductionData[[#This Row],[Operating Minutes]]</f>
        <v>0.80705882352941172</v>
      </c>
    </row>
    <row r="1050" spans="1:23">
      <c r="A1050" s="7">
        <v>46320</v>
      </c>
      <c r="B1050" s="8" t="s">
        <v>31</v>
      </c>
      <c r="C1050" s="8" t="s">
        <v>27</v>
      </c>
      <c r="D1050" s="8" t="s">
        <v>23</v>
      </c>
      <c r="E1050" s="8" t="s">
        <v>26</v>
      </c>
      <c r="F1050" s="9">
        <v>520</v>
      </c>
      <c r="G1050" s="9">
        <v>471</v>
      </c>
      <c r="H1050" s="9">
        <v>26</v>
      </c>
      <c r="I1050" s="9">
        <f t="shared" si="144"/>
        <v>445</v>
      </c>
      <c r="J1050" s="9">
        <v>48</v>
      </c>
      <c r="K1050" s="10">
        <f t="shared" si="145"/>
        <v>0.1</v>
      </c>
      <c r="L1050" s="17">
        <v>90</v>
      </c>
      <c r="M1050" s="17">
        <v>30800</v>
      </c>
      <c r="N1050" s="17">
        <f t="shared" si="146"/>
        <v>40050</v>
      </c>
      <c r="O1050" s="17">
        <f t="shared" si="147"/>
        <v>9250</v>
      </c>
      <c r="P1050" s="10">
        <f t="shared" si="148"/>
        <v>0.90576923076923077</v>
      </c>
      <c r="Q1050" s="10">
        <f t="shared" si="149"/>
        <v>5.5201698513800426E-2</v>
      </c>
      <c r="R1050" s="10">
        <f t="shared" si="150"/>
        <v>0.23096129837702872</v>
      </c>
      <c r="S1050" s="18">
        <f t="shared" si="151"/>
        <v>69.213483146067418</v>
      </c>
      <c r="T1050" s="8">
        <f>480-ProductionData[[#This Row],[Downtime Minutes]]</f>
        <v>432</v>
      </c>
      <c r="U1050" s="11">
        <f t="shared" si="152"/>
        <v>1.0902777777777777</v>
      </c>
      <c r="V1050" s="18">
        <f>ProductionData[[#This Row],[Profit]]/ProductionData[[#This Row],[Good Units]]</f>
        <v>20.786516853932586</v>
      </c>
      <c r="W1050" s="11">
        <f>ProductionData[[#This Row],[Good Units]]/ProductionData[[#This Row],[Operating Minutes]]</f>
        <v>1.0300925925925926</v>
      </c>
    </row>
    <row r="1051" spans="1:23">
      <c r="A1051" s="7">
        <v>46320</v>
      </c>
      <c r="B1051" s="8" t="s">
        <v>31</v>
      </c>
      <c r="C1051" s="8" t="s">
        <v>27</v>
      </c>
      <c r="D1051" s="8" t="s">
        <v>25</v>
      </c>
      <c r="E1051" s="8" t="s">
        <v>22</v>
      </c>
      <c r="F1051" s="9">
        <v>450</v>
      </c>
      <c r="G1051" s="9">
        <v>387</v>
      </c>
      <c r="H1051" s="9">
        <v>31</v>
      </c>
      <c r="I1051" s="9">
        <f t="shared" si="144"/>
        <v>356</v>
      </c>
      <c r="J1051" s="9">
        <v>64</v>
      </c>
      <c r="K1051" s="10">
        <f t="shared" si="145"/>
        <v>0.13333333333333333</v>
      </c>
      <c r="L1051" s="17">
        <v>100</v>
      </c>
      <c r="M1051" s="17">
        <v>30800</v>
      </c>
      <c r="N1051" s="17">
        <f t="shared" si="146"/>
        <v>35600</v>
      </c>
      <c r="O1051" s="17">
        <f t="shared" si="147"/>
        <v>4800</v>
      </c>
      <c r="P1051" s="10">
        <f t="shared" si="148"/>
        <v>0.86</v>
      </c>
      <c r="Q1051" s="10">
        <f t="shared" si="149"/>
        <v>8.0103359173126609E-2</v>
      </c>
      <c r="R1051" s="10">
        <f t="shared" si="150"/>
        <v>0.1348314606741573</v>
      </c>
      <c r="S1051" s="18">
        <f t="shared" si="151"/>
        <v>86.516853932584269</v>
      </c>
      <c r="T1051" s="8">
        <f>480-ProductionData[[#This Row],[Downtime Minutes]]</f>
        <v>416</v>
      </c>
      <c r="U1051" s="11">
        <f t="shared" si="152"/>
        <v>0.93028846153846156</v>
      </c>
      <c r="V1051" s="18">
        <f>ProductionData[[#This Row],[Profit]]/ProductionData[[#This Row],[Good Units]]</f>
        <v>13.48314606741573</v>
      </c>
      <c r="W1051" s="11">
        <f>ProductionData[[#This Row],[Good Units]]/ProductionData[[#This Row],[Operating Minutes]]</f>
        <v>0.85576923076923073</v>
      </c>
    </row>
    <row r="1052" spans="1:23">
      <c r="A1052" s="7">
        <v>46320</v>
      </c>
      <c r="B1052" s="8" t="s">
        <v>31</v>
      </c>
      <c r="C1052" s="8" t="s">
        <v>28</v>
      </c>
      <c r="D1052" s="8" t="s">
        <v>21</v>
      </c>
      <c r="E1052" s="8" t="s">
        <v>26</v>
      </c>
      <c r="F1052" s="9">
        <v>490</v>
      </c>
      <c r="G1052" s="9">
        <v>472</v>
      </c>
      <c r="H1052" s="9">
        <v>11</v>
      </c>
      <c r="I1052" s="9">
        <f t="shared" si="144"/>
        <v>461</v>
      </c>
      <c r="J1052" s="9">
        <v>22</v>
      </c>
      <c r="K1052" s="10">
        <f t="shared" si="145"/>
        <v>4.583333333333333E-2</v>
      </c>
      <c r="L1052" s="17">
        <v>90</v>
      </c>
      <c r="M1052" s="17">
        <v>30800</v>
      </c>
      <c r="N1052" s="17">
        <f t="shared" si="146"/>
        <v>41490</v>
      </c>
      <c r="O1052" s="17">
        <f t="shared" si="147"/>
        <v>10690</v>
      </c>
      <c r="P1052" s="10">
        <f t="shared" si="148"/>
        <v>0.96326530612244898</v>
      </c>
      <c r="Q1052" s="10">
        <f t="shared" si="149"/>
        <v>2.3305084745762712E-2</v>
      </c>
      <c r="R1052" s="10">
        <f t="shared" si="150"/>
        <v>0.25765244637261991</v>
      </c>
      <c r="S1052" s="18">
        <f t="shared" si="151"/>
        <v>66.811279826464215</v>
      </c>
      <c r="T1052" s="8">
        <f>480-ProductionData[[#This Row],[Downtime Minutes]]</f>
        <v>458</v>
      </c>
      <c r="U1052" s="11">
        <f t="shared" si="152"/>
        <v>1.0305676855895196</v>
      </c>
      <c r="V1052" s="18">
        <f>ProductionData[[#This Row],[Profit]]/ProductionData[[#This Row],[Good Units]]</f>
        <v>23.188720173535792</v>
      </c>
      <c r="W1052" s="11">
        <f>ProductionData[[#This Row],[Good Units]]/ProductionData[[#This Row],[Operating Minutes]]</f>
        <v>1.0065502183406114</v>
      </c>
    </row>
    <row r="1053" spans="1:23">
      <c r="A1053" s="7">
        <v>46320</v>
      </c>
      <c r="B1053" s="8" t="s">
        <v>31</v>
      </c>
      <c r="C1053" s="8" t="s">
        <v>28</v>
      </c>
      <c r="D1053" s="8" t="s">
        <v>23</v>
      </c>
      <c r="E1053" s="8" t="s">
        <v>22</v>
      </c>
      <c r="F1053" s="9">
        <v>440</v>
      </c>
      <c r="G1053" s="9">
        <v>417</v>
      </c>
      <c r="H1053" s="9">
        <v>21</v>
      </c>
      <c r="I1053" s="9">
        <f t="shared" si="144"/>
        <v>396</v>
      </c>
      <c r="J1053" s="9">
        <v>22</v>
      </c>
      <c r="K1053" s="10">
        <f t="shared" si="145"/>
        <v>4.583333333333333E-2</v>
      </c>
      <c r="L1053" s="17">
        <v>100</v>
      </c>
      <c r="M1053" s="17">
        <v>30800</v>
      </c>
      <c r="N1053" s="17">
        <f t="shared" si="146"/>
        <v>39600</v>
      </c>
      <c r="O1053" s="17">
        <f t="shared" si="147"/>
        <v>8800</v>
      </c>
      <c r="P1053" s="10">
        <f t="shared" si="148"/>
        <v>0.94772727272727275</v>
      </c>
      <c r="Q1053" s="10">
        <f t="shared" si="149"/>
        <v>5.0359712230215826E-2</v>
      </c>
      <c r="R1053" s="10">
        <f t="shared" si="150"/>
        <v>0.22222222222222221</v>
      </c>
      <c r="S1053" s="18">
        <f t="shared" si="151"/>
        <v>77.777777777777771</v>
      </c>
      <c r="T1053" s="8">
        <f>480-ProductionData[[#This Row],[Downtime Minutes]]</f>
        <v>458</v>
      </c>
      <c r="U1053" s="11">
        <f t="shared" si="152"/>
        <v>0.91048034934497812</v>
      </c>
      <c r="V1053" s="18">
        <f>ProductionData[[#This Row],[Profit]]/ProductionData[[#This Row],[Good Units]]</f>
        <v>22.222222222222221</v>
      </c>
      <c r="W1053" s="11">
        <f>ProductionData[[#This Row],[Good Units]]/ProductionData[[#This Row],[Operating Minutes]]</f>
        <v>0.86462882096069871</v>
      </c>
    </row>
    <row r="1054" spans="1:23">
      <c r="A1054" s="7">
        <v>46320</v>
      </c>
      <c r="B1054" s="8" t="s">
        <v>31</v>
      </c>
      <c r="C1054" s="8" t="s">
        <v>28</v>
      </c>
      <c r="D1054" s="8" t="s">
        <v>25</v>
      </c>
      <c r="E1054" s="8" t="s">
        <v>24</v>
      </c>
      <c r="F1054" s="9">
        <v>420</v>
      </c>
      <c r="G1054" s="9">
        <v>389</v>
      </c>
      <c r="H1054" s="9">
        <v>14</v>
      </c>
      <c r="I1054" s="9">
        <f t="shared" si="144"/>
        <v>375</v>
      </c>
      <c r="J1054" s="9">
        <v>32</v>
      </c>
      <c r="K1054" s="10">
        <f t="shared" si="145"/>
        <v>6.6666666666666666E-2</v>
      </c>
      <c r="L1054" s="17">
        <v>120</v>
      </c>
      <c r="M1054" s="17">
        <v>30800</v>
      </c>
      <c r="N1054" s="17">
        <f t="shared" si="146"/>
        <v>45000</v>
      </c>
      <c r="O1054" s="17">
        <f t="shared" si="147"/>
        <v>14200</v>
      </c>
      <c r="P1054" s="10">
        <f t="shared" si="148"/>
        <v>0.92619047619047623</v>
      </c>
      <c r="Q1054" s="10">
        <f t="shared" si="149"/>
        <v>3.5989717223650387E-2</v>
      </c>
      <c r="R1054" s="10">
        <f t="shared" si="150"/>
        <v>0.31555555555555553</v>
      </c>
      <c r="S1054" s="18">
        <f t="shared" si="151"/>
        <v>82.13333333333334</v>
      </c>
      <c r="T1054" s="8">
        <f>480-ProductionData[[#This Row],[Downtime Minutes]]</f>
        <v>448</v>
      </c>
      <c r="U1054" s="11">
        <f t="shared" si="152"/>
        <v>0.8683035714285714</v>
      </c>
      <c r="V1054" s="18">
        <f>ProductionData[[#This Row],[Profit]]/ProductionData[[#This Row],[Good Units]]</f>
        <v>37.866666666666667</v>
      </c>
      <c r="W1054" s="11">
        <f>ProductionData[[#This Row],[Good Units]]/ProductionData[[#This Row],[Operating Minutes]]</f>
        <v>0.8370535714285714</v>
      </c>
    </row>
    <row r="1055" spans="1:23">
      <c r="A1055" s="7">
        <v>46321</v>
      </c>
      <c r="B1055" s="8" t="s">
        <v>31</v>
      </c>
      <c r="C1055" s="8" t="s">
        <v>20</v>
      </c>
      <c r="D1055" s="8" t="s">
        <v>21</v>
      </c>
      <c r="E1055" s="8" t="s">
        <v>24</v>
      </c>
      <c r="F1055" s="9">
        <v>390</v>
      </c>
      <c r="G1055" s="9">
        <v>360</v>
      </c>
      <c r="H1055" s="9">
        <v>12</v>
      </c>
      <c r="I1055" s="9">
        <f t="shared" si="144"/>
        <v>348</v>
      </c>
      <c r="J1055" s="9">
        <v>18</v>
      </c>
      <c r="K1055" s="10">
        <f t="shared" si="145"/>
        <v>3.7499999999999999E-2</v>
      </c>
      <c r="L1055" s="17">
        <v>120</v>
      </c>
      <c r="M1055" s="17">
        <v>30800</v>
      </c>
      <c r="N1055" s="17">
        <f t="shared" si="146"/>
        <v>41760</v>
      </c>
      <c r="O1055" s="17">
        <f t="shared" si="147"/>
        <v>10960</v>
      </c>
      <c r="P1055" s="10">
        <f t="shared" si="148"/>
        <v>0.92307692307692313</v>
      </c>
      <c r="Q1055" s="10">
        <f t="shared" si="149"/>
        <v>3.3333333333333333E-2</v>
      </c>
      <c r="R1055" s="10">
        <f t="shared" si="150"/>
        <v>0.26245210727969348</v>
      </c>
      <c r="S1055" s="18">
        <f t="shared" si="151"/>
        <v>88.505747126436788</v>
      </c>
      <c r="T1055" s="8">
        <f>480-ProductionData[[#This Row],[Downtime Minutes]]</f>
        <v>462</v>
      </c>
      <c r="U1055" s="11">
        <f t="shared" si="152"/>
        <v>0.77922077922077926</v>
      </c>
      <c r="V1055" s="18">
        <f>ProductionData[[#This Row],[Profit]]/ProductionData[[#This Row],[Good Units]]</f>
        <v>31.494252873563219</v>
      </c>
      <c r="W1055" s="11">
        <f>ProductionData[[#This Row],[Good Units]]/ProductionData[[#This Row],[Operating Minutes]]</f>
        <v>0.75324675324675328</v>
      </c>
    </row>
    <row r="1056" spans="1:23">
      <c r="A1056" s="7">
        <v>46321</v>
      </c>
      <c r="B1056" s="8" t="s">
        <v>31</v>
      </c>
      <c r="C1056" s="8" t="s">
        <v>20</v>
      </c>
      <c r="D1056" s="8" t="s">
        <v>23</v>
      </c>
      <c r="E1056" s="8" t="s">
        <v>26</v>
      </c>
      <c r="F1056" s="9">
        <v>520</v>
      </c>
      <c r="G1056" s="9">
        <v>484</v>
      </c>
      <c r="H1056" s="9">
        <v>18</v>
      </c>
      <c r="I1056" s="9">
        <f t="shared" si="144"/>
        <v>466</v>
      </c>
      <c r="J1056" s="9">
        <v>38</v>
      </c>
      <c r="K1056" s="10">
        <f t="shared" si="145"/>
        <v>7.9166666666666663E-2</v>
      </c>
      <c r="L1056" s="17">
        <v>90</v>
      </c>
      <c r="M1056" s="17">
        <v>30800</v>
      </c>
      <c r="N1056" s="17">
        <f t="shared" si="146"/>
        <v>41940</v>
      </c>
      <c r="O1056" s="17">
        <f t="shared" si="147"/>
        <v>11140</v>
      </c>
      <c r="P1056" s="10">
        <f t="shared" si="148"/>
        <v>0.93076923076923079</v>
      </c>
      <c r="Q1056" s="10">
        <f t="shared" si="149"/>
        <v>3.71900826446281E-2</v>
      </c>
      <c r="R1056" s="10">
        <f t="shared" si="150"/>
        <v>0.26561754887935146</v>
      </c>
      <c r="S1056" s="18">
        <f t="shared" si="151"/>
        <v>66.094420600858371</v>
      </c>
      <c r="T1056" s="8">
        <f>480-ProductionData[[#This Row],[Downtime Minutes]]</f>
        <v>442</v>
      </c>
      <c r="U1056" s="11">
        <f t="shared" si="152"/>
        <v>1.0950226244343892</v>
      </c>
      <c r="V1056" s="18">
        <f>ProductionData[[#This Row],[Profit]]/ProductionData[[#This Row],[Good Units]]</f>
        <v>23.905579399141629</v>
      </c>
      <c r="W1056" s="11">
        <f>ProductionData[[#This Row],[Good Units]]/ProductionData[[#This Row],[Operating Minutes]]</f>
        <v>1.0542986425339367</v>
      </c>
    </row>
    <row r="1057" spans="1:23">
      <c r="A1057" s="7">
        <v>46321</v>
      </c>
      <c r="B1057" s="8" t="s">
        <v>31</v>
      </c>
      <c r="C1057" s="8" t="s">
        <v>20</v>
      </c>
      <c r="D1057" s="8" t="s">
        <v>25</v>
      </c>
      <c r="E1057" s="8" t="s">
        <v>22</v>
      </c>
      <c r="F1057" s="9">
        <v>440</v>
      </c>
      <c r="G1057" s="9">
        <v>395</v>
      </c>
      <c r="H1057" s="9">
        <v>20</v>
      </c>
      <c r="I1057" s="9">
        <f t="shared" si="144"/>
        <v>375</v>
      </c>
      <c r="J1057" s="9">
        <v>44</v>
      </c>
      <c r="K1057" s="10">
        <f t="shared" si="145"/>
        <v>9.166666666666666E-2</v>
      </c>
      <c r="L1057" s="17">
        <v>100</v>
      </c>
      <c r="M1057" s="17">
        <v>30800</v>
      </c>
      <c r="N1057" s="17">
        <f t="shared" si="146"/>
        <v>37500</v>
      </c>
      <c r="O1057" s="17">
        <f t="shared" si="147"/>
        <v>6700</v>
      </c>
      <c r="P1057" s="10">
        <f t="shared" si="148"/>
        <v>0.89772727272727271</v>
      </c>
      <c r="Q1057" s="10">
        <f t="shared" si="149"/>
        <v>5.0632911392405063E-2</v>
      </c>
      <c r="R1057" s="10">
        <f t="shared" si="150"/>
        <v>0.17866666666666667</v>
      </c>
      <c r="S1057" s="18">
        <f t="shared" si="151"/>
        <v>82.13333333333334</v>
      </c>
      <c r="T1057" s="8">
        <f>480-ProductionData[[#This Row],[Downtime Minutes]]</f>
        <v>436</v>
      </c>
      <c r="U1057" s="11">
        <f t="shared" si="152"/>
        <v>0.90596330275229353</v>
      </c>
      <c r="V1057" s="18">
        <f>ProductionData[[#This Row],[Profit]]/ProductionData[[#This Row],[Good Units]]</f>
        <v>17.866666666666667</v>
      </c>
      <c r="W1057" s="11">
        <f>ProductionData[[#This Row],[Good Units]]/ProductionData[[#This Row],[Operating Minutes]]</f>
        <v>0.86009174311926606</v>
      </c>
    </row>
    <row r="1058" spans="1:23">
      <c r="A1058" s="7">
        <v>46321</v>
      </c>
      <c r="B1058" s="8" t="s">
        <v>31</v>
      </c>
      <c r="C1058" s="8" t="s">
        <v>27</v>
      </c>
      <c r="D1058" s="8" t="s">
        <v>21</v>
      </c>
      <c r="E1058" s="8" t="s">
        <v>26</v>
      </c>
      <c r="F1058" s="9">
        <v>520</v>
      </c>
      <c r="G1058" s="9">
        <v>455</v>
      </c>
      <c r="H1058" s="9">
        <v>21</v>
      </c>
      <c r="I1058" s="9">
        <f t="shared" si="144"/>
        <v>434</v>
      </c>
      <c r="J1058" s="9">
        <v>40</v>
      </c>
      <c r="K1058" s="10">
        <f t="shared" si="145"/>
        <v>8.3333333333333329E-2</v>
      </c>
      <c r="L1058" s="17">
        <v>90</v>
      </c>
      <c r="M1058" s="17">
        <v>30800</v>
      </c>
      <c r="N1058" s="17">
        <f t="shared" si="146"/>
        <v>39060</v>
      </c>
      <c r="O1058" s="17">
        <f t="shared" si="147"/>
        <v>8260</v>
      </c>
      <c r="P1058" s="10">
        <f t="shared" si="148"/>
        <v>0.875</v>
      </c>
      <c r="Q1058" s="10">
        <f t="shared" si="149"/>
        <v>4.6153846153846156E-2</v>
      </c>
      <c r="R1058" s="10">
        <f t="shared" si="150"/>
        <v>0.21146953405017921</v>
      </c>
      <c r="S1058" s="18">
        <f t="shared" si="151"/>
        <v>70.967741935483872</v>
      </c>
      <c r="T1058" s="8">
        <f>480-ProductionData[[#This Row],[Downtime Minutes]]</f>
        <v>440</v>
      </c>
      <c r="U1058" s="11">
        <f t="shared" si="152"/>
        <v>1.0340909090909092</v>
      </c>
      <c r="V1058" s="18">
        <f>ProductionData[[#This Row],[Profit]]/ProductionData[[#This Row],[Good Units]]</f>
        <v>19.032258064516128</v>
      </c>
      <c r="W1058" s="11">
        <f>ProductionData[[#This Row],[Good Units]]/ProductionData[[#This Row],[Operating Minutes]]</f>
        <v>0.98636363636363633</v>
      </c>
    </row>
    <row r="1059" spans="1:23">
      <c r="A1059" s="7">
        <v>46321</v>
      </c>
      <c r="B1059" s="8" t="s">
        <v>31</v>
      </c>
      <c r="C1059" s="8" t="s">
        <v>27</v>
      </c>
      <c r="D1059" s="8" t="s">
        <v>23</v>
      </c>
      <c r="E1059" s="8" t="s">
        <v>22</v>
      </c>
      <c r="F1059" s="9">
        <v>450</v>
      </c>
      <c r="G1059" s="9">
        <v>398</v>
      </c>
      <c r="H1059" s="9">
        <v>25</v>
      </c>
      <c r="I1059" s="9">
        <f t="shared" si="144"/>
        <v>373</v>
      </c>
      <c r="J1059" s="9">
        <v>50</v>
      </c>
      <c r="K1059" s="10">
        <f t="shared" si="145"/>
        <v>0.10416666666666667</v>
      </c>
      <c r="L1059" s="17">
        <v>100</v>
      </c>
      <c r="M1059" s="17">
        <v>30800</v>
      </c>
      <c r="N1059" s="17">
        <f t="shared" si="146"/>
        <v>37300</v>
      </c>
      <c r="O1059" s="17">
        <f t="shared" si="147"/>
        <v>6500</v>
      </c>
      <c r="P1059" s="10">
        <f t="shared" si="148"/>
        <v>0.88444444444444448</v>
      </c>
      <c r="Q1059" s="10">
        <f t="shared" si="149"/>
        <v>6.2814070351758788E-2</v>
      </c>
      <c r="R1059" s="10">
        <f t="shared" si="150"/>
        <v>0.17426273458445041</v>
      </c>
      <c r="S1059" s="18">
        <f t="shared" si="151"/>
        <v>82.573726541554961</v>
      </c>
      <c r="T1059" s="8">
        <f>480-ProductionData[[#This Row],[Downtime Minutes]]</f>
        <v>430</v>
      </c>
      <c r="U1059" s="11">
        <f t="shared" si="152"/>
        <v>0.92558139534883721</v>
      </c>
      <c r="V1059" s="18">
        <f>ProductionData[[#This Row],[Profit]]/ProductionData[[#This Row],[Good Units]]</f>
        <v>17.426273458445039</v>
      </c>
      <c r="W1059" s="11">
        <f>ProductionData[[#This Row],[Good Units]]/ProductionData[[#This Row],[Operating Minutes]]</f>
        <v>0.86744186046511629</v>
      </c>
    </row>
    <row r="1060" spans="1:23">
      <c r="A1060" s="7">
        <v>46321</v>
      </c>
      <c r="B1060" s="8" t="s">
        <v>31</v>
      </c>
      <c r="C1060" s="8" t="s">
        <v>27</v>
      </c>
      <c r="D1060" s="8" t="s">
        <v>25</v>
      </c>
      <c r="E1060" s="8" t="s">
        <v>24</v>
      </c>
      <c r="F1060" s="9">
        <v>410</v>
      </c>
      <c r="G1060" s="9">
        <v>341</v>
      </c>
      <c r="H1060" s="9">
        <v>22</v>
      </c>
      <c r="I1060" s="9">
        <f t="shared" si="144"/>
        <v>319</v>
      </c>
      <c r="J1060" s="9">
        <v>71</v>
      </c>
      <c r="K1060" s="10">
        <f t="shared" si="145"/>
        <v>0.14791666666666667</v>
      </c>
      <c r="L1060" s="17">
        <v>120</v>
      </c>
      <c r="M1060" s="17">
        <v>30800</v>
      </c>
      <c r="N1060" s="17">
        <f t="shared" si="146"/>
        <v>38280</v>
      </c>
      <c r="O1060" s="17">
        <f t="shared" si="147"/>
        <v>7480</v>
      </c>
      <c r="P1060" s="10">
        <f t="shared" si="148"/>
        <v>0.83170731707317069</v>
      </c>
      <c r="Q1060" s="10">
        <f t="shared" si="149"/>
        <v>6.4516129032258063E-2</v>
      </c>
      <c r="R1060" s="10">
        <f t="shared" si="150"/>
        <v>0.19540229885057472</v>
      </c>
      <c r="S1060" s="18">
        <f t="shared" si="151"/>
        <v>96.551724137931032</v>
      </c>
      <c r="T1060" s="8">
        <f>480-ProductionData[[#This Row],[Downtime Minutes]]</f>
        <v>409</v>
      </c>
      <c r="U1060" s="11">
        <f t="shared" si="152"/>
        <v>0.83374083129584353</v>
      </c>
      <c r="V1060" s="18">
        <f>ProductionData[[#This Row],[Profit]]/ProductionData[[#This Row],[Good Units]]</f>
        <v>23.448275862068964</v>
      </c>
      <c r="W1060" s="11">
        <f>ProductionData[[#This Row],[Good Units]]/ProductionData[[#This Row],[Operating Minutes]]</f>
        <v>0.77995110024449876</v>
      </c>
    </row>
    <row r="1061" spans="1:23">
      <c r="A1061" s="7">
        <v>46321</v>
      </c>
      <c r="B1061" s="8" t="s">
        <v>31</v>
      </c>
      <c r="C1061" s="8" t="s">
        <v>28</v>
      </c>
      <c r="D1061" s="8" t="s">
        <v>21</v>
      </c>
      <c r="E1061" s="8" t="s">
        <v>22</v>
      </c>
      <c r="F1061" s="9">
        <v>460</v>
      </c>
      <c r="G1061" s="9">
        <v>431</v>
      </c>
      <c r="H1061" s="9">
        <v>17</v>
      </c>
      <c r="I1061" s="9">
        <f t="shared" si="144"/>
        <v>414</v>
      </c>
      <c r="J1061" s="9">
        <v>16</v>
      </c>
      <c r="K1061" s="10">
        <f t="shared" si="145"/>
        <v>3.3333333333333333E-2</v>
      </c>
      <c r="L1061" s="17">
        <v>100</v>
      </c>
      <c r="M1061" s="17">
        <v>30800</v>
      </c>
      <c r="N1061" s="17">
        <f t="shared" si="146"/>
        <v>41400</v>
      </c>
      <c r="O1061" s="17">
        <f t="shared" si="147"/>
        <v>10600</v>
      </c>
      <c r="P1061" s="10">
        <f t="shared" si="148"/>
        <v>0.93695652173913047</v>
      </c>
      <c r="Q1061" s="10">
        <f t="shared" si="149"/>
        <v>3.9443155452436193E-2</v>
      </c>
      <c r="R1061" s="10">
        <f t="shared" si="150"/>
        <v>0.2560386473429952</v>
      </c>
      <c r="S1061" s="18">
        <f t="shared" si="151"/>
        <v>74.39613526570048</v>
      </c>
      <c r="T1061" s="8">
        <f>480-ProductionData[[#This Row],[Downtime Minutes]]</f>
        <v>464</v>
      </c>
      <c r="U1061" s="11">
        <f t="shared" si="152"/>
        <v>0.92887931034482762</v>
      </c>
      <c r="V1061" s="18">
        <f>ProductionData[[#This Row],[Profit]]/ProductionData[[#This Row],[Good Units]]</f>
        <v>25.603864734299517</v>
      </c>
      <c r="W1061" s="11">
        <f>ProductionData[[#This Row],[Good Units]]/ProductionData[[#This Row],[Operating Minutes]]</f>
        <v>0.89224137931034486</v>
      </c>
    </row>
    <row r="1062" spans="1:23">
      <c r="A1062" s="7">
        <v>46321</v>
      </c>
      <c r="B1062" s="8" t="s">
        <v>31</v>
      </c>
      <c r="C1062" s="8" t="s">
        <v>28</v>
      </c>
      <c r="D1062" s="8" t="s">
        <v>23</v>
      </c>
      <c r="E1062" s="8" t="s">
        <v>24</v>
      </c>
      <c r="F1062" s="9">
        <v>400</v>
      </c>
      <c r="G1062" s="9">
        <v>387</v>
      </c>
      <c r="H1062" s="9">
        <v>13</v>
      </c>
      <c r="I1062" s="9">
        <f t="shared" si="144"/>
        <v>374</v>
      </c>
      <c r="J1062" s="9">
        <v>27</v>
      </c>
      <c r="K1062" s="10">
        <f t="shared" si="145"/>
        <v>5.6250000000000001E-2</v>
      </c>
      <c r="L1062" s="17">
        <v>120</v>
      </c>
      <c r="M1062" s="17">
        <v>30800</v>
      </c>
      <c r="N1062" s="17">
        <f t="shared" si="146"/>
        <v>44880</v>
      </c>
      <c r="O1062" s="17">
        <f t="shared" si="147"/>
        <v>14080</v>
      </c>
      <c r="P1062" s="10">
        <f t="shared" si="148"/>
        <v>0.96750000000000003</v>
      </c>
      <c r="Q1062" s="10">
        <f t="shared" si="149"/>
        <v>3.3591731266149873E-2</v>
      </c>
      <c r="R1062" s="10">
        <f t="shared" si="150"/>
        <v>0.31372549019607843</v>
      </c>
      <c r="S1062" s="18">
        <f t="shared" si="151"/>
        <v>82.352941176470594</v>
      </c>
      <c r="T1062" s="8">
        <f>480-ProductionData[[#This Row],[Downtime Minutes]]</f>
        <v>453</v>
      </c>
      <c r="U1062" s="11">
        <f t="shared" si="152"/>
        <v>0.85430463576158944</v>
      </c>
      <c r="V1062" s="18">
        <f>ProductionData[[#This Row],[Profit]]/ProductionData[[#This Row],[Good Units]]</f>
        <v>37.647058823529413</v>
      </c>
      <c r="W1062" s="11">
        <f>ProductionData[[#This Row],[Good Units]]/ProductionData[[#This Row],[Operating Minutes]]</f>
        <v>0.82560706401766004</v>
      </c>
    </row>
    <row r="1063" spans="1:23">
      <c r="A1063" s="7">
        <v>46321</v>
      </c>
      <c r="B1063" s="8" t="s">
        <v>31</v>
      </c>
      <c r="C1063" s="8" t="s">
        <v>28</v>
      </c>
      <c r="D1063" s="8" t="s">
        <v>25</v>
      </c>
      <c r="E1063" s="8" t="s">
        <v>26</v>
      </c>
      <c r="F1063" s="9">
        <v>520</v>
      </c>
      <c r="G1063" s="9">
        <v>476</v>
      </c>
      <c r="H1063" s="9">
        <v>22</v>
      </c>
      <c r="I1063" s="9">
        <f t="shared" si="144"/>
        <v>454</v>
      </c>
      <c r="J1063" s="9">
        <v>21</v>
      </c>
      <c r="K1063" s="10">
        <f t="shared" si="145"/>
        <v>4.3749999999999997E-2</v>
      </c>
      <c r="L1063" s="17">
        <v>90</v>
      </c>
      <c r="M1063" s="17">
        <v>30800</v>
      </c>
      <c r="N1063" s="17">
        <f t="shared" si="146"/>
        <v>40860</v>
      </c>
      <c r="O1063" s="17">
        <f t="shared" si="147"/>
        <v>10060</v>
      </c>
      <c r="P1063" s="10">
        <f t="shared" si="148"/>
        <v>0.91538461538461535</v>
      </c>
      <c r="Q1063" s="10">
        <f t="shared" si="149"/>
        <v>4.6218487394957986E-2</v>
      </c>
      <c r="R1063" s="10">
        <f t="shared" si="150"/>
        <v>0.24620655898188937</v>
      </c>
      <c r="S1063" s="18">
        <f t="shared" si="151"/>
        <v>67.841409691629963</v>
      </c>
      <c r="T1063" s="8">
        <f>480-ProductionData[[#This Row],[Downtime Minutes]]</f>
        <v>459</v>
      </c>
      <c r="U1063" s="11">
        <f t="shared" si="152"/>
        <v>1.037037037037037</v>
      </c>
      <c r="V1063" s="18">
        <f>ProductionData[[#This Row],[Profit]]/ProductionData[[#This Row],[Good Units]]</f>
        <v>22.158590308370044</v>
      </c>
      <c r="W1063" s="11">
        <f>ProductionData[[#This Row],[Good Units]]/ProductionData[[#This Row],[Operating Minutes]]</f>
        <v>0.98910675381263613</v>
      </c>
    </row>
    <row r="1064" spans="1:23">
      <c r="A1064" s="7">
        <v>46322</v>
      </c>
      <c r="B1064" s="8" t="s">
        <v>31</v>
      </c>
      <c r="C1064" s="8" t="s">
        <v>20</v>
      </c>
      <c r="D1064" s="8" t="s">
        <v>21</v>
      </c>
      <c r="E1064" s="8" t="s">
        <v>26</v>
      </c>
      <c r="F1064" s="9">
        <v>510</v>
      </c>
      <c r="G1064" s="9">
        <v>490</v>
      </c>
      <c r="H1064" s="9">
        <v>19</v>
      </c>
      <c r="I1064" s="9">
        <f t="shared" si="144"/>
        <v>471</v>
      </c>
      <c r="J1064" s="9">
        <v>33</v>
      </c>
      <c r="K1064" s="10">
        <f t="shared" si="145"/>
        <v>6.8750000000000006E-2</v>
      </c>
      <c r="L1064" s="17">
        <v>90</v>
      </c>
      <c r="M1064" s="17">
        <v>30800</v>
      </c>
      <c r="N1064" s="17">
        <f t="shared" si="146"/>
        <v>42390</v>
      </c>
      <c r="O1064" s="17">
        <f t="shared" si="147"/>
        <v>11590</v>
      </c>
      <c r="P1064" s="10">
        <f t="shared" si="148"/>
        <v>0.96078431372549022</v>
      </c>
      <c r="Q1064" s="10">
        <f t="shared" si="149"/>
        <v>3.8775510204081633E-2</v>
      </c>
      <c r="R1064" s="10">
        <f t="shared" si="150"/>
        <v>0.27341354092946452</v>
      </c>
      <c r="S1064" s="18">
        <f t="shared" si="151"/>
        <v>65.392781316348191</v>
      </c>
      <c r="T1064" s="8">
        <f>480-ProductionData[[#This Row],[Downtime Minutes]]</f>
        <v>447</v>
      </c>
      <c r="U1064" s="11">
        <f t="shared" si="152"/>
        <v>1.0961968680089484</v>
      </c>
      <c r="V1064" s="18">
        <f>ProductionData[[#This Row],[Profit]]/ProductionData[[#This Row],[Good Units]]</f>
        <v>24.607218683651805</v>
      </c>
      <c r="W1064" s="11">
        <f>ProductionData[[#This Row],[Good Units]]/ProductionData[[#This Row],[Operating Minutes]]</f>
        <v>1.0536912751677852</v>
      </c>
    </row>
    <row r="1065" spans="1:23">
      <c r="A1065" s="7">
        <v>46322</v>
      </c>
      <c r="B1065" s="8" t="s">
        <v>31</v>
      </c>
      <c r="C1065" s="8" t="s">
        <v>20</v>
      </c>
      <c r="D1065" s="8" t="s">
        <v>23</v>
      </c>
      <c r="E1065" s="8" t="s">
        <v>22</v>
      </c>
      <c r="F1065" s="9">
        <v>450</v>
      </c>
      <c r="G1065" s="9">
        <v>413</v>
      </c>
      <c r="H1065" s="9">
        <v>17</v>
      </c>
      <c r="I1065" s="9">
        <f t="shared" si="144"/>
        <v>396</v>
      </c>
      <c r="J1065" s="9">
        <v>47</v>
      </c>
      <c r="K1065" s="10">
        <f t="shared" si="145"/>
        <v>9.7916666666666666E-2</v>
      </c>
      <c r="L1065" s="17">
        <v>100</v>
      </c>
      <c r="M1065" s="17">
        <v>30800</v>
      </c>
      <c r="N1065" s="17">
        <f t="shared" si="146"/>
        <v>39600</v>
      </c>
      <c r="O1065" s="17">
        <f t="shared" si="147"/>
        <v>8800</v>
      </c>
      <c r="P1065" s="10">
        <f t="shared" si="148"/>
        <v>0.9177777777777778</v>
      </c>
      <c r="Q1065" s="10">
        <f t="shared" si="149"/>
        <v>4.1162227602905568E-2</v>
      </c>
      <c r="R1065" s="10">
        <f t="shared" si="150"/>
        <v>0.22222222222222221</v>
      </c>
      <c r="S1065" s="18">
        <f t="shared" si="151"/>
        <v>77.777777777777771</v>
      </c>
      <c r="T1065" s="8">
        <f>480-ProductionData[[#This Row],[Downtime Minutes]]</f>
        <v>433</v>
      </c>
      <c r="U1065" s="11">
        <f t="shared" si="152"/>
        <v>0.95381062355658197</v>
      </c>
      <c r="V1065" s="18">
        <f>ProductionData[[#This Row],[Profit]]/ProductionData[[#This Row],[Good Units]]</f>
        <v>22.222222222222221</v>
      </c>
      <c r="W1065" s="11">
        <f>ProductionData[[#This Row],[Good Units]]/ProductionData[[#This Row],[Operating Minutes]]</f>
        <v>0.91454965357967666</v>
      </c>
    </row>
    <row r="1066" spans="1:23">
      <c r="A1066" s="7">
        <v>46322</v>
      </c>
      <c r="B1066" s="8" t="s">
        <v>31</v>
      </c>
      <c r="C1066" s="8" t="s">
        <v>20</v>
      </c>
      <c r="D1066" s="8" t="s">
        <v>25</v>
      </c>
      <c r="E1066" s="8" t="s">
        <v>24</v>
      </c>
      <c r="F1066" s="9">
        <v>390</v>
      </c>
      <c r="G1066" s="9">
        <v>351</v>
      </c>
      <c r="H1066" s="9">
        <v>13</v>
      </c>
      <c r="I1066" s="9">
        <f t="shared" si="144"/>
        <v>338</v>
      </c>
      <c r="J1066" s="9">
        <v>32</v>
      </c>
      <c r="K1066" s="10">
        <f t="shared" si="145"/>
        <v>6.6666666666666666E-2</v>
      </c>
      <c r="L1066" s="17">
        <v>120</v>
      </c>
      <c r="M1066" s="17">
        <v>30800</v>
      </c>
      <c r="N1066" s="17">
        <f t="shared" si="146"/>
        <v>40560</v>
      </c>
      <c r="O1066" s="17">
        <f t="shared" si="147"/>
        <v>9760</v>
      </c>
      <c r="P1066" s="10">
        <f t="shared" si="148"/>
        <v>0.9</v>
      </c>
      <c r="Q1066" s="10">
        <f t="shared" si="149"/>
        <v>3.7037037037037035E-2</v>
      </c>
      <c r="R1066" s="10">
        <f t="shared" si="150"/>
        <v>0.24063116370808679</v>
      </c>
      <c r="S1066" s="18">
        <f t="shared" si="151"/>
        <v>91.124260355029591</v>
      </c>
      <c r="T1066" s="8">
        <f>480-ProductionData[[#This Row],[Downtime Minutes]]</f>
        <v>448</v>
      </c>
      <c r="U1066" s="11">
        <f t="shared" si="152"/>
        <v>0.7834821428571429</v>
      </c>
      <c r="V1066" s="18">
        <f>ProductionData[[#This Row],[Profit]]/ProductionData[[#This Row],[Good Units]]</f>
        <v>28.875739644970412</v>
      </c>
      <c r="W1066" s="11">
        <f>ProductionData[[#This Row],[Good Units]]/ProductionData[[#This Row],[Operating Minutes]]</f>
        <v>0.7544642857142857</v>
      </c>
    </row>
    <row r="1067" spans="1:23">
      <c r="A1067" s="7">
        <v>46322</v>
      </c>
      <c r="B1067" s="8" t="s">
        <v>31</v>
      </c>
      <c r="C1067" s="8" t="s">
        <v>27</v>
      </c>
      <c r="D1067" s="8" t="s">
        <v>21</v>
      </c>
      <c r="E1067" s="8" t="s">
        <v>22</v>
      </c>
      <c r="F1067" s="9">
        <v>460</v>
      </c>
      <c r="G1067" s="9">
        <v>406</v>
      </c>
      <c r="H1067" s="9">
        <v>25</v>
      </c>
      <c r="I1067" s="9">
        <f t="shared" si="144"/>
        <v>381</v>
      </c>
      <c r="J1067" s="9">
        <v>60</v>
      </c>
      <c r="K1067" s="10">
        <f t="shared" si="145"/>
        <v>0.125</v>
      </c>
      <c r="L1067" s="17">
        <v>100</v>
      </c>
      <c r="M1067" s="17">
        <v>30800</v>
      </c>
      <c r="N1067" s="17">
        <f t="shared" si="146"/>
        <v>38100</v>
      </c>
      <c r="O1067" s="17">
        <f t="shared" si="147"/>
        <v>7300</v>
      </c>
      <c r="P1067" s="10">
        <f t="shared" si="148"/>
        <v>0.88260869565217392</v>
      </c>
      <c r="Q1067" s="10">
        <f t="shared" si="149"/>
        <v>6.1576354679802957E-2</v>
      </c>
      <c r="R1067" s="10">
        <f t="shared" si="150"/>
        <v>0.19160104986876642</v>
      </c>
      <c r="S1067" s="18">
        <f t="shared" si="151"/>
        <v>80.839895013123353</v>
      </c>
      <c r="T1067" s="8">
        <f>480-ProductionData[[#This Row],[Downtime Minutes]]</f>
        <v>420</v>
      </c>
      <c r="U1067" s="11">
        <f t="shared" si="152"/>
        <v>0.96666666666666667</v>
      </c>
      <c r="V1067" s="18">
        <f>ProductionData[[#This Row],[Profit]]/ProductionData[[#This Row],[Good Units]]</f>
        <v>19.16010498687664</v>
      </c>
      <c r="W1067" s="11">
        <f>ProductionData[[#This Row],[Good Units]]/ProductionData[[#This Row],[Operating Minutes]]</f>
        <v>0.90714285714285714</v>
      </c>
    </row>
    <row r="1068" spans="1:23">
      <c r="A1068" s="7">
        <v>46322</v>
      </c>
      <c r="B1068" s="8" t="s">
        <v>31</v>
      </c>
      <c r="C1068" s="8" t="s">
        <v>27</v>
      </c>
      <c r="D1068" s="8" t="s">
        <v>23</v>
      </c>
      <c r="E1068" s="8" t="s">
        <v>24</v>
      </c>
      <c r="F1068" s="9">
        <v>400</v>
      </c>
      <c r="G1068" s="9">
        <v>345</v>
      </c>
      <c r="H1068" s="9">
        <v>16</v>
      </c>
      <c r="I1068" s="9">
        <f t="shared" si="144"/>
        <v>329</v>
      </c>
      <c r="J1068" s="9">
        <v>55</v>
      </c>
      <c r="K1068" s="10">
        <f t="shared" si="145"/>
        <v>0.11458333333333333</v>
      </c>
      <c r="L1068" s="17">
        <v>120</v>
      </c>
      <c r="M1068" s="17">
        <v>30800</v>
      </c>
      <c r="N1068" s="17">
        <f t="shared" si="146"/>
        <v>39480</v>
      </c>
      <c r="O1068" s="17">
        <f t="shared" si="147"/>
        <v>8680</v>
      </c>
      <c r="P1068" s="10">
        <f t="shared" si="148"/>
        <v>0.86250000000000004</v>
      </c>
      <c r="Q1068" s="10">
        <f t="shared" si="149"/>
        <v>4.6376811594202899E-2</v>
      </c>
      <c r="R1068" s="10">
        <f t="shared" si="150"/>
        <v>0.21985815602836881</v>
      </c>
      <c r="S1068" s="18">
        <f t="shared" si="151"/>
        <v>93.61702127659575</v>
      </c>
      <c r="T1068" s="8">
        <f>480-ProductionData[[#This Row],[Downtime Minutes]]</f>
        <v>425</v>
      </c>
      <c r="U1068" s="11">
        <f t="shared" si="152"/>
        <v>0.81176470588235294</v>
      </c>
      <c r="V1068" s="18">
        <f>ProductionData[[#This Row],[Profit]]/ProductionData[[#This Row],[Good Units]]</f>
        <v>26.382978723404257</v>
      </c>
      <c r="W1068" s="11">
        <f>ProductionData[[#This Row],[Good Units]]/ProductionData[[#This Row],[Operating Minutes]]</f>
        <v>0.77411764705882358</v>
      </c>
    </row>
    <row r="1069" spans="1:23">
      <c r="A1069" s="7">
        <v>46322</v>
      </c>
      <c r="B1069" s="8" t="s">
        <v>31</v>
      </c>
      <c r="C1069" s="8" t="s">
        <v>27</v>
      </c>
      <c r="D1069" s="8" t="s">
        <v>25</v>
      </c>
      <c r="E1069" s="8" t="s">
        <v>26</v>
      </c>
      <c r="F1069" s="9">
        <v>490</v>
      </c>
      <c r="G1069" s="9">
        <v>404</v>
      </c>
      <c r="H1069" s="9">
        <v>26</v>
      </c>
      <c r="I1069" s="9">
        <f t="shared" si="144"/>
        <v>378</v>
      </c>
      <c r="J1069" s="9">
        <v>45</v>
      </c>
      <c r="K1069" s="10">
        <f t="shared" si="145"/>
        <v>9.375E-2</v>
      </c>
      <c r="L1069" s="17">
        <v>90</v>
      </c>
      <c r="M1069" s="17">
        <v>30800</v>
      </c>
      <c r="N1069" s="17">
        <f t="shared" si="146"/>
        <v>34020</v>
      </c>
      <c r="O1069" s="17">
        <f t="shared" si="147"/>
        <v>3220</v>
      </c>
      <c r="P1069" s="10">
        <f t="shared" si="148"/>
        <v>0.82448979591836735</v>
      </c>
      <c r="Q1069" s="10">
        <f t="shared" si="149"/>
        <v>6.4356435643564358E-2</v>
      </c>
      <c r="R1069" s="10">
        <f t="shared" si="150"/>
        <v>9.4650205761316872E-2</v>
      </c>
      <c r="S1069" s="18">
        <f t="shared" si="151"/>
        <v>81.481481481481481</v>
      </c>
      <c r="T1069" s="8">
        <f>480-ProductionData[[#This Row],[Downtime Minutes]]</f>
        <v>435</v>
      </c>
      <c r="U1069" s="11">
        <f t="shared" si="152"/>
        <v>0.92873563218390809</v>
      </c>
      <c r="V1069" s="18">
        <f>ProductionData[[#This Row],[Profit]]/ProductionData[[#This Row],[Good Units]]</f>
        <v>8.518518518518519</v>
      </c>
      <c r="W1069" s="11">
        <f>ProductionData[[#This Row],[Good Units]]/ProductionData[[#This Row],[Operating Minutes]]</f>
        <v>0.86896551724137927</v>
      </c>
    </row>
    <row r="1070" spans="1:23">
      <c r="A1070" s="7">
        <v>46322</v>
      </c>
      <c r="B1070" s="8" t="s">
        <v>31</v>
      </c>
      <c r="C1070" s="8" t="s">
        <v>28</v>
      </c>
      <c r="D1070" s="8" t="s">
        <v>21</v>
      </c>
      <c r="E1070" s="8" t="s">
        <v>24</v>
      </c>
      <c r="F1070" s="9">
        <v>400</v>
      </c>
      <c r="G1070" s="9">
        <v>374</v>
      </c>
      <c r="H1070" s="9">
        <v>8</v>
      </c>
      <c r="I1070" s="9">
        <f t="shared" si="144"/>
        <v>366</v>
      </c>
      <c r="J1070" s="9">
        <v>34</v>
      </c>
      <c r="K1070" s="10">
        <f t="shared" si="145"/>
        <v>7.0833333333333331E-2</v>
      </c>
      <c r="L1070" s="17">
        <v>120</v>
      </c>
      <c r="M1070" s="17">
        <v>30800</v>
      </c>
      <c r="N1070" s="17">
        <f t="shared" si="146"/>
        <v>43920</v>
      </c>
      <c r="O1070" s="17">
        <f t="shared" si="147"/>
        <v>13120</v>
      </c>
      <c r="P1070" s="10">
        <f t="shared" si="148"/>
        <v>0.93500000000000005</v>
      </c>
      <c r="Q1070" s="10">
        <f t="shared" si="149"/>
        <v>2.1390374331550801E-2</v>
      </c>
      <c r="R1070" s="10">
        <f t="shared" si="150"/>
        <v>0.2987249544626594</v>
      </c>
      <c r="S1070" s="18">
        <f t="shared" si="151"/>
        <v>84.15300546448087</v>
      </c>
      <c r="T1070" s="8">
        <f>480-ProductionData[[#This Row],[Downtime Minutes]]</f>
        <v>446</v>
      </c>
      <c r="U1070" s="11">
        <f t="shared" si="152"/>
        <v>0.83856502242152464</v>
      </c>
      <c r="V1070" s="18">
        <f>ProductionData[[#This Row],[Profit]]/ProductionData[[#This Row],[Good Units]]</f>
        <v>35.846994535519123</v>
      </c>
      <c r="W1070" s="11">
        <f>ProductionData[[#This Row],[Good Units]]/ProductionData[[#This Row],[Operating Minutes]]</f>
        <v>0.820627802690583</v>
      </c>
    </row>
    <row r="1071" spans="1:23">
      <c r="A1071" s="7">
        <v>46322</v>
      </c>
      <c r="B1071" s="8" t="s">
        <v>31</v>
      </c>
      <c r="C1071" s="8" t="s">
        <v>28</v>
      </c>
      <c r="D1071" s="8" t="s">
        <v>23</v>
      </c>
      <c r="E1071" s="8" t="s">
        <v>26</v>
      </c>
      <c r="F1071" s="9">
        <v>510</v>
      </c>
      <c r="G1071" s="9">
        <v>483</v>
      </c>
      <c r="H1071" s="9">
        <v>13</v>
      </c>
      <c r="I1071" s="9">
        <f t="shared" si="144"/>
        <v>470</v>
      </c>
      <c r="J1071" s="9">
        <v>24</v>
      </c>
      <c r="K1071" s="10">
        <f t="shared" si="145"/>
        <v>0.05</v>
      </c>
      <c r="L1071" s="17">
        <v>90</v>
      </c>
      <c r="M1071" s="17">
        <v>30800</v>
      </c>
      <c r="N1071" s="17">
        <f t="shared" si="146"/>
        <v>42300</v>
      </c>
      <c r="O1071" s="17">
        <f t="shared" si="147"/>
        <v>11500</v>
      </c>
      <c r="P1071" s="10">
        <f t="shared" si="148"/>
        <v>0.94705882352941173</v>
      </c>
      <c r="Q1071" s="10">
        <f t="shared" si="149"/>
        <v>2.6915113871635612E-2</v>
      </c>
      <c r="R1071" s="10">
        <f t="shared" si="150"/>
        <v>0.27186761229314421</v>
      </c>
      <c r="S1071" s="18">
        <f t="shared" si="151"/>
        <v>65.531914893617028</v>
      </c>
      <c r="T1071" s="8">
        <f>480-ProductionData[[#This Row],[Downtime Minutes]]</f>
        <v>456</v>
      </c>
      <c r="U1071" s="11">
        <f t="shared" si="152"/>
        <v>1.0592105263157894</v>
      </c>
      <c r="V1071" s="18">
        <f>ProductionData[[#This Row],[Profit]]/ProductionData[[#This Row],[Good Units]]</f>
        <v>24.468085106382979</v>
      </c>
      <c r="W1071" s="11">
        <f>ProductionData[[#This Row],[Good Units]]/ProductionData[[#This Row],[Operating Minutes]]</f>
        <v>1.0307017543859649</v>
      </c>
    </row>
    <row r="1072" spans="1:23">
      <c r="A1072" s="7">
        <v>46322</v>
      </c>
      <c r="B1072" s="8" t="s">
        <v>31</v>
      </c>
      <c r="C1072" s="8" t="s">
        <v>28</v>
      </c>
      <c r="D1072" s="8" t="s">
        <v>25</v>
      </c>
      <c r="E1072" s="8" t="s">
        <v>22</v>
      </c>
      <c r="F1072" s="9">
        <v>450</v>
      </c>
      <c r="G1072" s="9">
        <v>415</v>
      </c>
      <c r="H1072" s="9">
        <v>24</v>
      </c>
      <c r="I1072" s="9">
        <f t="shared" si="144"/>
        <v>391</v>
      </c>
      <c r="J1072" s="9">
        <v>44</v>
      </c>
      <c r="K1072" s="10">
        <f t="shared" si="145"/>
        <v>9.166666666666666E-2</v>
      </c>
      <c r="L1072" s="17">
        <v>100</v>
      </c>
      <c r="M1072" s="17">
        <v>30800</v>
      </c>
      <c r="N1072" s="17">
        <f t="shared" si="146"/>
        <v>39100</v>
      </c>
      <c r="O1072" s="17">
        <f t="shared" si="147"/>
        <v>8300</v>
      </c>
      <c r="P1072" s="10">
        <f t="shared" si="148"/>
        <v>0.92222222222222228</v>
      </c>
      <c r="Q1072" s="10">
        <f t="shared" si="149"/>
        <v>5.7831325301204821E-2</v>
      </c>
      <c r="R1072" s="10">
        <f t="shared" si="150"/>
        <v>0.21227621483375958</v>
      </c>
      <c r="S1072" s="18">
        <f t="shared" si="151"/>
        <v>78.772378516624045</v>
      </c>
      <c r="T1072" s="8">
        <f>480-ProductionData[[#This Row],[Downtime Minutes]]</f>
        <v>436</v>
      </c>
      <c r="U1072" s="11">
        <f t="shared" si="152"/>
        <v>0.95183486238532111</v>
      </c>
      <c r="V1072" s="18">
        <f>ProductionData[[#This Row],[Profit]]/ProductionData[[#This Row],[Good Units]]</f>
        <v>21.227621483375959</v>
      </c>
      <c r="W1072" s="11">
        <f>ProductionData[[#This Row],[Good Units]]/ProductionData[[#This Row],[Operating Minutes]]</f>
        <v>0.89678899082568808</v>
      </c>
    </row>
    <row r="1073" spans="1:23">
      <c r="A1073" s="7">
        <v>46323</v>
      </c>
      <c r="B1073" s="8" t="s">
        <v>31</v>
      </c>
      <c r="C1073" s="8" t="s">
        <v>20</v>
      </c>
      <c r="D1073" s="8" t="s">
        <v>21</v>
      </c>
      <c r="E1073" s="8" t="s">
        <v>22</v>
      </c>
      <c r="F1073" s="9">
        <v>440</v>
      </c>
      <c r="G1073" s="9">
        <v>407</v>
      </c>
      <c r="H1073" s="9">
        <v>17</v>
      </c>
      <c r="I1073" s="9">
        <f t="shared" si="144"/>
        <v>390</v>
      </c>
      <c r="J1073" s="9">
        <v>44</v>
      </c>
      <c r="K1073" s="10">
        <f t="shared" si="145"/>
        <v>9.166666666666666E-2</v>
      </c>
      <c r="L1073" s="17">
        <v>100</v>
      </c>
      <c r="M1073" s="17">
        <v>30800</v>
      </c>
      <c r="N1073" s="17">
        <f t="shared" si="146"/>
        <v>39000</v>
      </c>
      <c r="O1073" s="17">
        <f t="shared" si="147"/>
        <v>8200</v>
      </c>
      <c r="P1073" s="10">
        <f t="shared" si="148"/>
        <v>0.92500000000000004</v>
      </c>
      <c r="Q1073" s="10">
        <f t="shared" si="149"/>
        <v>4.1769041769041768E-2</v>
      </c>
      <c r="R1073" s="10">
        <f t="shared" si="150"/>
        <v>0.21025641025641026</v>
      </c>
      <c r="S1073" s="18">
        <f t="shared" si="151"/>
        <v>78.974358974358978</v>
      </c>
      <c r="T1073" s="8">
        <f>480-ProductionData[[#This Row],[Downtime Minutes]]</f>
        <v>436</v>
      </c>
      <c r="U1073" s="11">
        <f t="shared" si="152"/>
        <v>0.9334862385321101</v>
      </c>
      <c r="V1073" s="18">
        <f>ProductionData[[#This Row],[Profit]]/ProductionData[[#This Row],[Good Units]]</f>
        <v>21.025641025641026</v>
      </c>
      <c r="W1073" s="11">
        <f>ProductionData[[#This Row],[Good Units]]/ProductionData[[#This Row],[Operating Minutes]]</f>
        <v>0.89449541284403666</v>
      </c>
    </row>
    <row r="1074" spans="1:23">
      <c r="A1074" s="7">
        <v>46323</v>
      </c>
      <c r="B1074" s="8" t="s">
        <v>31</v>
      </c>
      <c r="C1074" s="8" t="s">
        <v>20</v>
      </c>
      <c r="D1074" s="8" t="s">
        <v>23</v>
      </c>
      <c r="E1074" s="8" t="s">
        <v>24</v>
      </c>
      <c r="F1074" s="9">
        <v>390</v>
      </c>
      <c r="G1074" s="9">
        <v>366</v>
      </c>
      <c r="H1074" s="9">
        <v>12</v>
      </c>
      <c r="I1074" s="9">
        <f t="shared" si="144"/>
        <v>354</v>
      </c>
      <c r="J1074" s="9">
        <v>36</v>
      </c>
      <c r="K1074" s="10">
        <f t="shared" si="145"/>
        <v>7.4999999999999997E-2</v>
      </c>
      <c r="L1074" s="17">
        <v>120</v>
      </c>
      <c r="M1074" s="17">
        <v>30800</v>
      </c>
      <c r="N1074" s="17">
        <f t="shared" si="146"/>
        <v>42480</v>
      </c>
      <c r="O1074" s="17">
        <f t="shared" si="147"/>
        <v>11680</v>
      </c>
      <c r="P1074" s="10">
        <f t="shared" si="148"/>
        <v>0.93846153846153846</v>
      </c>
      <c r="Q1074" s="10">
        <f t="shared" si="149"/>
        <v>3.2786885245901641E-2</v>
      </c>
      <c r="R1074" s="10">
        <f t="shared" si="150"/>
        <v>0.27495291902071561</v>
      </c>
      <c r="S1074" s="18">
        <f t="shared" si="151"/>
        <v>87.005649717514117</v>
      </c>
      <c r="T1074" s="8">
        <f>480-ProductionData[[#This Row],[Downtime Minutes]]</f>
        <v>444</v>
      </c>
      <c r="U1074" s="11">
        <f t="shared" si="152"/>
        <v>0.82432432432432434</v>
      </c>
      <c r="V1074" s="18">
        <f>ProductionData[[#This Row],[Profit]]/ProductionData[[#This Row],[Good Units]]</f>
        <v>32.994350282485875</v>
      </c>
      <c r="W1074" s="11">
        <f>ProductionData[[#This Row],[Good Units]]/ProductionData[[#This Row],[Operating Minutes]]</f>
        <v>0.79729729729729726</v>
      </c>
    </row>
    <row r="1075" spans="1:23">
      <c r="A1075" s="7">
        <v>46323</v>
      </c>
      <c r="B1075" s="8" t="s">
        <v>31</v>
      </c>
      <c r="C1075" s="8" t="s">
        <v>20</v>
      </c>
      <c r="D1075" s="8" t="s">
        <v>25</v>
      </c>
      <c r="E1075" s="8" t="s">
        <v>26</v>
      </c>
      <c r="F1075" s="9">
        <v>490</v>
      </c>
      <c r="G1075" s="9">
        <v>443</v>
      </c>
      <c r="H1075" s="9">
        <v>17</v>
      </c>
      <c r="I1075" s="9">
        <f t="shared" si="144"/>
        <v>426</v>
      </c>
      <c r="J1075" s="9">
        <v>35</v>
      </c>
      <c r="K1075" s="10">
        <f t="shared" si="145"/>
        <v>7.2916666666666671E-2</v>
      </c>
      <c r="L1075" s="17">
        <v>90</v>
      </c>
      <c r="M1075" s="17">
        <v>30800</v>
      </c>
      <c r="N1075" s="17">
        <f t="shared" si="146"/>
        <v>38340</v>
      </c>
      <c r="O1075" s="17">
        <f t="shared" si="147"/>
        <v>7540</v>
      </c>
      <c r="P1075" s="10">
        <f t="shared" si="148"/>
        <v>0.90408163265306118</v>
      </c>
      <c r="Q1075" s="10">
        <f t="shared" si="149"/>
        <v>3.8374717832957109E-2</v>
      </c>
      <c r="R1075" s="10">
        <f t="shared" si="150"/>
        <v>0.19666145018257694</v>
      </c>
      <c r="S1075" s="18">
        <f t="shared" si="151"/>
        <v>72.300469483568079</v>
      </c>
      <c r="T1075" s="8">
        <f>480-ProductionData[[#This Row],[Downtime Minutes]]</f>
        <v>445</v>
      </c>
      <c r="U1075" s="11">
        <f t="shared" si="152"/>
        <v>0.99550561797752812</v>
      </c>
      <c r="V1075" s="18">
        <f>ProductionData[[#This Row],[Profit]]/ProductionData[[#This Row],[Good Units]]</f>
        <v>17.699530516431924</v>
      </c>
      <c r="W1075" s="11">
        <f>ProductionData[[#This Row],[Good Units]]/ProductionData[[#This Row],[Operating Minutes]]</f>
        <v>0.95730337078651684</v>
      </c>
    </row>
    <row r="1076" spans="1:23">
      <c r="A1076" s="7">
        <v>46323</v>
      </c>
      <c r="B1076" s="8" t="s">
        <v>31</v>
      </c>
      <c r="C1076" s="8" t="s">
        <v>27</v>
      </c>
      <c r="D1076" s="8" t="s">
        <v>21</v>
      </c>
      <c r="E1076" s="8" t="s">
        <v>24</v>
      </c>
      <c r="F1076" s="9">
        <v>420</v>
      </c>
      <c r="G1076" s="9">
        <v>376</v>
      </c>
      <c r="H1076" s="9">
        <v>20</v>
      </c>
      <c r="I1076" s="9">
        <f t="shared" si="144"/>
        <v>356</v>
      </c>
      <c r="J1076" s="9">
        <v>50</v>
      </c>
      <c r="K1076" s="10">
        <f t="shared" si="145"/>
        <v>0.10416666666666667</v>
      </c>
      <c r="L1076" s="17">
        <v>120</v>
      </c>
      <c r="M1076" s="17">
        <v>30800</v>
      </c>
      <c r="N1076" s="17">
        <f t="shared" si="146"/>
        <v>42720</v>
      </c>
      <c r="O1076" s="17">
        <f t="shared" si="147"/>
        <v>11920</v>
      </c>
      <c r="P1076" s="10">
        <f t="shared" si="148"/>
        <v>0.89523809523809528</v>
      </c>
      <c r="Q1076" s="10">
        <f t="shared" si="149"/>
        <v>5.3191489361702128E-2</v>
      </c>
      <c r="R1076" s="10">
        <f t="shared" si="150"/>
        <v>0.27902621722846443</v>
      </c>
      <c r="S1076" s="18">
        <f t="shared" si="151"/>
        <v>86.516853932584269</v>
      </c>
      <c r="T1076" s="8">
        <f>480-ProductionData[[#This Row],[Downtime Minutes]]</f>
        <v>430</v>
      </c>
      <c r="U1076" s="11">
        <f t="shared" si="152"/>
        <v>0.87441860465116283</v>
      </c>
      <c r="V1076" s="18">
        <f>ProductionData[[#This Row],[Profit]]/ProductionData[[#This Row],[Good Units]]</f>
        <v>33.483146067415731</v>
      </c>
      <c r="W1076" s="11">
        <f>ProductionData[[#This Row],[Good Units]]/ProductionData[[#This Row],[Operating Minutes]]</f>
        <v>0.82790697674418601</v>
      </c>
    </row>
    <row r="1077" spans="1:23">
      <c r="A1077" s="7">
        <v>46323</v>
      </c>
      <c r="B1077" s="8" t="s">
        <v>31</v>
      </c>
      <c r="C1077" s="8" t="s">
        <v>27</v>
      </c>
      <c r="D1077" s="8" t="s">
        <v>23</v>
      </c>
      <c r="E1077" s="8" t="s">
        <v>26</v>
      </c>
      <c r="F1077" s="9">
        <v>490</v>
      </c>
      <c r="G1077" s="9">
        <v>417</v>
      </c>
      <c r="H1077" s="9">
        <v>25</v>
      </c>
      <c r="I1077" s="9">
        <f t="shared" si="144"/>
        <v>392</v>
      </c>
      <c r="J1077" s="9">
        <v>44</v>
      </c>
      <c r="K1077" s="10">
        <f t="shared" si="145"/>
        <v>9.166666666666666E-2</v>
      </c>
      <c r="L1077" s="17">
        <v>90</v>
      </c>
      <c r="M1077" s="17">
        <v>30800</v>
      </c>
      <c r="N1077" s="17">
        <f t="shared" si="146"/>
        <v>35280</v>
      </c>
      <c r="O1077" s="17">
        <f t="shared" si="147"/>
        <v>4480</v>
      </c>
      <c r="P1077" s="10">
        <f t="shared" si="148"/>
        <v>0.8510204081632653</v>
      </c>
      <c r="Q1077" s="10">
        <f t="shared" si="149"/>
        <v>5.9952038369304558E-2</v>
      </c>
      <c r="R1077" s="10">
        <f t="shared" si="150"/>
        <v>0.12698412698412698</v>
      </c>
      <c r="S1077" s="18">
        <f t="shared" si="151"/>
        <v>78.571428571428569</v>
      </c>
      <c r="T1077" s="8">
        <f>480-ProductionData[[#This Row],[Downtime Minutes]]</f>
        <v>436</v>
      </c>
      <c r="U1077" s="11">
        <f t="shared" si="152"/>
        <v>0.95642201834862384</v>
      </c>
      <c r="V1077" s="18">
        <f>ProductionData[[#This Row],[Profit]]/ProductionData[[#This Row],[Good Units]]</f>
        <v>11.428571428571429</v>
      </c>
      <c r="W1077" s="11">
        <f>ProductionData[[#This Row],[Good Units]]/ProductionData[[#This Row],[Operating Minutes]]</f>
        <v>0.8990825688073395</v>
      </c>
    </row>
    <row r="1078" spans="1:23">
      <c r="A1078" s="7">
        <v>46323</v>
      </c>
      <c r="B1078" s="8" t="s">
        <v>31</v>
      </c>
      <c r="C1078" s="8" t="s">
        <v>27</v>
      </c>
      <c r="D1078" s="8" t="s">
        <v>25</v>
      </c>
      <c r="E1078" s="8" t="s">
        <v>22</v>
      </c>
      <c r="F1078" s="9">
        <v>440</v>
      </c>
      <c r="G1078" s="9">
        <v>379</v>
      </c>
      <c r="H1078" s="9">
        <v>26</v>
      </c>
      <c r="I1078" s="9">
        <f t="shared" si="144"/>
        <v>353</v>
      </c>
      <c r="J1078" s="9">
        <v>77</v>
      </c>
      <c r="K1078" s="10">
        <f t="shared" si="145"/>
        <v>0.16041666666666668</v>
      </c>
      <c r="L1078" s="17">
        <v>100</v>
      </c>
      <c r="M1078" s="17">
        <v>30800</v>
      </c>
      <c r="N1078" s="17">
        <f t="shared" si="146"/>
        <v>35300</v>
      </c>
      <c r="O1078" s="17">
        <f t="shared" si="147"/>
        <v>4500</v>
      </c>
      <c r="P1078" s="10">
        <f t="shared" si="148"/>
        <v>0.86136363636363633</v>
      </c>
      <c r="Q1078" s="10">
        <f t="shared" si="149"/>
        <v>6.860158311345646E-2</v>
      </c>
      <c r="R1078" s="10">
        <f t="shared" si="150"/>
        <v>0.12747875354107649</v>
      </c>
      <c r="S1078" s="18">
        <f t="shared" si="151"/>
        <v>87.252124645892351</v>
      </c>
      <c r="T1078" s="8">
        <f>480-ProductionData[[#This Row],[Downtime Minutes]]</f>
        <v>403</v>
      </c>
      <c r="U1078" s="11">
        <f t="shared" si="152"/>
        <v>0.94044665012406947</v>
      </c>
      <c r="V1078" s="18">
        <f>ProductionData[[#This Row],[Profit]]/ProductionData[[#This Row],[Good Units]]</f>
        <v>12.747875354107649</v>
      </c>
      <c r="W1078" s="11">
        <f>ProductionData[[#This Row],[Good Units]]/ProductionData[[#This Row],[Operating Minutes]]</f>
        <v>0.87593052109181146</v>
      </c>
    </row>
    <row r="1079" spans="1:23">
      <c r="A1079" s="7">
        <v>46323</v>
      </c>
      <c r="B1079" s="8" t="s">
        <v>31</v>
      </c>
      <c r="C1079" s="8" t="s">
        <v>28</v>
      </c>
      <c r="D1079" s="8" t="s">
        <v>21</v>
      </c>
      <c r="E1079" s="8" t="s">
        <v>26</v>
      </c>
      <c r="F1079" s="9">
        <v>490</v>
      </c>
      <c r="G1079" s="9">
        <v>473</v>
      </c>
      <c r="H1079" s="9">
        <v>10</v>
      </c>
      <c r="I1079" s="9">
        <f t="shared" si="144"/>
        <v>463</v>
      </c>
      <c r="J1079" s="9">
        <v>14</v>
      </c>
      <c r="K1079" s="10">
        <f t="shared" si="145"/>
        <v>2.9166666666666667E-2</v>
      </c>
      <c r="L1079" s="17">
        <v>90</v>
      </c>
      <c r="M1079" s="17">
        <v>30800</v>
      </c>
      <c r="N1079" s="17">
        <f t="shared" si="146"/>
        <v>41670</v>
      </c>
      <c r="O1079" s="17">
        <f t="shared" si="147"/>
        <v>10870</v>
      </c>
      <c r="P1079" s="10">
        <f t="shared" si="148"/>
        <v>0.96530612244897962</v>
      </c>
      <c r="Q1079" s="10">
        <f t="shared" si="149"/>
        <v>2.1141649048625793E-2</v>
      </c>
      <c r="R1079" s="10">
        <f t="shared" si="150"/>
        <v>0.26085913126949845</v>
      </c>
      <c r="S1079" s="18">
        <f t="shared" si="151"/>
        <v>66.522678185745136</v>
      </c>
      <c r="T1079" s="8">
        <f>480-ProductionData[[#This Row],[Downtime Minutes]]</f>
        <v>466</v>
      </c>
      <c r="U1079" s="11">
        <f t="shared" si="152"/>
        <v>1.0150214592274678</v>
      </c>
      <c r="V1079" s="18">
        <f>ProductionData[[#This Row],[Profit]]/ProductionData[[#This Row],[Good Units]]</f>
        <v>23.477321814254861</v>
      </c>
      <c r="W1079" s="11">
        <f>ProductionData[[#This Row],[Good Units]]/ProductionData[[#This Row],[Operating Minutes]]</f>
        <v>0.99356223175965663</v>
      </c>
    </row>
    <row r="1080" spans="1:23">
      <c r="A1080" s="7">
        <v>46323</v>
      </c>
      <c r="B1080" s="8" t="s">
        <v>31</v>
      </c>
      <c r="C1080" s="8" t="s">
        <v>28</v>
      </c>
      <c r="D1080" s="8" t="s">
        <v>23</v>
      </c>
      <c r="E1080" s="8" t="s">
        <v>22</v>
      </c>
      <c r="F1080" s="9">
        <v>440</v>
      </c>
      <c r="G1080" s="9">
        <v>425</v>
      </c>
      <c r="H1080" s="9">
        <v>17</v>
      </c>
      <c r="I1080" s="9">
        <f t="shared" si="144"/>
        <v>408</v>
      </c>
      <c r="J1080" s="9">
        <v>37</v>
      </c>
      <c r="K1080" s="10">
        <f t="shared" si="145"/>
        <v>7.7083333333333337E-2</v>
      </c>
      <c r="L1080" s="17">
        <v>100</v>
      </c>
      <c r="M1080" s="17">
        <v>30800</v>
      </c>
      <c r="N1080" s="17">
        <f t="shared" si="146"/>
        <v>40800</v>
      </c>
      <c r="O1080" s="17">
        <f t="shared" si="147"/>
        <v>10000</v>
      </c>
      <c r="P1080" s="10">
        <f t="shared" si="148"/>
        <v>0.96590909090909094</v>
      </c>
      <c r="Q1080" s="10">
        <f t="shared" si="149"/>
        <v>0.04</v>
      </c>
      <c r="R1080" s="10">
        <f t="shared" si="150"/>
        <v>0.24509803921568626</v>
      </c>
      <c r="S1080" s="18">
        <f t="shared" si="151"/>
        <v>75.490196078431367</v>
      </c>
      <c r="T1080" s="8">
        <f>480-ProductionData[[#This Row],[Downtime Minutes]]</f>
        <v>443</v>
      </c>
      <c r="U1080" s="11">
        <f t="shared" si="152"/>
        <v>0.95936794582392781</v>
      </c>
      <c r="V1080" s="18">
        <f>ProductionData[[#This Row],[Profit]]/ProductionData[[#This Row],[Good Units]]</f>
        <v>24.509803921568629</v>
      </c>
      <c r="W1080" s="11">
        <f>ProductionData[[#This Row],[Good Units]]/ProductionData[[#This Row],[Operating Minutes]]</f>
        <v>0.92099322799097061</v>
      </c>
    </row>
    <row r="1081" spans="1:23">
      <c r="A1081" s="7">
        <v>46323</v>
      </c>
      <c r="B1081" s="8" t="s">
        <v>31</v>
      </c>
      <c r="C1081" s="8" t="s">
        <v>28</v>
      </c>
      <c r="D1081" s="8" t="s">
        <v>25</v>
      </c>
      <c r="E1081" s="8" t="s">
        <v>24</v>
      </c>
      <c r="F1081" s="9">
        <v>390</v>
      </c>
      <c r="G1081" s="9">
        <v>364</v>
      </c>
      <c r="H1081" s="9">
        <v>11</v>
      </c>
      <c r="I1081" s="9">
        <f t="shared" si="144"/>
        <v>353</v>
      </c>
      <c r="J1081" s="9">
        <v>40</v>
      </c>
      <c r="K1081" s="10">
        <f t="shared" si="145"/>
        <v>8.3333333333333329E-2</v>
      </c>
      <c r="L1081" s="17">
        <v>120</v>
      </c>
      <c r="M1081" s="17">
        <v>30800</v>
      </c>
      <c r="N1081" s="17">
        <f t="shared" si="146"/>
        <v>42360</v>
      </c>
      <c r="O1081" s="17">
        <f t="shared" si="147"/>
        <v>11560</v>
      </c>
      <c r="P1081" s="10">
        <f t="shared" si="148"/>
        <v>0.93333333333333335</v>
      </c>
      <c r="Q1081" s="10">
        <f t="shared" si="149"/>
        <v>3.021978021978022E-2</v>
      </c>
      <c r="R1081" s="10">
        <f t="shared" si="150"/>
        <v>0.27289896128423041</v>
      </c>
      <c r="S1081" s="18">
        <f t="shared" si="151"/>
        <v>87.252124645892351</v>
      </c>
      <c r="T1081" s="8">
        <f>480-ProductionData[[#This Row],[Downtime Minutes]]</f>
        <v>440</v>
      </c>
      <c r="U1081" s="11">
        <f t="shared" si="152"/>
        <v>0.82727272727272727</v>
      </c>
      <c r="V1081" s="18">
        <f>ProductionData[[#This Row],[Profit]]/ProductionData[[#This Row],[Good Units]]</f>
        <v>32.747875354107649</v>
      </c>
      <c r="W1081" s="11">
        <f>ProductionData[[#This Row],[Good Units]]/ProductionData[[#This Row],[Operating Minutes]]</f>
        <v>0.80227272727272725</v>
      </c>
    </row>
    <row r="1082" spans="1:23">
      <c r="A1082" s="7">
        <v>46324</v>
      </c>
      <c r="B1082" s="8" t="s">
        <v>31</v>
      </c>
      <c r="C1082" s="8" t="s">
        <v>20</v>
      </c>
      <c r="D1082" s="8" t="s">
        <v>21</v>
      </c>
      <c r="E1082" s="8" t="s">
        <v>24</v>
      </c>
      <c r="F1082" s="9">
        <v>410</v>
      </c>
      <c r="G1082" s="9">
        <v>385</v>
      </c>
      <c r="H1082" s="9">
        <v>12</v>
      </c>
      <c r="I1082" s="9">
        <f t="shared" si="144"/>
        <v>373</v>
      </c>
      <c r="J1082" s="9">
        <v>22</v>
      </c>
      <c r="K1082" s="10">
        <f t="shared" si="145"/>
        <v>4.583333333333333E-2</v>
      </c>
      <c r="L1082" s="17">
        <v>120</v>
      </c>
      <c r="M1082" s="17">
        <v>30800</v>
      </c>
      <c r="N1082" s="17">
        <f t="shared" si="146"/>
        <v>44760</v>
      </c>
      <c r="O1082" s="17">
        <f t="shared" si="147"/>
        <v>13960</v>
      </c>
      <c r="P1082" s="10">
        <f t="shared" si="148"/>
        <v>0.93902439024390238</v>
      </c>
      <c r="Q1082" s="10">
        <f t="shared" si="149"/>
        <v>3.1168831168831169E-2</v>
      </c>
      <c r="R1082" s="10">
        <f t="shared" si="150"/>
        <v>0.31188561215370869</v>
      </c>
      <c r="S1082" s="18">
        <f t="shared" si="151"/>
        <v>82.573726541554961</v>
      </c>
      <c r="T1082" s="8">
        <f>480-ProductionData[[#This Row],[Downtime Minutes]]</f>
        <v>458</v>
      </c>
      <c r="U1082" s="11">
        <f t="shared" si="152"/>
        <v>0.84061135371179041</v>
      </c>
      <c r="V1082" s="18">
        <f>ProductionData[[#This Row],[Profit]]/ProductionData[[#This Row],[Good Units]]</f>
        <v>37.426273458445039</v>
      </c>
      <c r="W1082" s="11">
        <f>ProductionData[[#This Row],[Good Units]]/ProductionData[[#This Row],[Operating Minutes]]</f>
        <v>0.81441048034934493</v>
      </c>
    </row>
    <row r="1083" spans="1:23">
      <c r="A1083" s="7">
        <v>46324</v>
      </c>
      <c r="B1083" s="8" t="s">
        <v>31</v>
      </c>
      <c r="C1083" s="8" t="s">
        <v>20</v>
      </c>
      <c r="D1083" s="8" t="s">
        <v>23</v>
      </c>
      <c r="E1083" s="8" t="s">
        <v>26</v>
      </c>
      <c r="F1083" s="9">
        <v>480</v>
      </c>
      <c r="G1083" s="9">
        <v>447</v>
      </c>
      <c r="H1083" s="9">
        <v>18</v>
      </c>
      <c r="I1083" s="9">
        <f t="shared" si="144"/>
        <v>429</v>
      </c>
      <c r="J1083" s="9">
        <v>21</v>
      </c>
      <c r="K1083" s="10">
        <f t="shared" si="145"/>
        <v>4.3749999999999997E-2</v>
      </c>
      <c r="L1083" s="17">
        <v>90</v>
      </c>
      <c r="M1083" s="17">
        <v>30800</v>
      </c>
      <c r="N1083" s="17">
        <f t="shared" si="146"/>
        <v>38610</v>
      </c>
      <c r="O1083" s="17">
        <f t="shared" si="147"/>
        <v>7810</v>
      </c>
      <c r="P1083" s="10">
        <f t="shared" si="148"/>
        <v>0.93125000000000002</v>
      </c>
      <c r="Q1083" s="10">
        <f t="shared" si="149"/>
        <v>4.0268456375838924E-2</v>
      </c>
      <c r="R1083" s="10">
        <f t="shared" si="150"/>
        <v>0.20227920227920229</v>
      </c>
      <c r="S1083" s="18">
        <f t="shared" si="151"/>
        <v>71.794871794871796</v>
      </c>
      <c r="T1083" s="8">
        <f>480-ProductionData[[#This Row],[Downtime Minutes]]</f>
        <v>459</v>
      </c>
      <c r="U1083" s="11">
        <f t="shared" si="152"/>
        <v>0.97385620915032678</v>
      </c>
      <c r="V1083" s="18">
        <f>ProductionData[[#This Row],[Profit]]/ProductionData[[#This Row],[Good Units]]</f>
        <v>18.205128205128204</v>
      </c>
      <c r="W1083" s="11">
        <f>ProductionData[[#This Row],[Good Units]]/ProductionData[[#This Row],[Operating Minutes]]</f>
        <v>0.934640522875817</v>
      </c>
    </row>
    <row r="1084" spans="1:23">
      <c r="A1084" s="7">
        <v>46324</v>
      </c>
      <c r="B1084" s="8" t="s">
        <v>31</v>
      </c>
      <c r="C1084" s="8" t="s">
        <v>20</v>
      </c>
      <c r="D1084" s="8" t="s">
        <v>25</v>
      </c>
      <c r="E1084" s="8" t="s">
        <v>22</v>
      </c>
      <c r="F1084" s="9">
        <v>440</v>
      </c>
      <c r="G1084" s="9">
        <v>389</v>
      </c>
      <c r="H1084" s="9">
        <v>24</v>
      </c>
      <c r="I1084" s="9">
        <f t="shared" si="144"/>
        <v>365</v>
      </c>
      <c r="J1084" s="9">
        <v>55</v>
      </c>
      <c r="K1084" s="10">
        <f t="shared" si="145"/>
        <v>0.11458333333333333</v>
      </c>
      <c r="L1084" s="17">
        <v>100</v>
      </c>
      <c r="M1084" s="17">
        <v>30800</v>
      </c>
      <c r="N1084" s="17">
        <f t="shared" si="146"/>
        <v>36500</v>
      </c>
      <c r="O1084" s="17">
        <f t="shared" si="147"/>
        <v>5700</v>
      </c>
      <c r="P1084" s="10">
        <f t="shared" si="148"/>
        <v>0.88409090909090904</v>
      </c>
      <c r="Q1084" s="10">
        <f t="shared" si="149"/>
        <v>6.1696658097686374E-2</v>
      </c>
      <c r="R1084" s="10">
        <f t="shared" si="150"/>
        <v>0.15616438356164383</v>
      </c>
      <c r="S1084" s="18">
        <f t="shared" si="151"/>
        <v>84.38356164383562</v>
      </c>
      <c r="T1084" s="8">
        <f>480-ProductionData[[#This Row],[Downtime Minutes]]</f>
        <v>425</v>
      </c>
      <c r="U1084" s="11">
        <f t="shared" si="152"/>
        <v>0.91529411764705881</v>
      </c>
      <c r="V1084" s="18">
        <f>ProductionData[[#This Row],[Profit]]/ProductionData[[#This Row],[Good Units]]</f>
        <v>15.616438356164384</v>
      </c>
      <c r="W1084" s="11">
        <f>ProductionData[[#This Row],[Good Units]]/ProductionData[[#This Row],[Operating Minutes]]</f>
        <v>0.85882352941176465</v>
      </c>
    </row>
    <row r="1085" spans="1:23">
      <c r="A1085" s="7">
        <v>46324</v>
      </c>
      <c r="B1085" s="8" t="s">
        <v>31</v>
      </c>
      <c r="C1085" s="8" t="s">
        <v>27</v>
      </c>
      <c r="D1085" s="8" t="s">
        <v>21</v>
      </c>
      <c r="E1085" s="8" t="s">
        <v>26</v>
      </c>
      <c r="F1085" s="9">
        <v>480</v>
      </c>
      <c r="G1085" s="9">
        <v>430</v>
      </c>
      <c r="H1085" s="9">
        <v>18</v>
      </c>
      <c r="I1085" s="9">
        <f t="shared" si="144"/>
        <v>412</v>
      </c>
      <c r="J1085" s="9">
        <v>43</v>
      </c>
      <c r="K1085" s="10">
        <f t="shared" si="145"/>
        <v>8.9583333333333334E-2</v>
      </c>
      <c r="L1085" s="17">
        <v>90</v>
      </c>
      <c r="M1085" s="17">
        <v>30800</v>
      </c>
      <c r="N1085" s="17">
        <f t="shared" si="146"/>
        <v>37080</v>
      </c>
      <c r="O1085" s="17">
        <f t="shared" si="147"/>
        <v>6280</v>
      </c>
      <c r="P1085" s="10">
        <f t="shared" si="148"/>
        <v>0.89583333333333337</v>
      </c>
      <c r="Q1085" s="10">
        <f t="shared" si="149"/>
        <v>4.1860465116279069E-2</v>
      </c>
      <c r="R1085" s="10">
        <f t="shared" si="150"/>
        <v>0.16936353829557713</v>
      </c>
      <c r="S1085" s="18">
        <f t="shared" si="151"/>
        <v>74.757281553398059</v>
      </c>
      <c r="T1085" s="8">
        <f>480-ProductionData[[#This Row],[Downtime Minutes]]</f>
        <v>437</v>
      </c>
      <c r="U1085" s="11">
        <f t="shared" si="152"/>
        <v>0.98398169336384445</v>
      </c>
      <c r="V1085" s="18">
        <f>ProductionData[[#This Row],[Profit]]/ProductionData[[#This Row],[Good Units]]</f>
        <v>15.242718446601941</v>
      </c>
      <c r="W1085" s="11">
        <f>ProductionData[[#This Row],[Good Units]]/ProductionData[[#This Row],[Operating Minutes]]</f>
        <v>0.94279176201372994</v>
      </c>
    </row>
    <row r="1086" spans="1:23">
      <c r="A1086" s="7">
        <v>46324</v>
      </c>
      <c r="B1086" s="8" t="s">
        <v>31</v>
      </c>
      <c r="C1086" s="8" t="s">
        <v>27</v>
      </c>
      <c r="D1086" s="8" t="s">
        <v>23</v>
      </c>
      <c r="E1086" s="8" t="s">
        <v>22</v>
      </c>
      <c r="F1086" s="9">
        <v>440</v>
      </c>
      <c r="G1086" s="9">
        <v>395</v>
      </c>
      <c r="H1086" s="9">
        <v>27</v>
      </c>
      <c r="I1086" s="9">
        <f t="shared" si="144"/>
        <v>368</v>
      </c>
      <c r="J1086" s="9">
        <v>51</v>
      </c>
      <c r="K1086" s="10">
        <f t="shared" si="145"/>
        <v>0.10625</v>
      </c>
      <c r="L1086" s="17">
        <v>100</v>
      </c>
      <c r="M1086" s="17">
        <v>30800</v>
      </c>
      <c r="N1086" s="17">
        <f t="shared" si="146"/>
        <v>36800</v>
      </c>
      <c r="O1086" s="17">
        <f t="shared" si="147"/>
        <v>6000</v>
      </c>
      <c r="P1086" s="10">
        <f t="shared" si="148"/>
        <v>0.89772727272727271</v>
      </c>
      <c r="Q1086" s="10">
        <f t="shared" si="149"/>
        <v>6.8354430379746839E-2</v>
      </c>
      <c r="R1086" s="10">
        <f t="shared" si="150"/>
        <v>0.16304347826086957</v>
      </c>
      <c r="S1086" s="18">
        <f t="shared" si="151"/>
        <v>83.695652173913047</v>
      </c>
      <c r="T1086" s="8">
        <f>480-ProductionData[[#This Row],[Downtime Minutes]]</f>
        <v>429</v>
      </c>
      <c r="U1086" s="11">
        <f t="shared" si="152"/>
        <v>0.92074592074592077</v>
      </c>
      <c r="V1086" s="18">
        <f>ProductionData[[#This Row],[Profit]]/ProductionData[[#This Row],[Good Units]]</f>
        <v>16.304347826086957</v>
      </c>
      <c r="W1086" s="11">
        <f>ProductionData[[#This Row],[Good Units]]/ProductionData[[#This Row],[Operating Minutes]]</f>
        <v>0.85780885780885785</v>
      </c>
    </row>
    <row r="1087" spans="1:23">
      <c r="A1087" s="7">
        <v>46324</v>
      </c>
      <c r="B1087" s="8" t="s">
        <v>31</v>
      </c>
      <c r="C1087" s="8" t="s">
        <v>27</v>
      </c>
      <c r="D1087" s="8" t="s">
        <v>25</v>
      </c>
      <c r="E1087" s="8" t="s">
        <v>24</v>
      </c>
      <c r="F1087" s="9">
        <v>390</v>
      </c>
      <c r="G1087" s="9">
        <v>339</v>
      </c>
      <c r="H1087" s="9">
        <v>19</v>
      </c>
      <c r="I1087" s="9">
        <f t="shared" si="144"/>
        <v>320</v>
      </c>
      <c r="J1087" s="9">
        <v>61</v>
      </c>
      <c r="K1087" s="10">
        <f t="shared" si="145"/>
        <v>0.12708333333333333</v>
      </c>
      <c r="L1087" s="17">
        <v>120</v>
      </c>
      <c r="M1087" s="17">
        <v>30800</v>
      </c>
      <c r="N1087" s="17">
        <f t="shared" si="146"/>
        <v>38400</v>
      </c>
      <c r="O1087" s="17">
        <f t="shared" si="147"/>
        <v>7600</v>
      </c>
      <c r="P1087" s="10">
        <f t="shared" si="148"/>
        <v>0.86923076923076925</v>
      </c>
      <c r="Q1087" s="10">
        <f t="shared" si="149"/>
        <v>5.6047197640117993E-2</v>
      </c>
      <c r="R1087" s="10">
        <f t="shared" si="150"/>
        <v>0.19791666666666666</v>
      </c>
      <c r="S1087" s="18">
        <f t="shared" si="151"/>
        <v>96.25</v>
      </c>
      <c r="T1087" s="8">
        <f>480-ProductionData[[#This Row],[Downtime Minutes]]</f>
        <v>419</v>
      </c>
      <c r="U1087" s="11">
        <f t="shared" si="152"/>
        <v>0.80906921241050123</v>
      </c>
      <c r="V1087" s="18">
        <f>ProductionData[[#This Row],[Profit]]/ProductionData[[#This Row],[Good Units]]</f>
        <v>23.75</v>
      </c>
      <c r="W1087" s="11">
        <f>ProductionData[[#This Row],[Good Units]]/ProductionData[[#This Row],[Operating Minutes]]</f>
        <v>0.76372315035799521</v>
      </c>
    </row>
    <row r="1088" spans="1:23">
      <c r="A1088" s="7">
        <v>46324</v>
      </c>
      <c r="B1088" s="8" t="s">
        <v>31</v>
      </c>
      <c r="C1088" s="8" t="s">
        <v>28</v>
      </c>
      <c r="D1088" s="8" t="s">
        <v>21</v>
      </c>
      <c r="E1088" s="8" t="s">
        <v>22</v>
      </c>
      <c r="F1088" s="9">
        <v>470</v>
      </c>
      <c r="G1088" s="9">
        <v>438</v>
      </c>
      <c r="H1088" s="9">
        <v>15</v>
      </c>
      <c r="I1088" s="9">
        <f t="shared" si="144"/>
        <v>423</v>
      </c>
      <c r="J1088" s="9">
        <v>34</v>
      </c>
      <c r="K1088" s="10">
        <f t="shared" si="145"/>
        <v>7.0833333333333331E-2</v>
      </c>
      <c r="L1088" s="17">
        <v>100</v>
      </c>
      <c r="M1088" s="17">
        <v>30800</v>
      </c>
      <c r="N1088" s="17">
        <f t="shared" si="146"/>
        <v>42300</v>
      </c>
      <c r="O1088" s="17">
        <f t="shared" si="147"/>
        <v>11500</v>
      </c>
      <c r="P1088" s="10">
        <f t="shared" si="148"/>
        <v>0.93191489361702129</v>
      </c>
      <c r="Q1088" s="10">
        <f t="shared" si="149"/>
        <v>3.4246575342465752E-2</v>
      </c>
      <c r="R1088" s="10">
        <f t="shared" si="150"/>
        <v>0.27186761229314421</v>
      </c>
      <c r="S1088" s="18">
        <f t="shared" si="151"/>
        <v>72.813238770685572</v>
      </c>
      <c r="T1088" s="8">
        <f>480-ProductionData[[#This Row],[Downtime Minutes]]</f>
        <v>446</v>
      </c>
      <c r="U1088" s="11">
        <f t="shared" si="152"/>
        <v>0.98206278026905824</v>
      </c>
      <c r="V1088" s="18">
        <f>ProductionData[[#This Row],[Profit]]/ProductionData[[#This Row],[Good Units]]</f>
        <v>27.186761229314421</v>
      </c>
      <c r="W1088" s="11">
        <f>ProductionData[[#This Row],[Good Units]]/ProductionData[[#This Row],[Operating Minutes]]</f>
        <v>0.94843049327354256</v>
      </c>
    </row>
    <row r="1089" spans="1:23">
      <c r="A1089" s="7">
        <v>46324</v>
      </c>
      <c r="B1089" s="8" t="s">
        <v>31</v>
      </c>
      <c r="C1089" s="8" t="s">
        <v>28</v>
      </c>
      <c r="D1089" s="8" t="s">
        <v>23</v>
      </c>
      <c r="E1089" s="8" t="s">
        <v>24</v>
      </c>
      <c r="F1089" s="9">
        <v>390</v>
      </c>
      <c r="G1089" s="9">
        <v>362</v>
      </c>
      <c r="H1089" s="9">
        <v>12</v>
      </c>
      <c r="I1089" s="9">
        <f t="shared" si="144"/>
        <v>350</v>
      </c>
      <c r="J1089" s="9">
        <v>34</v>
      </c>
      <c r="K1089" s="10">
        <f t="shared" si="145"/>
        <v>7.0833333333333331E-2</v>
      </c>
      <c r="L1089" s="17">
        <v>120</v>
      </c>
      <c r="M1089" s="17">
        <v>30800</v>
      </c>
      <c r="N1089" s="17">
        <f t="shared" si="146"/>
        <v>42000</v>
      </c>
      <c r="O1089" s="17">
        <f t="shared" si="147"/>
        <v>11200</v>
      </c>
      <c r="P1089" s="10">
        <f t="shared" si="148"/>
        <v>0.92820512820512824</v>
      </c>
      <c r="Q1089" s="10">
        <f t="shared" si="149"/>
        <v>3.3149171270718231E-2</v>
      </c>
      <c r="R1089" s="10">
        <f t="shared" si="150"/>
        <v>0.26666666666666666</v>
      </c>
      <c r="S1089" s="18">
        <f t="shared" si="151"/>
        <v>88</v>
      </c>
      <c r="T1089" s="8">
        <f>480-ProductionData[[#This Row],[Downtime Minutes]]</f>
        <v>446</v>
      </c>
      <c r="U1089" s="11">
        <f t="shared" si="152"/>
        <v>0.81165919282511212</v>
      </c>
      <c r="V1089" s="18">
        <f>ProductionData[[#This Row],[Profit]]/ProductionData[[#This Row],[Good Units]]</f>
        <v>32</v>
      </c>
      <c r="W1089" s="11">
        <f>ProductionData[[#This Row],[Good Units]]/ProductionData[[#This Row],[Operating Minutes]]</f>
        <v>0.7847533632286996</v>
      </c>
    </row>
    <row r="1090" spans="1:23">
      <c r="A1090" s="7">
        <v>46324</v>
      </c>
      <c r="B1090" s="8" t="s">
        <v>31</v>
      </c>
      <c r="C1090" s="8" t="s">
        <v>28</v>
      </c>
      <c r="D1090" s="8" t="s">
        <v>25</v>
      </c>
      <c r="E1090" s="8" t="s">
        <v>26</v>
      </c>
      <c r="F1090" s="9">
        <v>480</v>
      </c>
      <c r="G1090" s="9">
        <v>452</v>
      </c>
      <c r="H1090" s="9">
        <v>16</v>
      </c>
      <c r="I1090" s="9">
        <f t="shared" ref="I1090:I1153" si="153">G1090-H1090</f>
        <v>436</v>
      </c>
      <c r="J1090" s="9">
        <v>33</v>
      </c>
      <c r="K1090" s="10">
        <f t="shared" ref="K1090:K1153" si="154">J1090/480</f>
        <v>6.8750000000000006E-2</v>
      </c>
      <c r="L1090" s="17">
        <v>90</v>
      </c>
      <c r="M1090" s="17">
        <v>30800</v>
      </c>
      <c r="N1090" s="17">
        <f t="shared" ref="N1090:N1153" si="155">I1090*L1090</f>
        <v>39240</v>
      </c>
      <c r="O1090" s="17">
        <f t="shared" ref="O1090:O1153" si="156">N1090-M1090</f>
        <v>8440</v>
      </c>
      <c r="P1090" s="10">
        <f t="shared" ref="P1090:P1153" si="157">G1090/F1090</f>
        <v>0.94166666666666665</v>
      </c>
      <c r="Q1090" s="10">
        <f t="shared" ref="Q1090:Q1153" si="158">H1090/G1090</f>
        <v>3.5398230088495575E-2</v>
      </c>
      <c r="R1090" s="10">
        <f t="shared" ref="R1090:R1153" si="159">O1090/N1090</f>
        <v>0.21508664627930682</v>
      </c>
      <c r="S1090" s="18">
        <f t="shared" ref="S1090:S1153" si="160">M1090/I1090</f>
        <v>70.642201834862391</v>
      </c>
      <c r="T1090" s="8">
        <f>480-ProductionData[[#This Row],[Downtime Minutes]]</f>
        <v>447</v>
      </c>
      <c r="U1090" s="11">
        <f t="shared" ref="U1090:U1153" si="161">G1090/T1090</f>
        <v>1.0111856823266219</v>
      </c>
      <c r="V1090" s="18">
        <f>ProductionData[[#This Row],[Profit]]/ProductionData[[#This Row],[Good Units]]</f>
        <v>19.357798165137616</v>
      </c>
      <c r="W1090" s="11">
        <f>ProductionData[[#This Row],[Good Units]]/ProductionData[[#This Row],[Operating Minutes]]</f>
        <v>0.97539149888143173</v>
      </c>
    </row>
    <row r="1091" spans="1:23">
      <c r="A1091" s="7">
        <v>46325</v>
      </c>
      <c r="B1091" s="8" t="s">
        <v>31</v>
      </c>
      <c r="C1091" s="8" t="s">
        <v>20</v>
      </c>
      <c r="D1091" s="8" t="s">
        <v>21</v>
      </c>
      <c r="E1091" s="8" t="s">
        <v>26</v>
      </c>
      <c r="F1091" s="9">
        <v>510</v>
      </c>
      <c r="G1091" s="9">
        <v>463</v>
      </c>
      <c r="H1091" s="9">
        <v>16</v>
      </c>
      <c r="I1091" s="9">
        <f t="shared" si="153"/>
        <v>447</v>
      </c>
      <c r="J1091" s="9">
        <v>24</v>
      </c>
      <c r="K1091" s="10">
        <f t="shared" si="154"/>
        <v>0.05</v>
      </c>
      <c r="L1091" s="17">
        <v>90</v>
      </c>
      <c r="M1091" s="17">
        <v>30800</v>
      </c>
      <c r="N1091" s="17">
        <f t="shared" si="155"/>
        <v>40230</v>
      </c>
      <c r="O1091" s="17">
        <f t="shared" si="156"/>
        <v>9430</v>
      </c>
      <c r="P1091" s="10">
        <f t="shared" si="157"/>
        <v>0.90784313725490196</v>
      </c>
      <c r="Q1091" s="10">
        <f t="shared" si="158"/>
        <v>3.4557235421166309E-2</v>
      </c>
      <c r="R1091" s="10">
        <f t="shared" si="159"/>
        <v>0.23440218742232166</v>
      </c>
      <c r="S1091" s="18">
        <f t="shared" si="160"/>
        <v>68.903803131991054</v>
      </c>
      <c r="T1091" s="8">
        <f>480-ProductionData[[#This Row],[Downtime Minutes]]</f>
        <v>456</v>
      </c>
      <c r="U1091" s="11">
        <f t="shared" si="161"/>
        <v>1.0153508771929824</v>
      </c>
      <c r="V1091" s="18">
        <f>ProductionData[[#This Row],[Profit]]/ProductionData[[#This Row],[Good Units]]</f>
        <v>21.096196868008949</v>
      </c>
      <c r="W1091" s="11">
        <f>ProductionData[[#This Row],[Good Units]]/ProductionData[[#This Row],[Operating Minutes]]</f>
        <v>0.98026315789473684</v>
      </c>
    </row>
    <row r="1092" spans="1:23">
      <c r="A1092" s="7">
        <v>46325</v>
      </c>
      <c r="B1092" s="8" t="s">
        <v>31</v>
      </c>
      <c r="C1092" s="8" t="s">
        <v>20</v>
      </c>
      <c r="D1092" s="8" t="s">
        <v>23</v>
      </c>
      <c r="E1092" s="8" t="s">
        <v>22</v>
      </c>
      <c r="F1092" s="9">
        <v>440</v>
      </c>
      <c r="G1092" s="9">
        <v>420</v>
      </c>
      <c r="H1092" s="9">
        <v>24</v>
      </c>
      <c r="I1092" s="9">
        <f t="shared" si="153"/>
        <v>396</v>
      </c>
      <c r="J1092" s="9">
        <v>38</v>
      </c>
      <c r="K1092" s="10">
        <f t="shared" si="154"/>
        <v>7.9166666666666663E-2</v>
      </c>
      <c r="L1092" s="17">
        <v>100</v>
      </c>
      <c r="M1092" s="17">
        <v>30800</v>
      </c>
      <c r="N1092" s="17">
        <f t="shared" si="155"/>
        <v>39600</v>
      </c>
      <c r="O1092" s="17">
        <f t="shared" si="156"/>
        <v>8800</v>
      </c>
      <c r="P1092" s="10">
        <f t="shared" si="157"/>
        <v>0.95454545454545459</v>
      </c>
      <c r="Q1092" s="10">
        <f t="shared" si="158"/>
        <v>5.7142857142857141E-2</v>
      </c>
      <c r="R1092" s="10">
        <f t="shared" si="159"/>
        <v>0.22222222222222221</v>
      </c>
      <c r="S1092" s="18">
        <f t="shared" si="160"/>
        <v>77.777777777777771</v>
      </c>
      <c r="T1092" s="8">
        <f>480-ProductionData[[#This Row],[Downtime Minutes]]</f>
        <v>442</v>
      </c>
      <c r="U1092" s="11">
        <f t="shared" si="161"/>
        <v>0.95022624434389136</v>
      </c>
      <c r="V1092" s="18">
        <f>ProductionData[[#This Row],[Profit]]/ProductionData[[#This Row],[Good Units]]</f>
        <v>22.222222222222221</v>
      </c>
      <c r="W1092" s="11">
        <f>ProductionData[[#This Row],[Good Units]]/ProductionData[[#This Row],[Operating Minutes]]</f>
        <v>0.89592760180995479</v>
      </c>
    </row>
    <row r="1093" spans="1:23">
      <c r="A1093" s="7">
        <v>46325</v>
      </c>
      <c r="B1093" s="8" t="s">
        <v>31</v>
      </c>
      <c r="C1093" s="8" t="s">
        <v>20</v>
      </c>
      <c r="D1093" s="8" t="s">
        <v>25</v>
      </c>
      <c r="E1093" s="8" t="s">
        <v>24</v>
      </c>
      <c r="F1093" s="9">
        <v>400</v>
      </c>
      <c r="G1093" s="9">
        <v>367</v>
      </c>
      <c r="H1093" s="9">
        <v>17</v>
      </c>
      <c r="I1093" s="9">
        <f t="shared" si="153"/>
        <v>350</v>
      </c>
      <c r="J1093" s="9">
        <v>31</v>
      </c>
      <c r="K1093" s="10">
        <f t="shared" si="154"/>
        <v>6.458333333333334E-2</v>
      </c>
      <c r="L1093" s="17">
        <v>120</v>
      </c>
      <c r="M1093" s="17">
        <v>30800</v>
      </c>
      <c r="N1093" s="17">
        <f t="shared" si="155"/>
        <v>42000</v>
      </c>
      <c r="O1093" s="17">
        <f t="shared" si="156"/>
        <v>11200</v>
      </c>
      <c r="P1093" s="10">
        <f t="shared" si="157"/>
        <v>0.91749999999999998</v>
      </c>
      <c r="Q1093" s="10">
        <f t="shared" si="158"/>
        <v>4.632152588555858E-2</v>
      </c>
      <c r="R1093" s="10">
        <f t="shared" si="159"/>
        <v>0.26666666666666666</v>
      </c>
      <c r="S1093" s="18">
        <f t="shared" si="160"/>
        <v>88</v>
      </c>
      <c r="T1093" s="8">
        <f>480-ProductionData[[#This Row],[Downtime Minutes]]</f>
        <v>449</v>
      </c>
      <c r="U1093" s="11">
        <f t="shared" si="161"/>
        <v>0.81737193763919824</v>
      </c>
      <c r="V1093" s="18">
        <f>ProductionData[[#This Row],[Profit]]/ProductionData[[#This Row],[Good Units]]</f>
        <v>32</v>
      </c>
      <c r="W1093" s="11">
        <f>ProductionData[[#This Row],[Good Units]]/ProductionData[[#This Row],[Operating Minutes]]</f>
        <v>0.77951002227171495</v>
      </c>
    </row>
    <row r="1094" spans="1:23">
      <c r="A1094" s="7">
        <v>46325</v>
      </c>
      <c r="B1094" s="8" t="s">
        <v>31</v>
      </c>
      <c r="C1094" s="8" t="s">
        <v>27</v>
      </c>
      <c r="D1094" s="8" t="s">
        <v>21</v>
      </c>
      <c r="E1094" s="8" t="s">
        <v>22</v>
      </c>
      <c r="F1094" s="9">
        <v>470</v>
      </c>
      <c r="G1094" s="9">
        <v>409</v>
      </c>
      <c r="H1094" s="9">
        <v>24</v>
      </c>
      <c r="I1094" s="9">
        <f t="shared" si="153"/>
        <v>385</v>
      </c>
      <c r="J1094" s="9">
        <v>53</v>
      </c>
      <c r="K1094" s="10">
        <f t="shared" si="154"/>
        <v>0.11041666666666666</v>
      </c>
      <c r="L1094" s="17">
        <v>100</v>
      </c>
      <c r="M1094" s="17">
        <v>30800</v>
      </c>
      <c r="N1094" s="17">
        <f t="shared" si="155"/>
        <v>38500</v>
      </c>
      <c r="O1094" s="17">
        <f t="shared" si="156"/>
        <v>7700</v>
      </c>
      <c r="P1094" s="10">
        <f t="shared" si="157"/>
        <v>0.87021276595744679</v>
      </c>
      <c r="Q1094" s="10">
        <f t="shared" si="158"/>
        <v>5.8679706601466992E-2</v>
      </c>
      <c r="R1094" s="10">
        <f t="shared" si="159"/>
        <v>0.2</v>
      </c>
      <c r="S1094" s="18">
        <f t="shared" si="160"/>
        <v>80</v>
      </c>
      <c r="T1094" s="8">
        <f>480-ProductionData[[#This Row],[Downtime Minutes]]</f>
        <v>427</v>
      </c>
      <c r="U1094" s="11">
        <f t="shared" si="161"/>
        <v>0.95784543325526927</v>
      </c>
      <c r="V1094" s="18">
        <f>ProductionData[[#This Row],[Profit]]/ProductionData[[#This Row],[Good Units]]</f>
        <v>20</v>
      </c>
      <c r="W1094" s="11">
        <f>ProductionData[[#This Row],[Good Units]]/ProductionData[[#This Row],[Operating Minutes]]</f>
        <v>0.90163934426229508</v>
      </c>
    </row>
    <row r="1095" spans="1:23">
      <c r="A1095" s="7">
        <v>46325</v>
      </c>
      <c r="B1095" s="8" t="s">
        <v>31</v>
      </c>
      <c r="C1095" s="8" t="s">
        <v>27</v>
      </c>
      <c r="D1095" s="8" t="s">
        <v>23</v>
      </c>
      <c r="E1095" s="8" t="s">
        <v>24</v>
      </c>
      <c r="F1095" s="9">
        <v>390</v>
      </c>
      <c r="G1095" s="9">
        <v>347</v>
      </c>
      <c r="H1095" s="9">
        <v>18</v>
      </c>
      <c r="I1095" s="9">
        <f t="shared" si="153"/>
        <v>329</v>
      </c>
      <c r="J1095" s="9">
        <v>64</v>
      </c>
      <c r="K1095" s="10">
        <f t="shared" si="154"/>
        <v>0.13333333333333333</v>
      </c>
      <c r="L1095" s="17">
        <v>120</v>
      </c>
      <c r="M1095" s="17">
        <v>30800</v>
      </c>
      <c r="N1095" s="17">
        <f t="shared" si="155"/>
        <v>39480</v>
      </c>
      <c r="O1095" s="17">
        <f t="shared" si="156"/>
        <v>8680</v>
      </c>
      <c r="P1095" s="10">
        <f t="shared" si="157"/>
        <v>0.88974358974358969</v>
      </c>
      <c r="Q1095" s="10">
        <f t="shared" si="158"/>
        <v>5.1873198847262249E-2</v>
      </c>
      <c r="R1095" s="10">
        <f t="shared" si="159"/>
        <v>0.21985815602836881</v>
      </c>
      <c r="S1095" s="18">
        <f t="shared" si="160"/>
        <v>93.61702127659575</v>
      </c>
      <c r="T1095" s="8">
        <f>480-ProductionData[[#This Row],[Downtime Minutes]]</f>
        <v>416</v>
      </c>
      <c r="U1095" s="11">
        <f t="shared" si="161"/>
        <v>0.83413461538461542</v>
      </c>
      <c r="V1095" s="18">
        <f>ProductionData[[#This Row],[Profit]]/ProductionData[[#This Row],[Good Units]]</f>
        <v>26.382978723404257</v>
      </c>
      <c r="W1095" s="11">
        <f>ProductionData[[#This Row],[Good Units]]/ProductionData[[#This Row],[Operating Minutes]]</f>
        <v>0.79086538461538458</v>
      </c>
    </row>
    <row r="1096" spans="1:23">
      <c r="A1096" s="7">
        <v>46325</v>
      </c>
      <c r="B1096" s="8" t="s">
        <v>31</v>
      </c>
      <c r="C1096" s="8" t="s">
        <v>27</v>
      </c>
      <c r="D1096" s="8" t="s">
        <v>25</v>
      </c>
      <c r="E1096" s="8" t="s">
        <v>26</v>
      </c>
      <c r="F1096" s="9">
        <v>510</v>
      </c>
      <c r="G1096" s="9">
        <v>437</v>
      </c>
      <c r="H1096" s="9">
        <v>27</v>
      </c>
      <c r="I1096" s="9">
        <f t="shared" si="153"/>
        <v>410</v>
      </c>
      <c r="J1096" s="9">
        <v>62</v>
      </c>
      <c r="K1096" s="10">
        <f t="shared" si="154"/>
        <v>0.12916666666666668</v>
      </c>
      <c r="L1096" s="17">
        <v>90</v>
      </c>
      <c r="M1096" s="17">
        <v>30800</v>
      </c>
      <c r="N1096" s="17">
        <f t="shared" si="155"/>
        <v>36900</v>
      </c>
      <c r="O1096" s="17">
        <f t="shared" si="156"/>
        <v>6100</v>
      </c>
      <c r="P1096" s="10">
        <f t="shared" si="157"/>
        <v>0.85686274509803917</v>
      </c>
      <c r="Q1096" s="10">
        <f t="shared" si="158"/>
        <v>6.1784897025171627E-2</v>
      </c>
      <c r="R1096" s="10">
        <f t="shared" si="159"/>
        <v>0.16531165311653118</v>
      </c>
      <c r="S1096" s="18">
        <f t="shared" si="160"/>
        <v>75.121951219512198</v>
      </c>
      <c r="T1096" s="8">
        <f>480-ProductionData[[#This Row],[Downtime Minutes]]</f>
        <v>418</v>
      </c>
      <c r="U1096" s="11">
        <f t="shared" si="161"/>
        <v>1.0454545454545454</v>
      </c>
      <c r="V1096" s="18">
        <f>ProductionData[[#This Row],[Profit]]/ProductionData[[#This Row],[Good Units]]</f>
        <v>14.878048780487806</v>
      </c>
      <c r="W1096" s="11">
        <f>ProductionData[[#This Row],[Good Units]]/ProductionData[[#This Row],[Operating Minutes]]</f>
        <v>0.98086124401913877</v>
      </c>
    </row>
    <row r="1097" spans="1:23">
      <c r="A1097" s="7">
        <v>46325</v>
      </c>
      <c r="B1097" s="8" t="s">
        <v>31</v>
      </c>
      <c r="C1097" s="8" t="s">
        <v>28</v>
      </c>
      <c r="D1097" s="8" t="s">
        <v>21</v>
      </c>
      <c r="E1097" s="8" t="s">
        <v>24</v>
      </c>
      <c r="F1097" s="9">
        <v>400</v>
      </c>
      <c r="G1097" s="9">
        <v>378</v>
      </c>
      <c r="H1097" s="9">
        <v>9</v>
      </c>
      <c r="I1097" s="9">
        <f t="shared" si="153"/>
        <v>369</v>
      </c>
      <c r="J1097" s="9">
        <v>24</v>
      </c>
      <c r="K1097" s="10">
        <f t="shared" si="154"/>
        <v>0.05</v>
      </c>
      <c r="L1097" s="17">
        <v>120</v>
      </c>
      <c r="M1097" s="17">
        <v>30800</v>
      </c>
      <c r="N1097" s="17">
        <f t="shared" si="155"/>
        <v>44280</v>
      </c>
      <c r="O1097" s="17">
        <f t="shared" si="156"/>
        <v>13480</v>
      </c>
      <c r="P1097" s="10">
        <f t="shared" si="157"/>
        <v>0.94499999999999995</v>
      </c>
      <c r="Q1097" s="10">
        <f t="shared" si="158"/>
        <v>2.3809523809523808E-2</v>
      </c>
      <c r="R1097" s="10">
        <f t="shared" si="159"/>
        <v>0.30442637759710928</v>
      </c>
      <c r="S1097" s="18">
        <f t="shared" si="160"/>
        <v>83.468834688346888</v>
      </c>
      <c r="T1097" s="8">
        <f>480-ProductionData[[#This Row],[Downtime Minutes]]</f>
        <v>456</v>
      </c>
      <c r="U1097" s="11">
        <f t="shared" si="161"/>
        <v>0.82894736842105265</v>
      </c>
      <c r="V1097" s="18">
        <f>ProductionData[[#This Row],[Profit]]/ProductionData[[#This Row],[Good Units]]</f>
        <v>36.531165311653119</v>
      </c>
      <c r="W1097" s="11">
        <f>ProductionData[[#This Row],[Good Units]]/ProductionData[[#This Row],[Operating Minutes]]</f>
        <v>0.80921052631578949</v>
      </c>
    </row>
    <row r="1098" spans="1:23">
      <c r="A1098" s="7">
        <v>46325</v>
      </c>
      <c r="B1098" s="8" t="s">
        <v>31</v>
      </c>
      <c r="C1098" s="8" t="s">
        <v>28</v>
      </c>
      <c r="D1098" s="8" t="s">
        <v>23</v>
      </c>
      <c r="E1098" s="8" t="s">
        <v>26</v>
      </c>
      <c r="F1098" s="9">
        <v>490</v>
      </c>
      <c r="G1098" s="9">
        <v>468</v>
      </c>
      <c r="H1098" s="9">
        <v>15</v>
      </c>
      <c r="I1098" s="9">
        <f t="shared" si="153"/>
        <v>453</v>
      </c>
      <c r="J1098" s="9">
        <v>33</v>
      </c>
      <c r="K1098" s="10">
        <f t="shared" si="154"/>
        <v>6.8750000000000006E-2</v>
      </c>
      <c r="L1098" s="17">
        <v>90</v>
      </c>
      <c r="M1098" s="17">
        <v>30800</v>
      </c>
      <c r="N1098" s="17">
        <f t="shared" si="155"/>
        <v>40770</v>
      </c>
      <c r="O1098" s="17">
        <f t="shared" si="156"/>
        <v>9970</v>
      </c>
      <c r="P1098" s="10">
        <f t="shared" si="157"/>
        <v>0.95510204081632655</v>
      </c>
      <c r="Q1098" s="10">
        <f t="shared" si="158"/>
        <v>3.2051282051282048E-2</v>
      </c>
      <c r="R1098" s="10">
        <f t="shared" si="159"/>
        <v>0.24454255580083395</v>
      </c>
      <c r="S1098" s="18">
        <f t="shared" si="160"/>
        <v>67.99116997792494</v>
      </c>
      <c r="T1098" s="8">
        <f>480-ProductionData[[#This Row],[Downtime Minutes]]</f>
        <v>447</v>
      </c>
      <c r="U1098" s="11">
        <f t="shared" si="161"/>
        <v>1.0469798657718121</v>
      </c>
      <c r="V1098" s="18">
        <f>ProductionData[[#This Row],[Profit]]/ProductionData[[#This Row],[Good Units]]</f>
        <v>22.008830022075056</v>
      </c>
      <c r="W1098" s="11">
        <f>ProductionData[[#This Row],[Good Units]]/ProductionData[[#This Row],[Operating Minutes]]</f>
        <v>1.0134228187919463</v>
      </c>
    </row>
    <row r="1099" spans="1:23">
      <c r="A1099" s="7">
        <v>46325</v>
      </c>
      <c r="B1099" s="8" t="s">
        <v>31</v>
      </c>
      <c r="C1099" s="8" t="s">
        <v>28</v>
      </c>
      <c r="D1099" s="8" t="s">
        <v>25</v>
      </c>
      <c r="E1099" s="8" t="s">
        <v>22</v>
      </c>
      <c r="F1099" s="9">
        <v>460</v>
      </c>
      <c r="G1099" s="9">
        <v>416</v>
      </c>
      <c r="H1099" s="9">
        <v>23</v>
      </c>
      <c r="I1099" s="9">
        <f t="shared" si="153"/>
        <v>393</v>
      </c>
      <c r="J1099" s="9">
        <v>44</v>
      </c>
      <c r="K1099" s="10">
        <f t="shared" si="154"/>
        <v>9.166666666666666E-2</v>
      </c>
      <c r="L1099" s="17">
        <v>100</v>
      </c>
      <c r="M1099" s="17">
        <v>30800</v>
      </c>
      <c r="N1099" s="17">
        <f t="shared" si="155"/>
        <v>39300</v>
      </c>
      <c r="O1099" s="17">
        <f t="shared" si="156"/>
        <v>8500</v>
      </c>
      <c r="P1099" s="10">
        <f t="shared" si="157"/>
        <v>0.90434782608695652</v>
      </c>
      <c r="Q1099" s="10">
        <f t="shared" si="158"/>
        <v>5.5288461538461536E-2</v>
      </c>
      <c r="R1099" s="10">
        <f t="shared" si="159"/>
        <v>0.21628498727735368</v>
      </c>
      <c r="S1099" s="18">
        <f t="shared" si="160"/>
        <v>78.371501272264638</v>
      </c>
      <c r="T1099" s="8">
        <f>480-ProductionData[[#This Row],[Downtime Minutes]]</f>
        <v>436</v>
      </c>
      <c r="U1099" s="11">
        <f t="shared" si="161"/>
        <v>0.95412844036697253</v>
      </c>
      <c r="V1099" s="18">
        <f>ProductionData[[#This Row],[Profit]]/ProductionData[[#This Row],[Good Units]]</f>
        <v>21.628498727735369</v>
      </c>
      <c r="W1099" s="11">
        <f>ProductionData[[#This Row],[Good Units]]/ProductionData[[#This Row],[Operating Minutes]]</f>
        <v>0.90137614678899081</v>
      </c>
    </row>
    <row r="1100" spans="1:23">
      <c r="A1100" s="7">
        <v>46326</v>
      </c>
      <c r="B1100" s="8" t="s">
        <v>31</v>
      </c>
      <c r="C1100" s="8" t="s">
        <v>20</v>
      </c>
      <c r="D1100" s="8" t="s">
        <v>21</v>
      </c>
      <c r="E1100" s="8" t="s">
        <v>22</v>
      </c>
      <c r="F1100" s="9">
        <v>450</v>
      </c>
      <c r="G1100" s="9">
        <v>432</v>
      </c>
      <c r="H1100" s="9">
        <v>21</v>
      </c>
      <c r="I1100" s="9">
        <f t="shared" si="153"/>
        <v>411</v>
      </c>
      <c r="J1100" s="9">
        <v>43</v>
      </c>
      <c r="K1100" s="10">
        <f t="shared" si="154"/>
        <v>8.9583333333333334E-2</v>
      </c>
      <c r="L1100" s="17">
        <v>100</v>
      </c>
      <c r="M1100" s="17">
        <v>30800</v>
      </c>
      <c r="N1100" s="17">
        <f t="shared" si="155"/>
        <v>41100</v>
      </c>
      <c r="O1100" s="17">
        <f t="shared" si="156"/>
        <v>10300</v>
      </c>
      <c r="P1100" s="10">
        <f t="shared" si="157"/>
        <v>0.96</v>
      </c>
      <c r="Q1100" s="10">
        <f t="shared" si="158"/>
        <v>4.8611111111111112E-2</v>
      </c>
      <c r="R1100" s="10">
        <f t="shared" si="159"/>
        <v>0.25060827250608275</v>
      </c>
      <c r="S1100" s="18">
        <f t="shared" si="160"/>
        <v>74.93917274939173</v>
      </c>
      <c r="T1100" s="8">
        <f>480-ProductionData[[#This Row],[Downtime Minutes]]</f>
        <v>437</v>
      </c>
      <c r="U1100" s="11">
        <f t="shared" si="161"/>
        <v>0.98855835240274603</v>
      </c>
      <c r="V1100" s="18">
        <f>ProductionData[[#This Row],[Profit]]/ProductionData[[#This Row],[Good Units]]</f>
        <v>25.060827250608273</v>
      </c>
      <c r="W1100" s="11">
        <f>ProductionData[[#This Row],[Good Units]]/ProductionData[[#This Row],[Operating Minutes]]</f>
        <v>0.94050343249427915</v>
      </c>
    </row>
    <row r="1101" spans="1:23">
      <c r="A1101" s="7">
        <v>46326</v>
      </c>
      <c r="B1101" s="8" t="s">
        <v>31</v>
      </c>
      <c r="C1101" s="8" t="s">
        <v>20</v>
      </c>
      <c r="D1101" s="8" t="s">
        <v>23</v>
      </c>
      <c r="E1101" s="8" t="s">
        <v>24</v>
      </c>
      <c r="F1101" s="9">
        <v>410</v>
      </c>
      <c r="G1101" s="9">
        <v>375</v>
      </c>
      <c r="H1101" s="9">
        <v>13</v>
      </c>
      <c r="I1101" s="9">
        <f t="shared" si="153"/>
        <v>362</v>
      </c>
      <c r="J1101" s="9">
        <v>48</v>
      </c>
      <c r="K1101" s="10">
        <f t="shared" si="154"/>
        <v>0.1</v>
      </c>
      <c r="L1101" s="17">
        <v>120</v>
      </c>
      <c r="M1101" s="17">
        <v>30800</v>
      </c>
      <c r="N1101" s="17">
        <f t="shared" si="155"/>
        <v>43440</v>
      </c>
      <c r="O1101" s="17">
        <f t="shared" si="156"/>
        <v>12640</v>
      </c>
      <c r="P1101" s="10">
        <f t="shared" si="157"/>
        <v>0.91463414634146345</v>
      </c>
      <c r="Q1101" s="10">
        <f t="shared" si="158"/>
        <v>3.4666666666666665E-2</v>
      </c>
      <c r="R1101" s="10">
        <f t="shared" si="159"/>
        <v>0.29097605893186002</v>
      </c>
      <c r="S1101" s="18">
        <f t="shared" si="160"/>
        <v>85.082872928176798</v>
      </c>
      <c r="T1101" s="8">
        <f>480-ProductionData[[#This Row],[Downtime Minutes]]</f>
        <v>432</v>
      </c>
      <c r="U1101" s="11">
        <f t="shared" si="161"/>
        <v>0.86805555555555558</v>
      </c>
      <c r="V1101" s="18">
        <f>ProductionData[[#This Row],[Profit]]/ProductionData[[#This Row],[Good Units]]</f>
        <v>34.917127071823202</v>
      </c>
      <c r="W1101" s="11">
        <f>ProductionData[[#This Row],[Good Units]]/ProductionData[[#This Row],[Operating Minutes]]</f>
        <v>0.83796296296296291</v>
      </c>
    </row>
    <row r="1102" spans="1:23">
      <c r="A1102" s="7">
        <v>46326</v>
      </c>
      <c r="B1102" s="8" t="s">
        <v>31</v>
      </c>
      <c r="C1102" s="8" t="s">
        <v>20</v>
      </c>
      <c r="D1102" s="8" t="s">
        <v>25</v>
      </c>
      <c r="E1102" s="8" t="s">
        <v>26</v>
      </c>
      <c r="F1102" s="9">
        <v>490</v>
      </c>
      <c r="G1102" s="9">
        <v>448</v>
      </c>
      <c r="H1102" s="9">
        <v>18</v>
      </c>
      <c r="I1102" s="9">
        <f t="shared" si="153"/>
        <v>430</v>
      </c>
      <c r="J1102" s="9">
        <v>26</v>
      </c>
      <c r="K1102" s="10">
        <f t="shared" si="154"/>
        <v>5.4166666666666669E-2</v>
      </c>
      <c r="L1102" s="17">
        <v>90</v>
      </c>
      <c r="M1102" s="17">
        <v>30800</v>
      </c>
      <c r="N1102" s="17">
        <f t="shared" si="155"/>
        <v>38700</v>
      </c>
      <c r="O1102" s="17">
        <f t="shared" si="156"/>
        <v>7900</v>
      </c>
      <c r="P1102" s="10">
        <f t="shared" si="157"/>
        <v>0.91428571428571426</v>
      </c>
      <c r="Q1102" s="10">
        <f t="shared" si="158"/>
        <v>4.0178571428571432E-2</v>
      </c>
      <c r="R1102" s="10">
        <f t="shared" si="159"/>
        <v>0.20413436692506459</v>
      </c>
      <c r="S1102" s="18">
        <f t="shared" si="160"/>
        <v>71.627906976744185</v>
      </c>
      <c r="T1102" s="8">
        <f>480-ProductionData[[#This Row],[Downtime Minutes]]</f>
        <v>454</v>
      </c>
      <c r="U1102" s="11">
        <f t="shared" si="161"/>
        <v>0.986784140969163</v>
      </c>
      <c r="V1102" s="18">
        <f>ProductionData[[#This Row],[Profit]]/ProductionData[[#This Row],[Good Units]]</f>
        <v>18.372093023255815</v>
      </c>
      <c r="W1102" s="11">
        <f>ProductionData[[#This Row],[Good Units]]/ProductionData[[#This Row],[Operating Minutes]]</f>
        <v>0.94713656387665202</v>
      </c>
    </row>
    <row r="1103" spans="1:23">
      <c r="A1103" s="7">
        <v>46326</v>
      </c>
      <c r="B1103" s="8" t="s">
        <v>31</v>
      </c>
      <c r="C1103" s="8" t="s">
        <v>27</v>
      </c>
      <c r="D1103" s="8" t="s">
        <v>21</v>
      </c>
      <c r="E1103" s="8" t="s">
        <v>24</v>
      </c>
      <c r="F1103" s="9">
        <v>410</v>
      </c>
      <c r="G1103" s="9">
        <v>361</v>
      </c>
      <c r="H1103" s="9">
        <v>16</v>
      </c>
      <c r="I1103" s="9">
        <f t="shared" si="153"/>
        <v>345</v>
      </c>
      <c r="J1103" s="9">
        <v>50</v>
      </c>
      <c r="K1103" s="10">
        <f t="shared" si="154"/>
        <v>0.10416666666666667</v>
      </c>
      <c r="L1103" s="17">
        <v>120</v>
      </c>
      <c r="M1103" s="17">
        <v>30800</v>
      </c>
      <c r="N1103" s="17">
        <f t="shared" si="155"/>
        <v>41400</v>
      </c>
      <c r="O1103" s="17">
        <f t="shared" si="156"/>
        <v>10600</v>
      </c>
      <c r="P1103" s="10">
        <f t="shared" si="157"/>
        <v>0.88048780487804879</v>
      </c>
      <c r="Q1103" s="10">
        <f t="shared" si="158"/>
        <v>4.4321329639889197E-2</v>
      </c>
      <c r="R1103" s="10">
        <f t="shared" si="159"/>
        <v>0.2560386473429952</v>
      </c>
      <c r="S1103" s="18">
        <f t="shared" si="160"/>
        <v>89.275362318840578</v>
      </c>
      <c r="T1103" s="8">
        <f>480-ProductionData[[#This Row],[Downtime Minutes]]</f>
        <v>430</v>
      </c>
      <c r="U1103" s="11">
        <f t="shared" si="161"/>
        <v>0.83953488372093021</v>
      </c>
      <c r="V1103" s="18">
        <f>ProductionData[[#This Row],[Profit]]/ProductionData[[#This Row],[Good Units]]</f>
        <v>30.724637681159422</v>
      </c>
      <c r="W1103" s="11">
        <f>ProductionData[[#This Row],[Good Units]]/ProductionData[[#This Row],[Operating Minutes]]</f>
        <v>0.80232558139534882</v>
      </c>
    </row>
    <row r="1104" spans="1:23">
      <c r="A1104" s="7">
        <v>46326</v>
      </c>
      <c r="B1104" s="8" t="s">
        <v>31</v>
      </c>
      <c r="C1104" s="8" t="s">
        <v>27</v>
      </c>
      <c r="D1104" s="8" t="s">
        <v>23</v>
      </c>
      <c r="E1104" s="8" t="s">
        <v>26</v>
      </c>
      <c r="F1104" s="9">
        <v>520</v>
      </c>
      <c r="G1104" s="9">
        <v>448</v>
      </c>
      <c r="H1104" s="9">
        <v>27</v>
      </c>
      <c r="I1104" s="9">
        <f t="shared" si="153"/>
        <v>421</v>
      </c>
      <c r="J1104" s="9">
        <v>41</v>
      </c>
      <c r="K1104" s="10">
        <f t="shared" si="154"/>
        <v>8.5416666666666669E-2</v>
      </c>
      <c r="L1104" s="17">
        <v>90</v>
      </c>
      <c r="M1104" s="17">
        <v>30800</v>
      </c>
      <c r="N1104" s="17">
        <f t="shared" si="155"/>
        <v>37890</v>
      </c>
      <c r="O1104" s="17">
        <f t="shared" si="156"/>
        <v>7090</v>
      </c>
      <c r="P1104" s="10">
        <f t="shared" si="157"/>
        <v>0.86153846153846159</v>
      </c>
      <c r="Q1104" s="10">
        <f t="shared" si="158"/>
        <v>6.0267857142857144E-2</v>
      </c>
      <c r="R1104" s="10">
        <f t="shared" si="159"/>
        <v>0.18712061229875956</v>
      </c>
      <c r="S1104" s="18">
        <f t="shared" si="160"/>
        <v>73.159144893111645</v>
      </c>
      <c r="T1104" s="8">
        <f>480-ProductionData[[#This Row],[Downtime Minutes]]</f>
        <v>439</v>
      </c>
      <c r="U1104" s="11">
        <f t="shared" si="161"/>
        <v>1.0205011389521641</v>
      </c>
      <c r="V1104" s="18">
        <f>ProductionData[[#This Row],[Profit]]/ProductionData[[#This Row],[Good Units]]</f>
        <v>16.840855106888363</v>
      </c>
      <c r="W1104" s="11">
        <f>ProductionData[[#This Row],[Good Units]]/ProductionData[[#This Row],[Operating Minutes]]</f>
        <v>0.95899772209567202</v>
      </c>
    </row>
    <row r="1105" spans="1:23">
      <c r="A1105" s="7">
        <v>46326</v>
      </c>
      <c r="B1105" s="8" t="s">
        <v>31</v>
      </c>
      <c r="C1105" s="8" t="s">
        <v>27</v>
      </c>
      <c r="D1105" s="8" t="s">
        <v>25</v>
      </c>
      <c r="E1105" s="8" t="s">
        <v>22</v>
      </c>
      <c r="F1105" s="9">
        <v>440</v>
      </c>
      <c r="G1105" s="9">
        <v>379</v>
      </c>
      <c r="H1105" s="9">
        <v>29</v>
      </c>
      <c r="I1105" s="9">
        <f t="shared" si="153"/>
        <v>350</v>
      </c>
      <c r="J1105" s="9">
        <v>62</v>
      </c>
      <c r="K1105" s="10">
        <f t="shared" si="154"/>
        <v>0.12916666666666668</v>
      </c>
      <c r="L1105" s="17">
        <v>100</v>
      </c>
      <c r="M1105" s="17">
        <v>30800</v>
      </c>
      <c r="N1105" s="17">
        <f t="shared" si="155"/>
        <v>35000</v>
      </c>
      <c r="O1105" s="17">
        <f t="shared" si="156"/>
        <v>4200</v>
      </c>
      <c r="P1105" s="10">
        <f t="shared" si="157"/>
        <v>0.86136363636363633</v>
      </c>
      <c r="Q1105" s="10">
        <f t="shared" si="158"/>
        <v>7.6517150395778361E-2</v>
      </c>
      <c r="R1105" s="10">
        <f t="shared" si="159"/>
        <v>0.12</v>
      </c>
      <c r="S1105" s="18">
        <f t="shared" si="160"/>
        <v>88</v>
      </c>
      <c r="T1105" s="8">
        <f>480-ProductionData[[#This Row],[Downtime Minutes]]</f>
        <v>418</v>
      </c>
      <c r="U1105" s="11">
        <f t="shared" si="161"/>
        <v>0.90669856459330145</v>
      </c>
      <c r="V1105" s="18">
        <f>ProductionData[[#This Row],[Profit]]/ProductionData[[#This Row],[Good Units]]</f>
        <v>12</v>
      </c>
      <c r="W1105" s="11">
        <f>ProductionData[[#This Row],[Good Units]]/ProductionData[[#This Row],[Operating Minutes]]</f>
        <v>0.83732057416267947</v>
      </c>
    </row>
    <row r="1106" spans="1:23">
      <c r="A1106" s="7">
        <v>46326</v>
      </c>
      <c r="B1106" s="8" t="s">
        <v>31</v>
      </c>
      <c r="C1106" s="8" t="s">
        <v>28</v>
      </c>
      <c r="D1106" s="8" t="s">
        <v>21</v>
      </c>
      <c r="E1106" s="8" t="s">
        <v>26</v>
      </c>
      <c r="F1106" s="9">
        <v>500</v>
      </c>
      <c r="G1106" s="9">
        <v>469</v>
      </c>
      <c r="H1106" s="9">
        <v>10</v>
      </c>
      <c r="I1106" s="9">
        <f t="shared" si="153"/>
        <v>459</v>
      </c>
      <c r="J1106" s="9">
        <v>26</v>
      </c>
      <c r="K1106" s="10">
        <f t="shared" si="154"/>
        <v>5.4166666666666669E-2</v>
      </c>
      <c r="L1106" s="17">
        <v>90</v>
      </c>
      <c r="M1106" s="17">
        <v>30800</v>
      </c>
      <c r="N1106" s="17">
        <f t="shared" si="155"/>
        <v>41310</v>
      </c>
      <c r="O1106" s="17">
        <f t="shared" si="156"/>
        <v>10510</v>
      </c>
      <c r="P1106" s="10">
        <f t="shared" si="157"/>
        <v>0.93799999999999994</v>
      </c>
      <c r="Q1106" s="10">
        <f t="shared" si="158"/>
        <v>2.1321961620469083E-2</v>
      </c>
      <c r="R1106" s="10">
        <f t="shared" si="159"/>
        <v>0.25441781650931977</v>
      </c>
      <c r="S1106" s="18">
        <f t="shared" si="160"/>
        <v>67.102396514161214</v>
      </c>
      <c r="T1106" s="8">
        <f>480-ProductionData[[#This Row],[Downtime Minutes]]</f>
        <v>454</v>
      </c>
      <c r="U1106" s="11">
        <f t="shared" si="161"/>
        <v>1.0330396475770924</v>
      </c>
      <c r="V1106" s="18">
        <f>ProductionData[[#This Row],[Profit]]/ProductionData[[#This Row],[Good Units]]</f>
        <v>22.897603485838779</v>
      </c>
      <c r="W1106" s="11">
        <f>ProductionData[[#This Row],[Good Units]]/ProductionData[[#This Row],[Operating Minutes]]</f>
        <v>1.0110132158590308</v>
      </c>
    </row>
    <row r="1107" spans="1:23">
      <c r="A1107" s="7">
        <v>46326</v>
      </c>
      <c r="B1107" s="8" t="s">
        <v>31</v>
      </c>
      <c r="C1107" s="8" t="s">
        <v>28</v>
      </c>
      <c r="D1107" s="8" t="s">
        <v>23</v>
      </c>
      <c r="E1107" s="8" t="s">
        <v>22</v>
      </c>
      <c r="F1107" s="9">
        <v>440</v>
      </c>
      <c r="G1107" s="9">
        <v>421</v>
      </c>
      <c r="H1107" s="9">
        <v>18</v>
      </c>
      <c r="I1107" s="9">
        <f t="shared" si="153"/>
        <v>403</v>
      </c>
      <c r="J1107" s="9">
        <v>38</v>
      </c>
      <c r="K1107" s="10">
        <f t="shared" si="154"/>
        <v>7.9166666666666663E-2</v>
      </c>
      <c r="L1107" s="17">
        <v>100</v>
      </c>
      <c r="M1107" s="17">
        <v>30800</v>
      </c>
      <c r="N1107" s="17">
        <f t="shared" si="155"/>
        <v>40300</v>
      </c>
      <c r="O1107" s="17">
        <f t="shared" si="156"/>
        <v>9500</v>
      </c>
      <c r="P1107" s="10">
        <f t="shared" si="157"/>
        <v>0.95681818181818179</v>
      </c>
      <c r="Q1107" s="10">
        <f t="shared" si="158"/>
        <v>4.2755344418052253E-2</v>
      </c>
      <c r="R1107" s="10">
        <f t="shared" si="159"/>
        <v>0.23573200992555832</v>
      </c>
      <c r="S1107" s="18">
        <f t="shared" si="160"/>
        <v>76.426799007444174</v>
      </c>
      <c r="T1107" s="8">
        <f>480-ProductionData[[#This Row],[Downtime Minutes]]</f>
        <v>442</v>
      </c>
      <c r="U1107" s="11">
        <f t="shared" si="161"/>
        <v>0.95248868778280538</v>
      </c>
      <c r="V1107" s="18">
        <f>ProductionData[[#This Row],[Profit]]/ProductionData[[#This Row],[Good Units]]</f>
        <v>23.573200992555833</v>
      </c>
      <c r="W1107" s="11">
        <f>ProductionData[[#This Row],[Good Units]]/ProductionData[[#This Row],[Operating Minutes]]</f>
        <v>0.91176470588235292</v>
      </c>
    </row>
    <row r="1108" spans="1:23">
      <c r="A1108" s="7">
        <v>46326</v>
      </c>
      <c r="B1108" s="8" t="s">
        <v>31</v>
      </c>
      <c r="C1108" s="8" t="s">
        <v>28</v>
      </c>
      <c r="D1108" s="8" t="s">
        <v>25</v>
      </c>
      <c r="E1108" s="8" t="s">
        <v>24</v>
      </c>
      <c r="F1108" s="9">
        <v>400</v>
      </c>
      <c r="G1108" s="9">
        <v>370</v>
      </c>
      <c r="H1108" s="9">
        <v>11</v>
      </c>
      <c r="I1108" s="9">
        <f t="shared" si="153"/>
        <v>359</v>
      </c>
      <c r="J1108" s="9">
        <v>35</v>
      </c>
      <c r="K1108" s="10">
        <f t="shared" si="154"/>
        <v>7.2916666666666671E-2</v>
      </c>
      <c r="L1108" s="17">
        <v>120</v>
      </c>
      <c r="M1108" s="17">
        <v>30800</v>
      </c>
      <c r="N1108" s="17">
        <f t="shared" si="155"/>
        <v>43080</v>
      </c>
      <c r="O1108" s="17">
        <f t="shared" si="156"/>
        <v>12280</v>
      </c>
      <c r="P1108" s="10">
        <f t="shared" si="157"/>
        <v>0.92500000000000004</v>
      </c>
      <c r="Q1108" s="10">
        <f t="shared" si="158"/>
        <v>2.9729729729729731E-2</v>
      </c>
      <c r="R1108" s="10">
        <f t="shared" si="159"/>
        <v>0.2850510677808728</v>
      </c>
      <c r="S1108" s="18">
        <f t="shared" si="160"/>
        <v>85.793871866295262</v>
      </c>
      <c r="T1108" s="8">
        <f>480-ProductionData[[#This Row],[Downtime Minutes]]</f>
        <v>445</v>
      </c>
      <c r="U1108" s="11">
        <f t="shared" si="161"/>
        <v>0.8314606741573034</v>
      </c>
      <c r="V1108" s="18">
        <f>ProductionData[[#This Row],[Profit]]/ProductionData[[#This Row],[Good Units]]</f>
        <v>34.206128133704738</v>
      </c>
      <c r="W1108" s="11">
        <f>ProductionData[[#This Row],[Good Units]]/ProductionData[[#This Row],[Operating Minutes]]</f>
        <v>0.80674157303370786</v>
      </c>
    </row>
    <row r="1109" spans="1:23">
      <c r="A1109" s="7">
        <v>46327</v>
      </c>
      <c r="B1109" s="8" t="s">
        <v>32</v>
      </c>
      <c r="C1109" s="8" t="s">
        <v>20</v>
      </c>
      <c r="D1109" s="8" t="s">
        <v>21</v>
      </c>
      <c r="E1109" s="8" t="s">
        <v>22</v>
      </c>
      <c r="F1109" s="9">
        <v>450</v>
      </c>
      <c r="G1109" s="9">
        <v>411</v>
      </c>
      <c r="H1109" s="9">
        <v>16</v>
      </c>
      <c r="I1109" s="9">
        <f t="shared" si="153"/>
        <v>395</v>
      </c>
      <c r="J1109" s="9">
        <v>36</v>
      </c>
      <c r="K1109" s="10">
        <f t="shared" si="154"/>
        <v>7.4999999999999997E-2</v>
      </c>
      <c r="L1109" s="17">
        <v>100</v>
      </c>
      <c r="M1109" s="17">
        <v>30800</v>
      </c>
      <c r="N1109" s="17">
        <f t="shared" si="155"/>
        <v>39500</v>
      </c>
      <c r="O1109" s="17">
        <f t="shared" si="156"/>
        <v>8700</v>
      </c>
      <c r="P1109" s="10">
        <f t="shared" si="157"/>
        <v>0.91333333333333333</v>
      </c>
      <c r="Q1109" s="10">
        <f t="shared" si="158"/>
        <v>3.8929440389294405E-2</v>
      </c>
      <c r="R1109" s="10">
        <f t="shared" si="159"/>
        <v>0.22025316455696203</v>
      </c>
      <c r="S1109" s="18">
        <f t="shared" si="160"/>
        <v>77.974683544303801</v>
      </c>
      <c r="T1109" s="8">
        <f>480-ProductionData[[#This Row],[Downtime Minutes]]</f>
        <v>444</v>
      </c>
      <c r="U1109" s="11">
        <f t="shared" si="161"/>
        <v>0.92567567567567566</v>
      </c>
      <c r="V1109" s="18">
        <f>ProductionData[[#This Row],[Profit]]/ProductionData[[#This Row],[Good Units]]</f>
        <v>22.025316455696203</v>
      </c>
      <c r="W1109" s="11">
        <f>ProductionData[[#This Row],[Good Units]]/ProductionData[[#This Row],[Operating Minutes]]</f>
        <v>0.88963963963963966</v>
      </c>
    </row>
    <row r="1110" spans="1:23">
      <c r="A1110" s="7">
        <v>46327</v>
      </c>
      <c r="B1110" s="8" t="s">
        <v>32</v>
      </c>
      <c r="C1110" s="8" t="s">
        <v>20</v>
      </c>
      <c r="D1110" s="8" t="s">
        <v>23</v>
      </c>
      <c r="E1110" s="8" t="s">
        <v>24</v>
      </c>
      <c r="F1110" s="9">
        <v>410</v>
      </c>
      <c r="G1110" s="9">
        <v>390</v>
      </c>
      <c r="H1110" s="9">
        <v>11</v>
      </c>
      <c r="I1110" s="9">
        <f t="shared" si="153"/>
        <v>379</v>
      </c>
      <c r="J1110" s="9">
        <v>46</v>
      </c>
      <c r="K1110" s="10">
        <f t="shared" si="154"/>
        <v>9.583333333333334E-2</v>
      </c>
      <c r="L1110" s="17">
        <v>120</v>
      </c>
      <c r="M1110" s="17">
        <v>30800</v>
      </c>
      <c r="N1110" s="17">
        <f t="shared" si="155"/>
        <v>45480</v>
      </c>
      <c r="O1110" s="17">
        <f t="shared" si="156"/>
        <v>14680</v>
      </c>
      <c r="P1110" s="10">
        <f t="shared" si="157"/>
        <v>0.95121951219512191</v>
      </c>
      <c r="Q1110" s="10">
        <f t="shared" si="158"/>
        <v>2.8205128205128206E-2</v>
      </c>
      <c r="R1110" s="10">
        <f t="shared" si="159"/>
        <v>0.3227792436235708</v>
      </c>
      <c r="S1110" s="18">
        <f t="shared" si="160"/>
        <v>81.266490765171497</v>
      </c>
      <c r="T1110" s="8">
        <f>480-ProductionData[[#This Row],[Downtime Minutes]]</f>
        <v>434</v>
      </c>
      <c r="U1110" s="11">
        <f t="shared" si="161"/>
        <v>0.89861751152073732</v>
      </c>
      <c r="V1110" s="18">
        <f>ProductionData[[#This Row],[Profit]]/ProductionData[[#This Row],[Good Units]]</f>
        <v>38.733509234828496</v>
      </c>
      <c r="W1110" s="11">
        <f>ProductionData[[#This Row],[Good Units]]/ProductionData[[#This Row],[Operating Minutes]]</f>
        <v>0.87327188940092171</v>
      </c>
    </row>
    <row r="1111" spans="1:23">
      <c r="A1111" s="7">
        <v>46327</v>
      </c>
      <c r="B1111" s="8" t="s">
        <v>32</v>
      </c>
      <c r="C1111" s="8" t="s">
        <v>20</v>
      </c>
      <c r="D1111" s="8" t="s">
        <v>25</v>
      </c>
      <c r="E1111" s="8" t="s">
        <v>26</v>
      </c>
      <c r="F1111" s="9">
        <v>510</v>
      </c>
      <c r="G1111" s="9">
        <v>443</v>
      </c>
      <c r="H1111" s="9">
        <v>23</v>
      </c>
      <c r="I1111" s="9">
        <f t="shared" si="153"/>
        <v>420</v>
      </c>
      <c r="J1111" s="9">
        <v>40</v>
      </c>
      <c r="K1111" s="10">
        <f t="shared" si="154"/>
        <v>8.3333333333333329E-2</v>
      </c>
      <c r="L1111" s="17">
        <v>90</v>
      </c>
      <c r="M1111" s="17">
        <v>30800</v>
      </c>
      <c r="N1111" s="17">
        <f t="shared" si="155"/>
        <v>37800</v>
      </c>
      <c r="O1111" s="17">
        <f t="shared" si="156"/>
        <v>7000</v>
      </c>
      <c r="P1111" s="10">
        <f t="shared" si="157"/>
        <v>0.86862745098039218</v>
      </c>
      <c r="Q1111" s="10">
        <f t="shared" si="158"/>
        <v>5.1918735891647853E-2</v>
      </c>
      <c r="R1111" s="10">
        <f t="shared" si="159"/>
        <v>0.18518518518518517</v>
      </c>
      <c r="S1111" s="18">
        <f t="shared" si="160"/>
        <v>73.333333333333329</v>
      </c>
      <c r="T1111" s="8">
        <f>480-ProductionData[[#This Row],[Downtime Minutes]]</f>
        <v>440</v>
      </c>
      <c r="U1111" s="11">
        <f t="shared" si="161"/>
        <v>1.0068181818181818</v>
      </c>
      <c r="V1111" s="18">
        <f>ProductionData[[#This Row],[Profit]]/ProductionData[[#This Row],[Good Units]]</f>
        <v>16.666666666666668</v>
      </c>
      <c r="W1111" s="11">
        <f>ProductionData[[#This Row],[Good Units]]/ProductionData[[#This Row],[Operating Minutes]]</f>
        <v>0.95454545454545459</v>
      </c>
    </row>
    <row r="1112" spans="1:23">
      <c r="A1112" s="7">
        <v>46327</v>
      </c>
      <c r="B1112" s="8" t="s">
        <v>32</v>
      </c>
      <c r="C1112" s="8" t="s">
        <v>27</v>
      </c>
      <c r="D1112" s="8" t="s">
        <v>21</v>
      </c>
      <c r="E1112" s="8" t="s">
        <v>24</v>
      </c>
      <c r="F1112" s="9">
        <v>400</v>
      </c>
      <c r="G1112" s="9">
        <v>349</v>
      </c>
      <c r="H1112" s="9">
        <v>16</v>
      </c>
      <c r="I1112" s="9">
        <f t="shared" si="153"/>
        <v>333</v>
      </c>
      <c r="J1112" s="9">
        <v>43</v>
      </c>
      <c r="K1112" s="10">
        <f t="shared" si="154"/>
        <v>8.9583333333333334E-2</v>
      </c>
      <c r="L1112" s="17">
        <v>120</v>
      </c>
      <c r="M1112" s="17">
        <v>30800</v>
      </c>
      <c r="N1112" s="17">
        <f t="shared" si="155"/>
        <v>39960</v>
      </c>
      <c r="O1112" s="17">
        <f t="shared" si="156"/>
        <v>9160</v>
      </c>
      <c r="P1112" s="10">
        <f t="shared" si="157"/>
        <v>0.87250000000000005</v>
      </c>
      <c r="Q1112" s="10">
        <f t="shared" si="158"/>
        <v>4.5845272206303724E-2</v>
      </c>
      <c r="R1112" s="10">
        <f t="shared" si="159"/>
        <v>0.22922922922922923</v>
      </c>
      <c r="S1112" s="18">
        <f t="shared" si="160"/>
        <v>92.492492492492488</v>
      </c>
      <c r="T1112" s="8">
        <f>480-ProductionData[[#This Row],[Downtime Minutes]]</f>
        <v>437</v>
      </c>
      <c r="U1112" s="11">
        <f t="shared" si="161"/>
        <v>0.7986270022883295</v>
      </c>
      <c r="V1112" s="18">
        <f>ProductionData[[#This Row],[Profit]]/ProductionData[[#This Row],[Good Units]]</f>
        <v>27.507507507507508</v>
      </c>
      <c r="W1112" s="11">
        <f>ProductionData[[#This Row],[Good Units]]/ProductionData[[#This Row],[Operating Minutes]]</f>
        <v>0.76201372997711669</v>
      </c>
    </row>
    <row r="1113" spans="1:23">
      <c r="A1113" s="7">
        <v>46327</v>
      </c>
      <c r="B1113" s="8" t="s">
        <v>32</v>
      </c>
      <c r="C1113" s="8" t="s">
        <v>27</v>
      </c>
      <c r="D1113" s="8" t="s">
        <v>23</v>
      </c>
      <c r="E1113" s="8" t="s">
        <v>26</v>
      </c>
      <c r="F1113" s="9">
        <v>500</v>
      </c>
      <c r="G1113" s="9">
        <v>423</v>
      </c>
      <c r="H1113" s="9">
        <v>25</v>
      </c>
      <c r="I1113" s="9">
        <f t="shared" si="153"/>
        <v>398</v>
      </c>
      <c r="J1113" s="9">
        <v>50</v>
      </c>
      <c r="K1113" s="10">
        <f t="shared" si="154"/>
        <v>0.10416666666666667</v>
      </c>
      <c r="L1113" s="17">
        <v>90</v>
      </c>
      <c r="M1113" s="17">
        <v>30800</v>
      </c>
      <c r="N1113" s="17">
        <f t="shared" si="155"/>
        <v>35820</v>
      </c>
      <c r="O1113" s="17">
        <f t="shared" si="156"/>
        <v>5020</v>
      </c>
      <c r="P1113" s="10">
        <f t="shared" si="157"/>
        <v>0.84599999999999997</v>
      </c>
      <c r="Q1113" s="10">
        <f t="shared" si="158"/>
        <v>5.9101654846335699E-2</v>
      </c>
      <c r="R1113" s="10">
        <f t="shared" si="159"/>
        <v>0.14014517029592408</v>
      </c>
      <c r="S1113" s="18">
        <f t="shared" si="160"/>
        <v>77.386934673366838</v>
      </c>
      <c r="T1113" s="8">
        <f>480-ProductionData[[#This Row],[Downtime Minutes]]</f>
        <v>430</v>
      </c>
      <c r="U1113" s="11">
        <f t="shared" si="161"/>
        <v>0.98372093023255813</v>
      </c>
      <c r="V1113" s="18">
        <f>ProductionData[[#This Row],[Profit]]/ProductionData[[#This Row],[Good Units]]</f>
        <v>12.613065326633166</v>
      </c>
      <c r="W1113" s="11">
        <f>ProductionData[[#This Row],[Good Units]]/ProductionData[[#This Row],[Operating Minutes]]</f>
        <v>0.92558139534883721</v>
      </c>
    </row>
    <row r="1114" spans="1:23">
      <c r="A1114" s="7">
        <v>46327</v>
      </c>
      <c r="B1114" s="8" t="s">
        <v>32</v>
      </c>
      <c r="C1114" s="8" t="s">
        <v>27</v>
      </c>
      <c r="D1114" s="8" t="s">
        <v>25</v>
      </c>
      <c r="E1114" s="8" t="s">
        <v>22</v>
      </c>
      <c r="F1114" s="9">
        <v>450</v>
      </c>
      <c r="G1114" s="9">
        <v>392</v>
      </c>
      <c r="H1114" s="9">
        <v>30</v>
      </c>
      <c r="I1114" s="9">
        <f t="shared" si="153"/>
        <v>362</v>
      </c>
      <c r="J1114" s="9">
        <v>71</v>
      </c>
      <c r="K1114" s="10">
        <f t="shared" si="154"/>
        <v>0.14791666666666667</v>
      </c>
      <c r="L1114" s="17">
        <v>100</v>
      </c>
      <c r="M1114" s="17">
        <v>30800</v>
      </c>
      <c r="N1114" s="17">
        <f t="shared" si="155"/>
        <v>36200</v>
      </c>
      <c r="O1114" s="17">
        <f t="shared" si="156"/>
        <v>5400</v>
      </c>
      <c r="P1114" s="10">
        <f t="shared" si="157"/>
        <v>0.87111111111111106</v>
      </c>
      <c r="Q1114" s="10">
        <f t="shared" si="158"/>
        <v>7.6530612244897961E-2</v>
      </c>
      <c r="R1114" s="10">
        <f t="shared" si="159"/>
        <v>0.14917127071823205</v>
      </c>
      <c r="S1114" s="18">
        <f t="shared" si="160"/>
        <v>85.082872928176798</v>
      </c>
      <c r="T1114" s="8">
        <f>480-ProductionData[[#This Row],[Downtime Minutes]]</f>
        <v>409</v>
      </c>
      <c r="U1114" s="11">
        <f t="shared" si="161"/>
        <v>0.95843520782396086</v>
      </c>
      <c r="V1114" s="18">
        <f>ProductionData[[#This Row],[Profit]]/ProductionData[[#This Row],[Good Units]]</f>
        <v>14.917127071823204</v>
      </c>
      <c r="W1114" s="11">
        <f>ProductionData[[#This Row],[Good Units]]/ProductionData[[#This Row],[Operating Minutes]]</f>
        <v>0.88508557457212711</v>
      </c>
    </row>
    <row r="1115" spans="1:23">
      <c r="A1115" s="7">
        <v>46327</v>
      </c>
      <c r="B1115" s="8" t="s">
        <v>32</v>
      </c>
      <c r="C1115" s="8" t="s">
        <v>28</v>
      </c>
      <c r="D1115" s="8" t="s">
        <v>21</v>
      </c>
      <c r="E1115" s="8" t="s">
        <v>26</v>
      </c>
      <c r="F1115" s="9">
        <v>510</v>
      </c>
      <c r="G1115" s="9">
        <v>493</v>
      </c>
      <c r="H1115" s="9">
        <v>9</v>
      </c>
      <c r="I1115" s="9">
        <f t="shared" si="153"/>
        <v>484</v>
      </c>
      <c r="J1115" s="9">
        <v>8</v>
      </c>
      <c r="K1115" s="10">
        <f t="shared" si="154"/>
        <v>1.6666666666666666E-2</v>
      </c>
      <c r="L1115" s="17">
        <v>90</v>
      </c>
      <c r="M1115" s="17">
        <v>30800</v>
      </c>
      <c r="N1115" s="17">
        <f t="shared" si="155"/>
        <v>43560</v>
      </c>
      <c r="O1115" s="17">
        <f t="shared" si="156"/>
        <v>12760</v>
      </c>
      <c r="P1115" s="10">
        <f t="shared" si="157"/>
        <v>0.96666666666666667</v>
      </c>
      <c r="Q1115" s="10">
        <f t="shared" si="158"/>
        <v>1.8255578093306288E-2</v>
      </c>
      <c r="R1115" s="10">
        <f t="shared" si="159"/>
        <v>0.29292929292929293</v>
      </c>
      <c r="S1115" s="18">
        <f t="shared" si="160"/>
        <v>63.636363636363633</v>
      </c>
      <c r="T1115" s="8">
        <f>480-ProductionData[[#This Row],[Downtime Minutes]]</f>
        <v>472</v>
      </c>
      <c r="U1115" s="11">
        <f t="shared" si="161"/>
        <v>1.0444915254237288</v>
      </c>
      <c r="V1115" s="18">
        <f>ProductionData[[#This Row],[Profit]]/ProductionData[[#This Row],[Good Units]]</f>
        <v>26.363636363636363</v>
      </c>
      <c r="W1115" s="11">
        <f>ProductionData[[#This Row],[Good Units]]/ProductionData[[#This Row],[Operating Minutes]]</f>
        <v>1.0254237288135593</v>
      </c>
    </row>
    <row r="1116" spans="1:23">
      <c r="A1116" s="7">
        <v>46327</v>
      </c>
      <c r="B1116" s="8" t="s">
        <v>32</v>
      </c>
      <c r="C1116" s="8" t="s">
        <v>28</v>
      </c>
      <c r="D1116" s="8" t="s">
        <v>23</v>
      </c>
      <c r="E1116" s="8" t="s">
        <v>22</v>
      </c>
      <c r="F1116" s="9">
        <v>450</v>
      </c>
      <c r="G1116" s="9">
        <v>435</v>
      </c>
      <c r="H1116" s="9">
        <v>21</v>
      </c>
      <c r="I1116" s="9">
        <f t="shared" si="153"/>
        <v>414</v>
      </c>
      <c r="J1116" s="9">
        <v>29</v>
      </c>
      <c r="K1116" s="10">
        <f t="shared" si="154"/>
        <v>6.0416666666666667E-2</v>
      </c>
      <c r="L1116" s="17">
        <v>100</v>
      </c>
      <c r="M1116" s="17">
        <v>30800</v>
      </c>
      <c r="N1116" s="17">
        <f t="shared" si="155"/>
        <v>41400</v>
      </c>
      <c r="O1116" s="17">
        <f t="shared" si="156"/>
        <v>10600</v>
      </c>
      <c r="P1116" s="10">
        <f t="shared" si="157"/>
        <v>0.96666666666666667</v>
      </c>
      <c r="Q1116" s="10">
        <f t="shared" si="158"/>
        <v>4.8275862068965517E-2</v>
      </c>
      <c r="R1116" s="10">
        <f t="shared" si="159"/>
        <v>0.2560386473429952</v>
      </c>
      <c r="S1116" s="18">
        <f t="shared" si="160"/>
        <v>74.39613526570048</v>
      </c>
      <c r="T1116" s="8">
        <f>480-ProductionData[[#This Row],[Downtime Minutes]]</f>
        <v>451</v>
      </c>
      <c r="U1116" s="11">
        <f t="shared" si="161"/>
        <v>0.96452328159645229</v>
      </c>
      <c r="V1116" s="18">
        <f>ProductionData[[#This Row],[Profit]]/ProductionData[[#This Row],[Good Units]]</f>
        <v>25.603864734299517</v>
      </c>
      <c r="W1116" s="11">
        <f>ProductionData[[#This Row],[Good Units]]/ProductionData[[#This Row],[Operating Minutes]]</f>
        <v>0.91796008869179602</v>
      </c>
    </row>
    <row r="1117" spans="1:23">
      <c r="A1117" s="7">
        <v>46327</v>
      </c>
      <c r="B1117" s="8" t="s">
        <v>32</v>
      </c>
      <c r="C1117" s="8" t="s">
        <v>28</v>
      </c>
      <c r="D1117" s="8" t="s">
        <v>25</v>
      </c>
      <c r="E1117" s="8" t="s">
        <v>24</v>
      </c>
      <c r="F1117" s="9">
        <v>400</v>
      </c>
      <c r="G1117" s="9">
        <v>377</v>
      </c>
      <c r="H1117" s="9">
        <v>10</v>
      </c>
      <c r="I1117" s="9">
        <f t="shared" si="153"/>
        <v>367</v>
      </c>
      <c r="J1117" s="9">
        <v>35</v>
      </c>
      <c r="K1117" s="10">
        <f t="shared" si="154"/>
        <v>7.2916666666666671E-2</v>
      </c>
      <c r="L1117" s="17">
        <v>120</v>
      </c>
      <c r="M1117" s="17">
        <v>30800</v>
      </c>
      <c r="N1117" s="17">
        <f t="shared" si="155"/>
        <v>44040</v>
      </c>
      <c r="O1117" s="17">
        <f t="shared" si="156"/>
        <v>13240</v>
      </c>
      <c r="P1117" s="10">
        <f t="shared" si="157"/>
        <v>0.9425</v>
      </c>
      <c r="Q1117" s="10">
        <f t="shared" si="158"/>
        <v>2.6525198938992044E-2</v>
      </c>
      <c r="R1117" s="10">
        <f t="shared" si="159"/>
        <v>0.30063578564940963</v>
      </c>
      <c r="S1117" s="18">
        <f t="shared" si="160"/>
        <v>83.923705722070849</v>
      </c>
      <c r="T1117" s="8">
        <f>480-ProductionData[[#This Row],[Downtime Minutes]]</f>
        <v>445</v>
      </c>
      <c r="U1117" s="11">
        <f t="shared" si="161"/>
        <v>0.84719101123595508</v>
      </c>
      <c r="V1117" s="18">
        <f>ProductionData[[#This Row],[Profit]]/ProductionData[[#This Row],[Good Units]]</f>
        <v>36.076294277929158</v>
      </c>
      <c r="W1117" s="11">
        <f>ProductionData[[#This Row],[Good Units]]/ProductionData[[#This Row],[Operating Minutes]]</f>
        <v>0.82471910112359548</v>
      </c>
    </row>
    <row r="1118" spans="1:23">
      <c r="A1118" s="7">
        <v>46328</v>
      </c>
      <c r="B1118" s="8" t="s">
        <v>32</v>
      </c>
      <c r="C1118" s="8" t="s">
        <v>20</v>
      </c>
      <c r="D1118" s="8" t="s">
        <v>21</v>
      </c>
      <c r="E1118" s="8" t="s">
        <v>24</v>
      </c>
      <c r="F1118" s="9">
        <v>410</v>
      </c>
      <c r="G1118" s="9">
        <v>394</v>
      </c>
      <c r="H1118" s="9">
        <v>9</v>
      </c>
      <c r="I1118" s="9">
        <f t="shared" si="153"/>
        <v>385</v>
      </c>
      <c r="J1118" s="9">
        <v>32</v>
      </c>
      <c r="K1118" s="10">
        <f t="shared" si="154"/>
        <v>6.6666666666666666E-2</v>
      </c>
      <c r="L1118" s="17">
        <v>120</v>
      </c>
      <c r="M1118" s="17">
        <v>30800</v>
      </c>
      <c r="N1118" s="17">
        <f t="shared" si="155"/>
        <v>46200</v>
      </c>
      <c r="O1118" s="17">
        <f t="shared" si="156"/>
        <v>15400</v>
      </c>
      <c r="P1118" s="10">
        <f t="shared" si="157"/>
        <v>0.96097560975609753</v>
      </c>
      <c r="Q1118" s="10">
        <f t="shared" si="158"/>
        <v>2.2842639593908629E-2</v>
      </c>
      <c r="R1118" s="10">
        <f t="shared" si="159"/>
        <v>0.33333333333333331</v>
      </c>
      <c r="S1118" s="18">
        <f t="shared" si="160"/>
        <v>80</v>
      </c>
      <c r="T1118" s="8">
        <f>480-ProductionData[[#This Row],[Downtime Minutes]]</f>
        <v>448</v>
      </c>
      <c r="U1118" s="11">
        <f t="shared" si="161"/>
        <v>0.8794642857142857</v>
      </c>
      <c r="V1118" s="18">
        <f>ProductionData[[#This Row],[Profit]]/ProductionData[[#This Row],[Good Units]]</f>
        <v>40</v>
      </c>
      <c r="W1118" s="11">
        <f>ProductionData[[#This Row],[Good Units]]/ProductionData[[#This Row],[Operating Minutes]]</f>
        <v>0.859375</v>
      </c>
    </row>
    <row r="1119" spans="1:23">
      <c r="A1119" s="7">
        <v>46328</v>
      </c>
      <c r="B1119" s="8" t="s">
        <v>32</v>
      </c>
      <c r="C1119" s="8" t="s">
        <v>20</v>
      </c>
      <c r="D1119" s="8" t="s">
        <v>23</v>
      </c>
      <c r="E1119" s="8" t="s">
        <v>26</v>
      </c>
      <c r="F1119" s="9">
        <v>520</v>
      </c>
      <c r="G1119" s="9">
        <v>489</v>
      </c>
      <c r="H1119" s="9">
        <v>16</v>
      </c>
      <c r="I1119" s="9">
        <f t="shared" si="153"/>
        <v>473</v>
      </c>
      <c r="J1119" s="9">
        <v>25</v>
      </c>
      <c r="K1119" s="10">
        <f t="shared" si="154"/>
        <v>5.2083333333333336E-2</v>
      </c>
      <c r="L1119" s="17">
        <v>90</v>
      </c>
      <c r="M1119" s="17">
        <v>30800</v>
      </c>
      <c r="N1119" s="17">
        <f t="shared" si="155"/>
        <v>42570</v>
      </c>
      <c r="O1119" s="17">
        <f t="shared" si="156"/>
        <v>11770</v>
      </c>
      <c r="P1119" s="10">
        <f t="shared" si="157"/>
        <v>0.94038461538461537</v>
      </c>
      <c r="Q1119" s="10">
        <f t="shared" si="158"/>
        <v>3.2719836400817999E-2</v>
      </c>
      <c r="R1119" s="10">
        <f t="shared" si="159"/>
        <v>0.27648578811369506</v>
      </c>
      <c r="S1119" s="18">
        <f t="shared" si="160"/>
        <v>65.116279069767444</v>
      </c>
      <c r="T1119" s="8">
        <f>480-ProductionData[[#This Row],[Downtime Minutes]]</f>
        <v>455</v>
      </c>
      <c r="U1119" s="11">
        <f t="shared" si="161"/>
        <v>1.0747252747252747</v>
      </c>
      <c r="V1119" s="18">
        <f>ProductionData[[#This Row],[Profit]]/ProductionData[[#This Row],[Good Units]]</f>
        <v>24.88372093023256</v>
      </c>
      <c r="W1119" s="11">
        <f>ProductionData[[#This Row],[Good Units]]/ProductionData[[#This Row],[Operating Minutes]]</f>
        <v>1.0395604395604396</v>
      </c>
    </row>
    <row r="1120" spans="1:23">
      <c r="A1120" s="7">
        <v>46328</v>
      </c>
      <c r="B1120" s="8" t="s">
        <v>32</v>
      </c>
      <c r="C1120" s="8" t="s">
        <v>20</v>
      </c>
      <c r="D1120" s="8" t="s">
        <v>25</v>
      </c>
      <c r="E1120" s="8" t="s">
        <v>22</v>
      </c>
      <c r="F1120" s="9">
        <v>440</v>
      </c>
      <c r="G1120" s="9">
        <v>404</v>
      </c>
      <c r="H1120" s="9">
        <v>24</v>
      </c>
      <c r="I1120" s="9">
        <f t="shared" si="153"/>
        <v>380</v>
      </c>
      <c r="J1120" s="9">
        <v>40</v>
      </c>
      <c r="K1120" s="10">
        <f t="shared" si="154"/>
        <v>8.3333333333333329E-2</v>
      </c>
      <c r="L1120" s="17">
        <v>100</v>
      </c>
      <c r="M1120" s="17">
        <v>30800</v>
      </c>
      <c r="N1120" s="17">
        <f t="shared" si="155"/>
        <v>38000</v>
      </c>
      <c r="O1120" s="17">
        <f t="shared" si="156"/>
        <v>7200</v>
      </c>
      <c r="P1120" s="10">
        <f t="shared" si="157"/>
        <v>0.91818181818181821</v>
      </c>
      <c r="Q1120" s="10">
        <f t="shared" si="158"/>
        <v>5.9405940594059403E-2</v>
      </c>
      <c r="R1120" s="10">
        <f t="shared" si="159"/>
        <v>0.18947368421052632</v>
      </c>
      <c r="S1120" s="18">
        <f t="shared" si="160"/>
        <v>81.05263157894737</v>
      </c>
      <c r="T1120" s="8">
        <f>480-ProductionData[[#This Row],[Downtime Minutes]]</f>
        <v>440</v>
      </c>
      <c r="U1120" s="11">
        <f t="shared" si="161"/>
        <v>0.91818181818181821</v>
      </c>
      <c r="V1120" s="18">
        <f>ProductionData[[#This Row],[Profit]]/ProductionData[[#This Row],[Good Units]]</f>
        <v>18.94736842105263</v>
      </c>
      <c r="W1120" s="11">
        <f>ProductionData[[#This Row],[Good Units]]/ProductionData[[#This Row],[Operating Minutes]]</f>
        <v>0.86363636363636365</v>
      </c>
    </row>
    <row r="1121" spans="1:23">
      <c r="A1121" s="7">
        <v>46328</v>
      </c>
      <c r="B1121" s="8" t="s">
        <v>32</v>
      </c>
      <c r="C1121" s="8" t="s">
        <v>27</v>
      </c>
      <c r="D1121" s="8" t="s">
        <v>21</v>
      </c>
      <c r="E1121" s="8" t="s">
        <v>26</v>
      </c>
      <c r="F1121" s="9">
        <v>510</v>
      </c>
      <c r="G1121" s="9">
        <v>449</v>
      </c>
      <c r="H1121" s="9">
        <v>24</v>
      </c>
      <c r="I1121" s="9">
        <f t="shared" si="153"/>
        <v>425</v>
      </c>
      <c r="J1121" s="9">
        <v>34</v>
      </c>
      <c r="K1121" s="10">
        <f t="shared" si="154"/>
        <v>7.0833333333333331E-2</v>
      </c>
      <c r="L1121" s="17">
        <v>90</v>
      </c>
      <c r="M1121" s="17">
        <v>30800</v>
      </c>
      <c r="N1121" s="17">
        <f t="shared" si="155"/>
        <v>38250</v>
      </c>
      <c r="O1121" s="17">
        <f t="shared" si="156"/>
        <v>7450</v>
      </c>
      <c r="P1121" s="10">
        <f t="shared" si="157"/>
        <v>0.88039215686274508</v>
      </c>
      <c r="Q1121" s="10">
        <f t="shared" si="158"/>
        <v>5.3452115812917596E-2</v>
      </c>
      <c r="R1121" s="10">
        <f t="shared" si="159"/>
        <v>0.19477124183006536</v>
      </c>
      <c r="S1121" s="18">
        <f t="shared" si="160"/>
        <v>72.470588235294116</v>
      </c>
      <c r="T1121" s="8">
        <f>480-ProductionData[[#This Row],[Downtime Minutes]]</f>
        <v>446</v>
      </c>
      <c r="U1121" s="11">
        <f t="shared" si="161"/>
        <v>1.006726457399103</v>
      </c>
      <c r="V1121" s="18">
        <f>ProductionData[[#This Row],[Profit]]/ProductionData[[#This Row],[Good Units]]</f>
        <v>17.529411764705884</v>
      </c>
      <c r="W1121" s="11">
        <f>ProductionData[[#This Row],[Good Units]]/ProductionData[[#This Row],[Operating Minutes]]</f>
        <v>0.952914798206278</v>
      </c>
    </row>
    <row r="1122" spans="1:23">
      <c r="A1122" s="7">
        <v>46328</v>
      </c>
      <c r="B1122" s="8" t="s">
        <v>32</v>
      </c>
      <c r="C1122" s="8" t="s">
        <v>27</v>
      </c>
      <c r="D1122" s="8" t="s">
        <v>23</v>
      </c>
      <c r="E1122" s="8" t="s">
        <v>22</v>
      </c>
      <c r="F1122" s="9">
        <v>460</v>
      </c>
      <c r="G1122" s="9">
        <v>414</v>
      </c>
      <c r="H1122" s="9">
        <v>29</v>
      </c>
      <c r="I1122" s="9">
        <f t="shared" si="153"/>
        <v>385</v>
      </c>
      <c r="J1122" s="9">
        <v>52</v>
      </c>
      <c r="K1122" s="10">
        <f t="shared" si="154"/>
        <v>0.10833333333333334</v>
      </c>
      <c r="L1122" s="17">
        <v>100</v>
      </c>
      <c r="M1122" s="17">
        <v>30800</v>
      </c>
      <c r="N1122" s="17">
        <f t="shared" si="155"/>
        <v>38500</v>
      </c>
      <c r="O1122" s="17">
        <f t="shared" si="156"/>
        <v>7700</v>
      </c>
      <c r="P1122" s="10">
        <f t="shared" si="157"/>
        <v>0.9</v>
      </c>
      <c r="Q1122" s="10">
        <f t="shared" si="158"/>
        <v>7.0048309178743967E-2</v>
      </c>
      <c r="R1122" s="10">
        <f t="shared" si="159"/>
        <v>0.2</v>
      </c>
      <c r="S1122" s="18">
        <f t="shared" si="160"/>
        <v>80</v>
      </c>
      <c r="T1122" s="8">
        <f>480-ProductionData[[#This Row],[Downtime Minutes]]</f>
        <v>428</v>
      </c>
      <c r="U1122" s="11">
        <f t="shared" si="161"/>
        <v>0.96728971962616828</v>
      </c>
      <c r="V1122" s="18">
        <f>ProductionData[[#This Row],[Profit]]/ProductionData[[#This Row],[Good Units]]</f>
        <v>20</v>
      </c>
      <c r="W1122" s="11">
        <f>ProductionData[[#This Row],[Good Units]]/ProductionData[[#This Row],[Operating Minutes]]</f>
        <v>0.89953271028037385</v>
      </c>
    </row>
    <row r="1123" spans="1:23">
      <c r="A1123" s="7">
        <v>46328</v>
      </c>
      <c r="B1123" s="8" t="s">
        <v>32</v>
      </c>
      <c r="C1123" s="8" t="s">
        <v>27</v>
      </c>
      <c r="D1123" s="8" t="s">
        <v>25</v>
      </c>
      <c r="E1123" s="8" t="s">
        <v>24</v>
      </c>
      <c r="F1123" s="9">
        <v>400</v>
      </c>
      <c r="G1123" s="9">
        <v>336</v>
      </c>
      <c r="H1123" s="9">
        <v>18</v>
      </c>
      <c r="I1123" s="9">
        <f t="shared" si="153"/>
        <v>318</v>
      </c>
      <c r="J1123" s="9">
        <v>67</v>
      </c>
      <c r="K1123" s="10">
        <f t="shared" si="154"/>
        <v>0.13958333333333334</v>
      </c>
      <c r="L1123" s="17">
        <v>120</v>
      </c>
      <c r="M1123" s="17">
        <v>30800</v>
      </c>
      <c r="N1123" s="17">
        <f t="shared" si="155"/>
        <v>38160</v>
      </c>
      <c r="O1123" s="17">
        <f t="shared" si="156"/>
        <v>7360</v>
      </c>
      <c r="P1123" s="10">
        <f t="shared" si="157"/>
        <v>0.84</v>
      </c>
      <c r="Q1123" s="10">
        <f t="shared" si="158"/>
        <v>5.3571428571428568E-2</v>
      </c>
      <c r="R1123" s="10">
        <f t="shared" si="159"/>
        <v>0.19287211740041929</v>
      </c>
      <c r="S1123" s="18">
        <f t="shared" si="160"/>
        <v>96.855345911949684</v>
      </c>
      <c r="T1123" s="8">
        <f>480-ProductionData[[#This Row],[Downtime Minutes]]</f>
        <v>413</v>
      </c>
      <c r="U1123" s="11">
        <f t="shared" si="161"/>
        <v>0.81355932203389836</v>
      </c>
      <c r="V1123" s="18">
        <f>ProductionData[[#This Row],[Profit]]/ProductionData[[#This Row],[Good Units]]</f>
        <v>23.144654088050313</v>
      </c>
      <c r="W1123" s="11">
        <f>ProductionData[[#This Row],[Good Units]]/ProductionData[[#This Row],[Operating Minutes]]</f>
        <v>0.76997578692493951</v>
      </c>
    </row>
    <row r="1124" spans="1:23">
      <c r="A1124" s="7">
        <v>46328</v>
      </c>
      <c r="B1124" s="8" t="s">
        <v>32</v>
      </c>
      <c r="C1124" s="8" t="s">
        <v>28</v>
      </c>
      <c r="D1124" s="8" t="s">
        <v>21</v>
      </c>
      <c r="E1124" s="8" t="s">
        <v>22</v>
      </c>
      <c r="F1124" s="9">
        <v>460</v>
      </c>
      <c r="G1124" s="9">
        <v>427</v>
      </c>
      <c r="H1124" s="9">
        <v>15</v>
      </c>
      <c r="I1124" s="9">
        <f t="shared" si="153"/>
        <v>412</v>
      </c>
      <c r="J1124" s="9">
        <v>35</v>
      </c>
      <c r="K1124" s="10">
        <f t="shared" si="154"/>
        <v>7.2916666666666671E-2</v>
      </c>
      <c r="L1124" s="17">
        <v>100</v>
      </c>
      <c r="M1124" s="17">
        <v>30800</v>
      </c>
      <c r="N1124" s="17">
        <f t="shared" si="155"/>
        <v>41200</v>
      </c>
      <c r="O1124" s="17">
        <f t="shared" si="156"/>
        <v>10400</v>
      </c>
      <c r="P1124" s="10">
        <f t="shared" si="157"/>
        <v>0.92826086956521736</v>
      </c>
      <c r="Q1124" s="10">
        <f t="shared" si="158"/>
        <v>3.5128805620608897E-2</v>
      </c>
      <c r="R1124" s="10">
        <f t="shared" si="159"/>
        <v>0.25242718446601942</v>
      </c>
      <c r="S1124" s="18">
        <f t="shared" si="160"/>
        <v>74.757281553398059</v>
      </c>
      <c r="T1124" s="8">
        <f>480-ProductionData[[#This Row],[Downtime Minutes]]</f>
        <v>445</v>
      </c>
      <c r="U1124" s="11">
        <f t="shared" si="161"/>
        <v>0.95955056179775278</v>
      </c>
      <c r="V1124" s="18">
        <f>ProductionData[[#This Row],[Profit]]/ProductionData[[#This Row],[Good Units]]</f>
        <v>25.242718446601941</v>
      </c>
      <c r="W1124" s="11">
        <f>ProductionData[[#This Row],[Good Units]]/ProductionData[[#This Row],[Operating Minutes]]</f>
        <v>0.92584269662921348</v>
      </c>
    </row>
    <row r="1125" spans="1:23">
      <c r="A1125" s="7">
        <v>46328</v>
      </c>
      <c r="B1125" s="8" t="s">
        <v>32</v>
      </c>
      <c r="C1125" s="8" t="s">
        <v>28</v>
      </c>
      <c r="D1125" s="8" t="s">
        <v>23</v>
      </c>
      <c r="E1125" s="8" t="s">
        <v>24</v>
      </c>
      <c r="F1125" s="9">
        <v>410</v>
      </c>
      <c r="G1125" s="9">
        <v>377</v>
      </c>
      <c r="H1125" s="9">
        <v>8</v>
      </c>
      <c r="I1125" s="9">
        <f t="shared" si="153"/>
        <v>369</v>
      </c>
      <c r="J1125" s="9">
        <v>31</v>
      </c>
      <c r="K1125" s="10">
        <f t="shared" si="154"/>
        <v>6.458333333333334E-2</v>
      </c>
      <c r="L1125" s="17">
        <v>120</v>
      </c>
      <c r="M1125" s="17">
        <v>30800</v>
      </c>
      <c r="N1125" s="17">
        <f t="shared" si="155"/>
        <v>44280</v>
      </c>
      <c r="O1125" s="17">
        <f t="shared" si="156"/>
        <v>13480</v>
      </c>
      <c r="P1125" s="10">
        <f t="shared" si="157"/>
        <v>0.91951219512195126</v>
      </c>
      <c r="Q1125" s="10">
        <f t="shared" si="158"/>
        <v>2.1220159151193633E-2</v>
      </c>
      <c r="R1125" s="10">
        <f t="shared" si="159"/>
        <v>0.30442637759710928</v>
      </c>
      <c r="S1125" s="18">
        <f t="shared" si="160"/>
        <v>83.468834688346888</v>
      </c>
      <c r="T1125" s="8">
        <f>480-ProductionData[[#This Row],[Downtime Minutes]]</f>
        <v>449</v>
      </c>
      <c r="U1125" s="11">
        <f t="shared" si="161"/>
        <v>0.83964365256124718</v>
      </c>
      <c r="V1125" s="18">
        <f>ProductionData[[#This Row],[Profit]]/ProductionData[[#This Row],[Good Units]]</f>
        <v>36.531165311653119</v>
      </c>
      <c r="W1125" s="11">
        <f>ProductionData[[#This Row],[Good Units]]/ProductionData[[#This Row],[Operating Minutes]]</f>
        <v>0.82182628062360796</v>
      </c>
    </row>
    <row r="1126" spans="1:23">
      <c r="A1126" s="7">
        <v>46328</v>
      </c>
      <c r="B1126" s="8" t="s">
        <v>32</v>
      </c>
      <c r="C1126" s="8" t="s">
        <v>28</v>
      </c>
      <c r="D1126" s="8" t="s">
        <v>25</v>
      </c>
      <c r="E1126" s="8" t="s">
        <v>26</v>
      </c>
      <c r="F1126" s="9">
        <v>490</v>
      </c>
      <c r="G1126" s="9">
        <v>448</v>
      </c>
      <c r="H1126" s="9">
        <v>17</v>
      </c>
      <c r="I1126" s="9">
        <f t="shared" si="153"/>
        <v>431</v>
      </c>
      <c r="J1126" s="9">
        <v>34</v>
      </c>
      <c r="K1126" s="10">
        <f t="shared" si="154"/>
        <v>7.0833333333333331E-2</v>
      </c>
      <c r="L1126" s="17">
        <v>90</v>
      </c>
      <c r="M1126" s="17">
        <v>30800</v>
      </c>
      <c r="N1126" s="17">
        <f t="shared" si="155"/>
        <v>38790</v>
      </c>
      <c r="O1126" s="17">
        <f t="shared" si="156"/>
        <v>7990</v>
      </c>
      <c r="P1126" s="10">
        <f t="shared" si="157"/>
        <v>0.91428571428571426</v>
      </c>
      <c r="Q1126" s="10">
        <f t="shared" si="158"/>
        <v>3.7946428571428568E-2</v>
      </c>
      <c r="R1126" s="10">
        <f t="shared" si="159"/>
        <v>0.20598092291827791</v>
      </c>
      <c r="S1126" s="18">
        <f t="shared" si="160"/>
        <v>71.461716937354993</v>
      </c>
      <c r="T1126" s="8">
        <f>480-ProductionData[[#This Row],[Downtime Minutes]]</f>
        <v>446</v>
      </c>
      <c r="U1126" s="11">
        <f t="shared" si="161"/>
        <v>1.0044843049327354</v>
      </c>
      <c r="V1126" s="18">
        <f>ProductionData[[#This Row],[Profit]]/ProductionData[[#This Row],[Good Units]]</f>
        <v>18.538283062645011</v>
      </c>
      <c r="W1126" s="11">
        <f>ProductionData[[#This Row],[Good Units]]/ProductionData[[#This Row],[Operating Minutes]]</f>
        <v>0.96636771300448432</v>
      </c>
    </row>
    <row r="1127" spans="1:23">
      <c r="A1127" s="7">
        <v>46329</v>
      </c>
      <c r="B1127" s="8" t="s">
        <v>32</v>
      </c>
      <c r="C1127" s="8" t="s">
        <v>20</v>
      </c>
      <c r="D1127" s="8" t="s">
        <v>21</v>
      </c>
      <c r="E1127" s="8" t="s">
        <v>26</v>
      </c>
      <c r="F1127" s="9">
        <v>520</v>
      </c>
      <c r="G1127" s="9">
        <v>481</v>
      </c>
      <c r="H1127" s="9">
        <v>14</v>
      </c>
      <c r="I1127" s="9">
        <f t="shared" si="153"/>
        <v>467</v>
      </c>
      <c r="J1127" s="9">
        <v>37</v>
      </c>
      <c r="K1127" s="10">
        <f t="shared" si="154"/>
        <v>7.7083333333333337E-2</v>
      </c>
      <c r="L1127" s="17">
        <v>90</v>
      </c>
      <c r="M1127" s="17">
        <v>30800</v>
      </c>
      <c r="N1127" s="17">
        <f t="shared" si="155"/>
        <v>42030</v>
      </c>
      <c r="O1127" s="17">
        <f t="shared" si="156"/>
        <v>11230</v>
      </c>
      <c r="P1127" s="10">
        <f t="shared" si="157"/>
        <v>0.92500000000000004</v>
      </c>
      <c r="Q1127" s="10">
        <f t="shared" si="158"/>
        <v>2.9106029106029108E-2</v>
      </c>
      <c r="R1127" s="10">
        <f t="shared" si="159"/>
        <v>0.26719010230787532</v>
      </c>
      <c r="S1127" s="18">
        <f t="shared" si="160"/>
        <v>65.952890792291214</v>
      </c>
      <c r="T1127" s="8">
        <f>480-ProductionData[[#This Row],[Downtime Minutes]]</f>
        <v>443</v>
      </c>
      <c r="U1127" s="11">
        <f t="shared" si="161"/>
        <v>1.0857787810383748</v>
      </c>
      <c r="V1127" s="18">
        <f>ProductionData[[#This Row],[Profit]]/ProductionData[[#This Row],[Good Units]]</f>
        <v>24.047109207708779</v>
      </c>
      <c r="W1127" s="11">
        <f>ProductionData[[#This Row],[Good Units]]/ProductionData[[#This Row],[Operating Minutes]]</f>
        <v>1.0541760722347631</v>
      </c>
    </row>
    <row r="1128" spans="1:23">
      <c r="A1128" s="7">
        <v>46329</v>
      </c>
      <c r="B1128" s="8" t="s">
        <v>32</v>
      </c>
      <c r="C1128" s="8" t="s">
        <v>20</v>
      </c>
      <c r="D1128" s="8" t="s">
        <v>23</v>
      </c>
      <c r="E1128" s="8" t="s">
        <v>22</v>
      </c>
      <c r="F1128" s="9">
        <v>460</v>
      </c>
      <c r="G1128" s="9">
        <v>426</v>
      </c>
      <c r="H1128" s="9">
        <v>22</v>
      </c>
      <c r="I1128" s="9">
        <f t="shared" si="153"/>
        <v>404</v>
      </c>
      <c r="J1128" s="9">
        <v>34</v>
      </c>
      <c r="K1128" s="10">
        <f t="shared" si="154"/>
        <v>7.0833333333333331E-2</v>
      </c>
      <c r="L1128" s="17">
        <v>100</v>
      </c>
      <c r="M1128" s="17">
        <v>30800</v>
      </c>
      <c r="N1128" s="17">
        <f t="shared" si="155"/>
        <v>40400</v>
      </c>
      <c r="O1128" s="17">
        <f t="shared" si="156"/>
        <v>9600</v>
      </c>
      <c r="P1128" s="10">
        <f t="shared" si="157"/>
        <v>0.92608695652173911</v>
      </c>
      <c r="Q1128" s="10">
        <f t="shared" si="158"/>
        <v>5.1643192488262914E-2</v>
      </c>
      <c r="R1128" s="10">
        <f t="shared" si="159"/>
        <v>0.23762376237623761</v>
      </c>
      <c r="S1128" s="18">
        <f t="shared" si="160"/>
        <v>76.237623762376231</v>
      </c>
      <c r="T1128" s="8">
        <f>480-ProductionData[[#This Row],[Downtime Minutes]]</f>
        <v>446</v>
      </c>
      <c r="U1128" s="11">
        <f t="shared" si="161"/>
        <v>0.95515695067264572</v>
      </c>
      <c r="V1128" s="18">
        <f>ProductionData[[#This Row],[Profit]]/ProductionData[[#This Row],[Good Units]]</f>
        <v>23.762376237623762</v>
      </c>
      <c r="W1128" s="11">
        <f>ProductionData[[#This Row],[Good Units]]/ProductionData[[#This Row],[Operating Minutes]]</f>
        <v>0.905829596412556</v>
      </c>
    </row>
    <row r="1129" spans="1:23">
      <c r="A1129" s="7">
        <v>46329</v>
      </c>
      <c r="B1129" s="8" t="s">
        <v>32</v>
      </c>
      <c r="C1129" s="8" t="s">
        <v>20</v>
      </c>
      <c r="D1129" s="8" t="s">
        <v>25</v>
      </c>
      <c r="E1129" s="8" t="s">
        <v>24</v>
      </c>
      <c r="F1129" s="9">
        <v>410</v>
      </c>
      <c r="G1129" s="9">
        <v>358</v>
      </c>
      <c r="H1129" s="9">
        <v>16</v>
      </c>
      <c r="I1129" s="9">
        <f t="shared" si="153"/>
        <v>342</v>
      </c>
      <c r="J1129" s="9">
        <v>44</v>
      </c>
      <c r="K1129" s="10">
        <f t="shared" si="154"/>
        <v>9.166666666666666E-2</v>
      </c>
      <c r="L1129" s="17">
        <v>120</v>
      </c>
      <c r="M1129" s="17">
        <v>30800</v>
      </c>
      <c r="N1129" s="17">
        <f t="shared" si="155"/>
        <v>41040</v>
      </c>
      <c r="O1129" s="17">
        <f t="shared" si="156"/>
        <v>10240</v>
      </c>
      <c r="P1129" s="10">
        <f t="shared" si="157"/>
        <v>0.87317073170731707</v>
      </c>
      <c r="Q1129" s="10">
        <f t="shared" si="158"/>
        <v>4.4692737430167599E-2</v>
      </c>
      <c r="R1129" s="10">
        <f t="shared" si="159"/>
        <v>0.24951267056530213</v>
      </c>
      <c r="S1129" s="18">
        <f t="shared" si="160"/>
        <v>90.058479532163744</v>
      </c>
      <c r="T1129" s="8">
        <f>480-ProductionData[[#This Row],[Downtime Minutes]]</f>
        <v>436</v>
      </c>
      <c r="U1129" s="11">
        <f t="shared" si="161"/>
        <v>0.82110091743119262</v>
      </c>
      <c r="V1129" s="18">
        <f>ProductionData[[#This Row],[Profit]]/ProductionData[[#This Row],[Good Units]]</f>
        <v>29.941520467836256</v>
      </c>
      <c r="W1129" s="11">
        <f>ProductionData[[#This Row],[Good Units]]/ProductionData[[#This Row],[Operating Minutes]]</f>
        <v>0.7844036697247706</v>
      </c>
    </row>
    <row r="1130" spans="1:23">
      <c r="A1130" s="7">
        <v>46329</v>
      </c>
      <c r="B1130" s="8" t="s">
        <v>32</v>
      </c>
      <c r="C1130" s="8" t="s">
        <v>27</v>
      </c>
      <c r="D1130" s="8" t="s">
        <v>21</v>
      </c>
      <c r="E1130" s="8" t="s">
        <v>22</v>
      </c>
      <c r="F1130" s="9">
        <v>440</v>
      </c>
      <c r="G1130" s="9">
        <v>395</v>
      </c>
      <c r="H1130" s="9">
        <v>24</v>
      </c>
      <c r="I1130" s="9">
        <f t="shared" si="153"/>
        <v>371</v>
      </c>
      <c r="J1130" s="9">
        <v>61</v>
      </c>
      <c r="K1130" s="10">
        <f t="shared" si="154"/>
        <v>0.12708333333333333</v>
      </c>
      <c r="L1130" s="17">
        <v>100</v>
      </c>
      <c r="M1130" s="17">
        <v>30800</v>
      </c>
      <c r="N1130" s="17">
        <f t="shared" si="155"/>
        <v>37100</v>
      </c>
      <c r="O1130" s="17">
        <f t="shared" si="156"/>
        <v>6300</v>
      </c>
      <c r="P1130" s="10">
        <f t="shared" si="157"/>
        <v>0.89772727272727271</v>
      </c>
      <c r="Q1130" s="10">
        <f t="shared" si="158"/>
        <v>6.0759493670886074E-2</v>
      </c>
      <c r="R1130" s="10">
        <f t="shared" si="159"/>
        <v>0.16981132075471697</v>
      </c>
      <c r="S1130" s="18">
        <f t="shared" si="160"/>
        <v>83.018867924528308</v>
      </c>
      <c r="T1130" s="8">
        <f>480-ProductionData[[#This Row],[Downtime Minutes]]</f>
        <v>419</v>
      </c>
      <c r="U1130" s="11">
        <f t="shared" si="161"/>
        <v>0.94272076372315039</v>
      </c>
      <c r="V1130" s="18">
        <f>ProductionData[[#This Row],[Profit]]/ProductionData[[#This Row],[Good Units]]</f>
        <v>16.981132075471699</v>
      </c>
      <c r="W1130" s="11">
        <f>ProductionData[[#This Row],[Good Units]]/ProductionData[[#This Row],[Operating Minutes]]</f>
        <v>0.88544152744630067</v>
      </c>
    </row>
    <row r="1131" spans="1:23">
      <c r="A1131" s="7">
        <v>46329</v>
      </c>
      <c r="B1131" s="8" t="s">
        <v>32</v>
      </c>
      <c r="C1131" s="8" t="s">
        <v>27</v>
      </c>
      <c r="D1131" s="8" t="s">
        <v>23</v>
      </c>
      <c r="E1131" s="8" t="s">
        <v>24</v>
      </c>
      <c r="F1131" s="9">
        <v>390</v>
      </c>
      <c r="G1131" s="9">
        <v>332</v>
      </c>
      <c r="H1131" s="9">
        <v>15</v>
      </c>
      <c r="I1131" s="9">
        <f t="shared" si="153"/>
        <v>317</v>
      </c>
      <c r="J1131" s="9">
        <v>62</v>
      </c>
      <c r="K1131" s="10">
        <f t="shared" si="154"/>
        <v>0.12916666666666668</v>
      </c>
      <c r="L1131" s="17">
        <v>120</v>
      </c>
      <c r="M1131" s="17">
        <v>30800</v>
      </c>
      <c r="N1131" s="17">
        <f t="shared" si="155"/>
        <v>38040</v>
      </c>
      <c r="O1131" s="17">
        <f t="shared" si="156"/>
        <v>7240</v>
      </c>
      <c r="P1131" s="10">
        <f t="shared" si="157"/>
        <v>0.85128205128205126</v>
      </c>
      <c r="Q1131" s="10">
        <f t="shared" si="158"/>
        <v>4.5180722891566265E-2</v>
      </c>
      <c r="R1131" s="10">
        <f t="shared" si="159"/>
        <v>0.19032597266035753</v>
      </c>
      <c r="S1131" s="18">
        <f t="shared" si="160"/>
        <v>97.160883280757105</v>
      </c>
      <c r="T1131" s="8">
        <f>480-ProductionData[[#This Row],[Downtime Minutes]]</f>
        <v>418</v>
      </c>
      <c r="U1131" s="11">
        <f t="shared" si="161"/>
        <v>0.79425837320574166</v>
      </c>
      <c r="V1131" s="18">
        <f>ProductionData[[#This Row],[Profit]]/ProductionData[[#This Row],[Good Units]]</f>
        <v>22.839116719242902</v>
      </c>
      <c r="W1131" s="11">
        <f>ProductionData[[#This Row],[Good Units]]/ProductionData[[#This Row],[Operating Minutes]]</f>
        <v>0.75837320574162681</v>
      </c>
    </row>
    <row r="1132" spans="1:23">
      <c r="A1132" s="7">
        <v>46329</v>
      </c>
      <c r="B1132" s="8" t="s">
        <v>32</v>
      </c>
      <c r="C1132" s="8" t="s">
        <v>27</v>
      </c>
      <c r="D1132" s="8" t="s">
        <v>25</v>
      </c>
      <c r="E1132" s="8" t="s">
        <v>26</v>
      </c>
      <c r="F1132" s="9">
        <v>480</v>
      </c>
      <c r="G1132" s="9">
        <v>404</v>
      </c>
      <c r="H1132" s="9">
        <v>25</v>
      </c>
      <c r="I1132" s="9">
        <f t="shared" si="153"/>
        <v>379</v>
      </c>
      <c r="J1132" s="9">
        <v>44</v>
      </c>
      <c r="K1132" s="10">
        <f t="shared" si="154"/>
        <v>9.166666666666666E-2</v>
      </c>
      <c r="L1132" s="17">
        <v>90</v>
      </c>
      <c r="M1132" s="17">
        <v>30800</v>
      </c>
      <c r="N1132" s="17">
        <f t="shared" si="155"/>
        <v>34110</v>
      </c>
      <c r="O1132" s="17">
        <f t="shared" si="156"/>
        <v>3310</v>
      </c>
      <c r="P1132" s="10">
        <f t="shared" si="157"/>
        <v>0.84166666666666667</v>
      </c>
      <c r="Q1132" s="10">
        <f t="shared" si="158"/>
        <v>6.1881188118811881E-2</v>
      </c>
      <c r="R1132" s="10">
        <f t="shared" si="159"/>
        <v>9.7038991498094404E-2</v>
      </c>
      <c r="S1132" s="18">
        <f t="shared" si="160"/>
        <v>81.266490765171497</v>
      </c>
      <c r="T1132" s="8">
        <f>480-ProductionData[[#This Row],[Downtime Minutes]]</f>
        <v>436</v>
      </c>
      <c r="U1132" s="11">
        <f t="shared" si="161"/>
        <v>0.92660550458715596</v>
      </c>
      <c r="V1132" s="18">
        <f>ProductionData[[#This Row],[Profit]]/ProductionData[[#This Row],[Good Units]]</f>
        <v>8.7335092348284959</v>
      </c>
      <c r="W1132" s="11">
        <f>ProductionData[[#This Row],[Good Units]]/ProductionData[[#This Row],[Operating Minutes]]</f>
        <v>0.86926605504587151</v>
      </c>
    </row>
    <row r="1133" spans="1:23">
      <c r="A1133" s="7">
        <v>46329</v>
      </c>
      <c r="B1133" s="8" t="s">
        <v>32</v>
      </c>
      <c r="C1133" s="8" t="s">
        <v>28</v>
      </c>
      <c r="D1133" s="8" t="s">
        <v>21</v>
      </c>
      <c r="E1133" s="8" t="s">
        <v>24</v>
      </c>
      <c r="F1133" s="9">
        <v>410</v>
      </c>
      <c r="G1133" s="9">
        <v>384</v>
      </c>
      <c r="H1133" s="9">
        <v>9</v>
      </c>
      <c r="I1133" s="9">
        <f t="shared" si="153"/>
        <v>375</v>
      </c>
      <c r="J1133" s="9">
        <v>25</v>
      </c>
      <c r="K1133" s="10">
        <f t="shared" si="154"/>
        <v>5.2083333333333336E-2</v>
      </c>
      <c r="L1133" s="17">
        <v>120</v>
      </c>
      <c r="M1133" s="17">
        <v>30800</v>
      </c>
      <c r="N1133" s="17">
        <f t="shared" si="155"/>
        <v>45000</v>
      </c>
      <c r="O1133" s="17">
        <f t="shared" si="156"/>
        <v>14200</v>
      </c>
      <c r="P1133" s="10">
        <f t="shared" si="157"/>
        <v>0.93658536585365859</v>
      </c>
      <c r="Q1133" s="10">
        <f t="shared" si="158"/>
        <v>2.34375E-2</v>
      </c>
      <c r="R1133" s="10">
        <f t="shared" si="159"/>
        <v>0.31555555555555553</v>
      </c>
      <c r="S1133" s="18">
        <f t="shared" si="160"/>
        <v>82.13333333333334</v>
      </c>
      <c r="T1133" s="8">
        <f>480-ProductionData[[#This Row],[Downtime Minutes]]</f>
        <v>455</v>
      </c>
      <c r="U1133" s="11">
        <f t="shared" si="161"/>
        <v>0.84395604395604396</v>
      </c>
      <c r="V1133" s="18">
        <f>ProductionData[[#This Row],[Profit]]/ProductionData[[#This Row],[Good Units]]</f>
        <v>37.866666666666667</v>
      </c>
      <c r="W1133" s="11">
        <f>ProductionData[[#This Row],[Good Units]]/ProductionData[[#This Row],[Operating Minutes]]</f>
        <v>0.82417582417582413</v>
      </c>
    </row>
    <row r="1134" spans="1:23">
      <c r="A1134" s="7">
        <v>46329</v>
      </c>
      <c r="B1134" s="8" t="s">
        <v>32</v>
      </c>
      <c r="C1134" s="8" t="s">
        <v>28</v>
      </c>
      <c r="D1134" s="8" t="s">
        <v>23</v>
      </c>
      <c r="E1134" s="8" t="s">
        <v>26</v>
      </c>
      <c r="F1134" s="9">
        <v>500</v>
      </c>
      <c r="G1134" s="9">
        <v>459</v>
      </c>
      <c r="H1134" s="9">
        <v>15</v>
      </c>
      <c r="I1134" s="9">
        <f t="shared" si="153"/>
        <v>444</v>
      </c>
      <c r="J1134" s="9">
        <v>19</v>
      </c>
      <c r="K1134" s="10">
        <f t="shared" si="154"/>
        <v>3.9583333333333331E-2</v>
      </c>
      <c r="L1134" s="17">
        <v>90</v>
      </c>
      <c r="M1134" s="17">
        <v>30800</v>
      </c>
      <c r="N1134" s="17">
        <f t="shared" si="155"/>
        <v>39960</v>
      </c>
      <c r="O1134" s="17">
        <f t="shared" si="156"/>
        <v>9160</v>
      </c>
      <c r="P1134" s="10">
        <f t="shared" si="157"/>
        <v>0.91800000000000004</v>
      </c>
      <c r="Q1134" s="10">
        <f t="shared" si="158"/>
        <v>3.2679738562091505E-2</v>
      </c>
      <c r="R1134" s="10">
        <f t="shared" si="159"/>
        <v>0.22922922922922923</v>
      </c>
      <c r="S1134" s="18">
        <f t="shared" si="160"/>
        <v>69.369369369369366</v>
      </c>
      <c r="T1134" s="8">
        <f>480-ProductionData[[#This Row],[Downtime Minutes]]</f>
        <v>461</v>
      </c>
      <c r="U1134" s="11">
        <f t="shared" si="161"/>
        <v>0.99566160520607372</v>
      </c>
      <c r="V1134" s="18">
        <f>ProductionData[[#This Row],[Profit]]/ProductionData[[#This Row],[Good Units]]</f>
        <v>20.63063063063063</v>
      </c>
      <c r="W1134" s="11">
        <f>ProductionData[[#This Row],[Good Units]]/ProductionData[[#This Row],[Operating Minutes]]</f>
        <v>0.96312364425162689</v>
      </c>
    </row>
    <row r="1135" spans="1:23">
      <c r="A1135" s="7">
        <v>46329</v>
      </c>
      <c r="B1135" s="8" t="s">
        <v>32</v>
      </c>
      <c r="C1135" s="8" t="s">
        <v>28</v>
      </c>
      <c r="D1135" s="8" t="s">
        <v>25</v>
      </c>
      <c r="E1135" s="8" t="s">
        <v>22</v>
      </c>
      <c r="F1135" s="9">
        <v>440</v>
      </c>
      <c r="G1135" s="9">
        <v>405</v>
      </c>
      <c r="H1135" s="9">
        <v>23</v>
      </c>
      <c r="I1135" s="9">
        <f t="shared" si="153"/>
        <v>382</v>
      </c>
      <c r="J1135" s="9">
        <v>34</v>
      </c>
      <c r="K1135" s="10">
        <f t="shared" si="154"/>
        <v>7.0833333333333331E-2</v>
      </c>
      <c r="L1135" s="17">
        <v>100</v>
      </c>
      <c r="M1135" s="17">
        <v>30800</v>
      </c>
      <c r="N1135" s="17">
        <f t="shared" si="155"/>
        <v>38200</v>
      </c>
      <c r="O1135" s="17">
        <f t="shared" si="156"/>
        <v>7400</v>
      </c>
      <c r="P1135" s="10">
        <f t="shared" si="157"/>
        <v>0.92045454545454541</v>
      </c>
      <c r="Q1135" s="10">
        <f t="shared" si="158"/>
        <v>5.6790123456790124E-2</v>
      </c>
      <c r="R1135" s="10">
        <f t="shared" si="159"/>
        <v>0.193717277486911</v>
      </c>
      <c r="S1135" s="18">
        <f t="shared" si="160"/>
        <v>80.6282722513089</v>
      </c>
      <c r="T1135" s="8">
        <f>480-ProductionData[[#This Row],[Downtime Minutes]]</f>
        <v>446</v>
      </c>
      <c r="U1135" s="11">
        <f t="shared" si="161"/>
        <v>0.90807174887892372</v>
      </c>
      <c r="V1135" s="18">
        <f>ProductionData[[#This Row],[Profit]]/ProductionData[[#This Row],[Good Units]]</f>
        <v>19.3717277486911</v>
      </c>
      <c r="W1135" s="11">
        <f>ProductionData[[#This Row],[Good Units]]/ProductionData[[#This Row],[Operating Minutes]]</f>
        <v>0.8565022421524664</v>
      </c>
    </row>
    <row r="1136" spans="1:23">
      <c r="A1136" s="7">
        <v>46330</v>
      </c>
      <c r="B1136" s="8" t="s">
        <v>32</v>
      </c>
      <c r="C1136" s="8" t="s">
        <v>20</v>
      </c>
      <c r="D1136" s="8" t="s">
        <v>21</v>
      </c>
      <c r="E1136" s="8" t="s">
        <v>22</v>
      </c>
      <c r="F1136" s="9">
        <v>440</v>
      </c>
      <c r="G1136" s="9">
        <v>398</v>
      </c>
      <c r="H1136" s="9">
        <v>17</v>
      </c>
      <c r="I1136" s="9">
        <f t="shared" si="153"/>
        <v>381</v>
      </c>
      <c r="J1136" s="9">
        <v>27</v>
      </c>
      <c r="K1136" s="10">
        <f t="shared" si="154"/>
        <v>5.6250000000000001E-2</v>
      </c>
      <c r="L1136" s="17">
        <v>100</v>
      </c>
      <c r="M1136" s="17">
        <v>30800</v>
      </c>
      <c r="N1136" s="17">
        <f t="shared" si="155"/>
        <v>38100</v>
      </c>
      <c r="O1136" s="17">
        <f t="shared" si="156"/>
        <v>7300</v>
      </c>
      <c r="P1136" s="10">
        <f t="shared" si="157"/>
        <v>0.90454545454545454</v>
      </c>
      <c r="Q1136" s="10">
        <f t="shared" si="158"/>
        <v>4.2713567839195977E-2</v>
      </c>
      <c r="R1136" s="10">
        <f t="shared" si="159"/>
        <v>0.19160104986876642</v>
      </c>
      <c r="S1136" s="18">
        <f t="shared" si="160"/>
        <v>80.839895013123353</v>
      </c>
      <c r="T1136" s="8">
        <f>480-ProductionData[[#This Row],[Downtime Minutes]]</f>
        <v>453</v>
      </c>
      <c r="U1136" s="11">
        <f t="shared" si="161"/>
        <v>0.87858719646799122</v>
      </c>
      <c r="V1136" s="18">
        <f>ProductionData[[#This Row],[Profit]]/ProductionData[[#This Row],[Good Units]]</f>
        <v>19.16010498687664</v>
      </c>
      <c r="W1136" s="11">
        <f>ProductionData[[#This Row],[Good Units]]/ProductionData[[#This Row],[Operating Minutes]]</f>
        <v>0.84105960264900659</v>
      </c>
    </row>
    <row r="1137" spans="1:23">
      <c r="A1137" s="7">
        <v>46330</v>
      </c>
      <c r="B1137" s="8" t="s">
        <v>32</v>
      </c>
      <c r="C1137" s="8" t="s">
        <v>20</v>
      </c>
      <c r="D1137" s="8" t="s">
        <v>23</v>
      </c>
      <c r="E1137" s="8" t="s">
        <v>24</v>
      </c>
      <c r="F1137" s="9">
        <v>410</v>
      </c>
      <c r="G1137" s="9">
        <v>386</v>
      </c>
      <c r="H1137" s="9">
        <v>11</v>
      </c>
      <c r="I1137" s="9">
        <f t="shared" si="153"/>
        <v>375</v>
      </c>
      <c r="J1137" s="9">
        <v>27</v>
      </c>
      <c r="K1137" s="10">
        <f t="shared" si="154"/>
        <v>5.6250000000000001E-2</v>
      </c>
      <c r="L1137" s="17">
        <v>120</v>
      </c>
      <c r="M1137" s="17">
        <v>30800</v>
      </c>
      <c r="N1137" s="17">
        <f t="shared" si="155"/>
        <v>45000</v>
      </c>
      <c r="O1137" s="17">
        <f t="shared" si="156"/>
        <v>14200</v>
      </c>
      <c r="P1137" s="10">
        <f t="shared" si="157"/>
        <v>0.94146341463414629</v>
      </c>
      <c r="Q1137" s="10">
        <f t="shared" si="158"/>
        <v>2.8497409326424871E-2</v>
      </c>
      <c r="R1137" s="10">
        <f t="shared" si="159"/>
        <v>0.31555555555555553</v>
      </c>
      <c r="S1137" s="18">
        <f t="shared" si="160"/>
        <v>82.13333333333334</v>
      </c>
      <c r="T1137" s="8">
        <f>480-ProductionData[[#This Row],[Downtime Minutes]]</f>
        <v>453</v>
      </c>
      <c r="U1137" s="11">
        <f t="shared" si="161"/>
        <v>0.85209713024282563</v>
      </c>
      <c r="V1137" s="18">
        <f>ProductionData[[#This Row],[Profit]]/ProductionData[[#This Row],[Good Units]]</f>
        <v>37.866666666666667</v>
      </c>
      <c r="W1137" s="11">
        <f>ProductionData[[#This Row],[Good Units]]/ProductionData[[#This Row],[Operating Minutes]]</f>
        <v>0.82781456953642385</v>
      </c>
    </row>
    <row r="1138" spans="1:23">
      <c r="A1138" s="7">
        <v>46330</v>
      </c>
      <c r="B1138" s="8" t="s">
        <v>32</v>
      </c>
      <c r="C1138" s="8" t="s">
        <v>20</v>
      </c>
      <c r="D1138" s="8" t="s">
        <v>25</v>
      </c>
      <c r="E1138" s="8" t="s">
        <v>26</v>
      </c>
      <c r="F1138" s="9">
        <v>480</v>
      </c>
      <c r="G1138" s="9">
        <v>442</v>
      </c>
      <c r="H1138" s="9">
        <v>17</v>
      </c>
      <c r="I1138" s="9">
        <f t="shared" si="153"/>
        <v>425</v>
      </c>
      <c r="J1138" s="9">
        <v>35</v>
      </c>
      <c r="K1138" s="10">
        <f t="shared" si="154"/>
        <v>7.2916666666666671E-2</v>
      </c>
      <c r="L1138" s="17">
        <v>90</v>
      </c>
      <c r="M1138" s="17">
        <v>30800</v>
      </c>
      <c r="N1138" s="17">
        <f t="shared" si="155"/>
        <v>38250</v>
      </c>
      <c r="O1138" s="17">
        <f t="shared" si="156"/>
        <v>7450</v>
      </c>
      <c r="P1138" s="10">
        <f t="shared" si="157"/>
        <v>0.92083333333333328</v>
      </c>
      <c r="Q1138" s="10">
        <f t="shared" si="158"/>
        <v>3.8461538461538464E-2</v>
      </c>
      <c r="R1138" s="10">
        <f t="shared" si="159"/>
        <v>0.19477124183006536</v>
      </c>
      <c r="S1138" s="18">
        <f t="shared" si="160"/>
        <v>72.470588235294116</v>
      </c>
      <c r="T1138" s="8">
        <f>480-ProductionData[[#This Row],[Downtime Minutes]]</f>
        <v>445</v>
      </c>
      <c r="U1138" s="11">
        <f t="shared" si="161"/>
        <v>0.99325842696629218</v>
      </c>
      <c r="V1138" s="18">
        <f>ProductionData[[#This Row],[Profit]]/ProductionData[[#This Row],[Good Units]]</f>
        <v>17.529411764705884</v>
      </c>
      <c r="W1138" s="11">
        <f>ProductionData[[#This Row],[Good Units]]/ProductionData[[#This Row],[Operating Minutes]]</f>
        <v>0.9550561797752809</v>
      </c>
    </row>
    <row r="1139" spans="1:23">
      <c r="A1139" s="7">
        <v>46330</v>
      </c>
      <c r="B1139" s="8" t="s">
        <v>32</v>
      </c>
      <c r="C1139" s="8" t="s">
        <v>27</v>
      </c>
      <c r="D1139" s="8" t="s">
        <v>21</v>
      </c>
      <c r="E1139" s="8" t="s">
        <v>24</v>
      </c>
      <c r="F1139" s="9">
        <v>410</v>
      </c>
      <c r="G1139" s="9">
        <v>366</v>
      </c>
      <c r="H1139" s="9">
        <v>17</v>
      </c>
      <c r="I1139" s="9">
        <f t="shared" si="153"/>
        <v>349</v>
      </c>
      <c r="J1139" s="9">
        <v>53</v>
      </c>
      <c r="K1139" s="10">
        <f t="shared" si="154"/>
        <v>0.11041666666666666</v>
      </c>
      <c r="L1139" s="17">
        <v>120</v>
      </c>
      <c r="M1139" s="17">
        <v>30800</v>
      </c>
      <c r="N1139" s="17">
        <f t="shared" si="155"/>
        <v>41880</v>
      </c>
      <c r="O1139" s="17">
        <f t="shared" si="156"/>
        <v>11080</v>
      </c>
      <c r="P1139" s="10">
        <f t="shared" si="157"/>
        <v>0.89268292682926831</v>
      </c>
      <c r="Q1139" s="10">
        <f t="shared" si="158"/>
        <v>4.6448087431693992E-2</v>
      </c>
      <c r="R1139" s="10">
        <f t="shared" si="159"/>
        <v>0.26456542502387775</v>
      </c>
      <c r="S1139" s="18">
        <f t="shared" si="160"/>
        <v>88.252148997134668</v>
      </c>
      <c r="T1139" s="8">
        <f>480-ProductionData[[#This Row],[Downtime Minutes]]</f>
        <v>427</v>
      </c>
      <c r="U1139" s="11">
        <f t="shared" si="161"/>
        <v>0.8571428571428571</v>
      </c>
      <c r="V1139" s="18">
        <f>ProductionData[[#This Row],[Profit]]/ProductionData[[#This Row],[Good Units]]</f>
        <v>31.747851002865328</v>
      </c>
      <c r="W1139" s="11">
        <f>ProductionData[[#This Row],[Good Units]]/ProductionData[[#This Row],[Operating Minutes]]</f>
        <v>0.81733021077283374</v>
      </c>
    </row>
    <row r="1140" spans="1:23">
      <c r="A1140" s="7">
        <v>46330</v>
      </c>
      <c r="B1140" s="8" t="s">
        <v>32</v>
      </c>
      <c r="C1140" s="8" t="s">
        <v>27</v>
      </c>
      <c r="D1140" s="8" t="s">
        <v>23</v>
      </c>
      <c r="E1140" s="8" t="s">
        <v>26</v>
      </c>
      <c r="F1140" s="9">
        <v>520</v>
      </c>
      <c r="G1140" s="9">
        <v>461</v>
      </c>
      <c r="H1140" s="9">
        <v>24</v>
      </c>
      <c r="I1140" s="9">
        <f t="shared" si="153"/>
        <v>437</v>
      </c>
      <c r="J1140" s="9">
        <v>39</v>
      </c>
      <c r="K1140" s="10">
        <f t="shared" si="154"/>
        <v>8.1250000000000003E-2</v>
      </c>
      <c r="L1140" s="17">
        <v>90</v>
      </c>
      <c r="M1140" s="17">
        <v>30800</v>
      </c>
      <c r="N1140" s="17">
        <f t="shared" si="155"/>
        <v>39330</v>
      </c>
      <c r="O1140" s="17">
        <f t="shared" si="156"/>
        <v>8530</v>
      </c>
      <c r="P1140" s="10">
        <f t="shared" si="157"/>
        <v>0.8865384615384615</v>
      </c>
      <c r="Q1140" s="10">
        <f t="shared" si="158"/>
        <v>5.2060737527114966E-2</v>
      </c>
      <c r="R1140" s="10">
        <f t="shared" si="159"/>
        <v>0.21688278667683702</v>
      </c>
      <c r="S1140" s="18">
        <f t="shared" si="160"/>
        <v>70.480549199084663</v>
      </c>
      <c r="T1140" s="8">
        <f>480-ProductionData[[#This Row],[Downtime Minutes]]</f>
        <v>441</v>
      </c>
      <c r="U1140" s="11">
        <f t="shared" si="161"/>
        <v>1.0453514739229024</v>
      </c>
      <c r="V1140" s="18">
        <f>ProductionData[[#This Row],[Profit]]/ProductionData[[#This Row],[Good Units]]</f>
        <v>19.519450800915333</v>
      </c>
      <c r="W1140" s="11">
        <f>ProductionData[[#This Row],[Good Units]]/ProductionData[[#This Row],[Operating Minutes]]</f>
        <v>0.99092970521541945</v>
      </c>
    </row>
    <row r="1141" spans="1:23">
      <c r="A1141" s="7">
        <v>46330</v>
      </c>
      <c r="B1141" s="8" t="s">
        <v>32</v>
      </c>
      <c r="C1141" s="8" t="s">
        <v>27</v>
      </c>
      <c r="D1141" s="8" t="s">
        <v>25</v>
      </c>
      <c r="E1141" s="8" t="s">
        <v>22</v>
      </c>
      <c r="F1141" s="9">
        <v>460</v>
      </c>
      <c r="G1141" s="9">
        <v>382</v>
      </c>
      <c r="H1141" s="9">
        <v>31</v>
      </c>
      <c r="I1141" s="9">
        <f t="shared" si="153"/>
        <v>351</v>
      </c>
      <c r="J1141" s="9">
        <v>56</v>
      </c>
      <c r="K1141" s="10">
        <f t="shared" si="154"/>
        <v>0.11666666666666667</v>
      </c>
      <c r="L1141" s="17">
        <v>100</v>
      </c>
      <c r="M1141" s="17">
        <v>30800</v>
      </c>
      <c r="N1141" s="17">
        <f t="shared" si="155"/>
        <v>35100</v>
      </c>
      <c r="O1141" s="17">
        <f t="shared" si="156"/>
        <v>4300</v>
      </c>
      <c r="P1141" s="10">
        <f t="shared" si="157"/>
        <v>0.83043478260869563</v>
      </c>
      <c r="Q1141" s="10">
        <f t="shared" si="158"/>
        <v>8.1151832460732987E-2</v>
      </c>
      <c r="R1141" s="10">
        <f t="shared" si="159"/>
        <v>0.12250712250712251</v>
      </c>
      <c r="S1141" s="18">
        <f t="shared" si="160"/>
        <v>87.749287749287745</v>
      </c>
      <c r="T1141" s="8">
        <f>480-ProductionData[[#This Row],[Downtime Minutes]]</f>
        <v>424</v>
      </c>
      <c r="U1141" s="11">
        <f t="shared" si="161"/>
        <v>0.90094339622641506</v>
      </c>
      <c r="V1141" s="18">
        <f>ProductionData[[#This Row],[Profit]]/ProductionData[[#This Row],[Good Units]]</f>
        <v>12.250712250712251</v>
      </c>
      <c r="W1141" s="11">
        <f>ProductionData[[#This Row],[Good Units]]/ProductionData[[#This Row],[Operating Minutes]]</f>
        <v>0.82783018867924529</v>
      </c>
    </row>
    <row r="1142" spans="1:23">
      <c r="A1142" s="7">
        <v>46330</v>
      </c>
      <c r="B1142" s="8" t="s">
        <v>32</v>
      </c>
      <c r="C1142" s="8" t="s">
        <v>28</v>
      </c>
      <c r="D1142" s="8" t="s">
        <v>21</v>
      </c>
      <c r="E1142" s="8" t="s">
        <v>26</v>
      </c>
      <c r="F1142" s="9">
        <v>510</v>
      </c>
      <c r="G1142" s="9">
        <v>472</v>
      </c>
      <c r="H1142" s="9">
        <v>12</v>
      </c>
      <c r="I1142" s="9">
        <f t="shared" si="153"/>
        <v>460</v>
      </c>
      <c r="J1142" s="9">
        <v>8</v>
      </c>
      <c r="K1142" s="10">
        <f t="shared" si="154"/>
        <v>1.6666666666666666E-2</v>
      </c>
      <c r="L1142" s="17">
        <v>90</v>
      </c>
      <c r="M1142" s="17">
        <v>30800</v>
      </c>
      <c r="N1142" s="17">
        <f t="shared" si="155"/>
        <v>41400</v>
      </c>
      <c r="O1142" s="17">
        <f t="shared" si="156"/>
        <v>10600</v>
      </c>
      <c r="P1142" s="10">
        <f t="shared" si="157"/>
        <v>0.92549019607843142</v>
      </c>
      <c r="Q1142" s="10">
        <f t="shared" si="158"/>
        <v>2.5423728813559324E-2</v>
      </c>
      <c r="R1142" s="10">
        <f t="shared" si="159"/>
        <v>0.2560386473429952</v>
      </c>
      <c r="S1142" s="18">
        <f t="shared" si="160"/>
        <v>66.956521739130437</v>
      </c>
      <c r="T1142" s="8">
        <f>480-ProductionData[[#This Row],[Downtime Minutes]]</f>
        <v>472</v>
      </c>
      <c r="U1142" s="11">
        <f t="shared" si="161"/>
        <v>1</v>
      </c>
      <c r="V1142" s="18">
        <f>ProductionData[[#This Row],[Profit]]/ProductionData[[#This Row],[Good Units]]</f>
        <v>23.043478260869566</v>
      </c>
      <c r="W1142" s="11">
        <f>ProductionData[[#This Row],[Good Units]]/ProductionData[[#This Row],[Operating Minutes]]</f>
        <v>0.97457627118644063</v>
      </c>
    </row>
    <row r="1143" spans="1:23">
      <c r="A1143" s="7">
        <v>46330</v>
      </c>
      <c r="B1143" s="8" t="s">
        <v>32</v>
      </c>
      <c r="C1143" s="8" t="s">
        <v>28</v>
      </c>
      <c r="D1143" s="8" t="s">
        <v>23</v>
      </c>
      <c r="E1143" s="8" t="s">
        <v>22</v>
      </c>
      <c r="F1143" s="9">
        <v>440</v>
      </c>
      <c r="G1143" s="9">
        <v>412</v>
      </c>
      <c r="H1143" s="9">
        <v>16</v>
      </c>
      <c r="I1143" s="9">
        <f t="shared" si="153"/>
        <v>396</v>
      </c>
      <c r="J1143" s="9">
        <v>28</v>
      </c>
      <c r="K1143" s="10">
        <f t="shared" si="154"/>
        <v>5.8333333333333334E-2</v>
      </c>
      <c r="L1143" s="17">
        <v>100</v>
      </c>
      <c r="M1143" s="17">
        <v>30800</v>
      </c>
      <c r="N1143" s="17">
        <f t="shared" si="155"/>
        <v>39600</v>
      </c>
      <c r="O1143" s="17">
        <f t="shared" si="156"/>
        <v>8800</v>
      </c>
      <c r="P1143" s="10">
        <f t="shared" si="157"/>
        <v>0.9363636363636364</v>
      </c>
      <c r="Q1143" s="10">
        <f t="shared" si="158"/>
        <v>3.8834951456310676E-2</v>
      </c>
      <c r="R1143" s="10">
        <f t="shared" si="159"/>
        <v>0.22222222222222221</v>
      </c>
      <c r="S1143" s="18">
        <f t="shared" si="160"/>
        <v>77.777777777777771</v>
      </c>
      <c r="T1143" s="8">
        <f>480-ProductionData[[#This Row],[Downtime Minutes]]</f>
        <v>452</v>
      </c>
      <c r="U1143" s="11">
        <f t="shared" si="161"/>
        <v>0.91150442477876104</v>
      </c>
      <c r="V1143" s="18">
        <f>ProductionData[[#This Row],[Profit]]/ProductionData[[#This Row],[Good Units]]</f>
        <v>22.222222222222221</v>
      </c>
      <c r="W1143" s="11">
        <f>ProductionData[[#This Row],[Good Units]]/ProductionData[[#This Row],[Operating Minutes]]</f>
        <v>0.87610619469026552</v>
      </c>
    </row>
    <row r="1144" spans="1:23">
      <c r="A1144" s="7">
        <v>46330</v>
      </c>
      <c r="B1144" s="8" t="s">
        <v>32</v>
      </c>
      <c r="C1144" s="8" t="s">
        <v>28</v>
      </c>
      <c r="D1144" s="8" t="s">
        <v>25</v>
      </c>
      <c r="E1144" s="8" t="s">
        <v>24</v>
      </c>
      <c r="F1144" s="9">
        <v>390</v>
      </c>
      <c r="G1144" s="9">
        <v>357</v>
      </c>
      <c r="H1144" s="9">
        <v>15</v>
      </c>
      <c r="I1144" s="9">
        <f t="shared" si="153"/>
        <v>342</v>
      </c>
      <c r="J1144" s="9">
        <v>39</v>
      </c>
      <c r="K1144" s="10">
        <f t="shared" si="154"/>
        <v>8.1250000000000003E-2</v>
      </c>
      <c r="L1144" s="17">
        <v>120</v>
      </c>
      <c r="M1144" s="17">
        <v>30800</v>
      </c>
      <c r="N1144" s="17">
        <f t="shared" si="155"/>
        <v>41040</v>
      </c>
      <c r="O1144" s="17">
        <f t="shared" si="156"/>
        <v>10240</v>
      </c>
      <c r="P1144" s="10">
        <f t="shared" si="157"/>
        <v>0.91538461538461535</v>
      </c>
      <c r="Q1144" s="10">
        <f t="shared" si="158"/>
        <v>4.2016806722689079E-2</v>
      </c>
      <c r="R1144" s="10">
        <f t="shared" si="159"/>
        <v>0.24951267056530213</v>
      </c>
      <c r="S1144" s="18">
        <f t="shared" si="160"/>
        <v>90.058479532163744</v>
      </c>
      <c r="T1144" s="8">
        <f>480-ProductionData[[#This Row],[Downtime Minutes]]</f>
        <v>441</v>
      </c>
      <c r="U1144" s="11">
        <f t="shared" si="161"/>
        <v>0.80952380952380953</v>
      </c>
      <c r="V1144" s="18">
        <f>ProductionData[[#This Row],[Profit]]/ProductionData[[#This Row],[Good Units]]</f>
        <v>29.941520467836256</v>
      </c>
      <c r="W1144" s="11">
        <f>ProductionData[[#This Row],[Good Units]]/ProductionData[[#This Row],[Operating Minutes]]</f>
        <v>0.77551020408163263</v>
      </c>
    </row>
    <row r="1145" spans="1:23">
      <c r="A1145" s="7">
        <v>46331</v>
      </c>
      <c r="B1145" s="8" t="s">
        <v>32</v>
      </c>
      <c r="C1145" s="8" t="s">
        <v>20</v>
      </c>
      <c r="D1145" s="8" t="s">
        <v>21</v>
      </c>
      <c r="E1145" s="8" t="s">
        <v>24</v>
      </c>
      <c r="F1145" s="9">
        <v>400</v>
      </c>
      <c r="G1145" s="9">
        <v>377</v>
      </c>
      <c r="H1145" s="9">
        <v>13</v>
      </c>
      <c r="I1145" s="9">
        <f t="shared" si="153"/>
        <v>364</v>
      </c>
      <c r="J1145" s="9">
        <v>40</v>
      </c>
      <c r="K1145" s="10">
        <f t="shared" si="154"/>
        <v>8.3333333333333329E-2</v>
      </c>
      <c r="L1145" s="17">
        <v>120</v>
      </c>
      <c r="M1145" s="17">
        <v>30800</v>
      </c>
      <c r="N1145" s="17">
        <f t="shared" si="155"/>
        <v>43680</v>
      </c>
      <c r="O1145" s="17">
        <f t="shared" si="156"/>
        <v>12880</v>
      </c>
      <c r="P1145" s="10">
        <f t="shared" si="157"/>
        <v>0.9425</v>
      </c>
      <c r="Q1145" s="10">
        <f t="shared" si="158"/>
        <v>3.4482758620689655E-2</v>
      </c>
      <c r="R1145" s="10">
        <f t="shared" si="159"/>
        <v>0.29487179487179488</v>
      </c>
      <c r="S1145" s="18">
        <f t="shared" si="160"/>
        <v>84.615384615384613</v>
      </c>
      <c r="T1145" s="8">
        <f>480-ProductionData[[#This Row],[Downtime Minutes]]</f>
        <v>440</v>
      </c>
      <c r="U1145" s="11">
        <f t="shared" si="161"/>
        <v>0.85681818181818181</v>
      </c>
      <c r="V1145" s="18">
        <f>ProductionData[[#This Row],[Profit]]/ProductionData[[#This Row],[Good Units]]</f>
        <v>35.384615384615387</v>
      </c>
      <c r="W1145" s="11">
        <f>ProductionData[[#This Row],[Good Units]]/ProductionData[[#This Row],[Operating Minutes]]</f>
        <v>0.82727272727272727</v>
      </c>
    </row>
    <row r="1146" spans="1:23">
      <c r="A1146" s="7">
        <v>46331</v>
      </c>
      <c r="B1146" s="8" t="s">
        <v>32</v>
      </c>
      <c r="C1146" s="8" t="s">
        <v>20</v>
      </c>
      <c r="D1146" s="8" t="s">
        <v>23</v>
      </c>
      <c r="E1146" s="8" t="s">
        <v>26</v>
      </c>
      <c r="F1146" s="9">
        <v>500</v>
      </c>
      <c r="G1146" s="9">
        <v>471</v>
      </c>
      <c r="H1146" s="9">
        <v>16</v>
      </c>
      <c r="I1146" s="9">
        <f t="shared" si="153"/>
        <v>455</v>
      </c>
      <c r="J1146" s="9">
        <v>38</v>
      </c>
      <c r="K1146" s="10">
        <f t="shared" si="154"/>
        <v>7.9166666666666663E-2</v>
      </c>
      <c r="L1146" s="17">
        <v>90</v>
      </c>
      <c r="M1146" s="17">
        <v>30800</v>
      </c>
      <c r="N1146" s="17">
        <f t="shared" si="155"/>
        <v>40950</v>
      </c>
      <c r="O1146" s="17">
        <f t="shared" si="156"/>
        <v>10150</v>
      </c>
      <c r="P1146" s="10">
        <f t="shared" si="157"/>
        <v>0.94199999999999995</v>
      </c>
      <c r="Q1146" s="10">
        <f t="shared" si="158"/>
        <v>3.3970276008492568E-2</v>
      </c>
      <c r="R1146" s="10">
        <f t="shared" si="159"/>
        <v>0.24786324786324787</v>
      </c>
      <c r="S1146" s="18">
        <f t="shared" si="160"/>
        <v>67.692307692307693</v>
      </c>
      <c r="T1146" s="8">
        <f>480-ProductionData[[#This Row],[Downtime Minutes]]</f>
        <v>442</v>
      </c>
      <c r="U1146" s="11">
        <f t="shared" si="161"/>
        <v>1.0656108597285068</v>
      </c>
      <c r="V1146" s="18">
        <f>ProductionData[[#This Row],[Profit]]/ProductionData[[#This Row],[Good Units]]</f>
        <v>22.307692307692307</v>
      </c>
      <c r="W1146" s="11">
        <f>ProductionData[[#This Row],[Good Units]]/ProductionData[[#This Row],[Operating Minutes]]</f>
        <v>1.0294117647058822</v>
      </c>
    </row>
    <row r="1147" spans="1:23">
      <c r="A1147" s="7">
        <v>46331</v>
      </c>
      <c r="B1147" s="8" t="s">
        <v>32</v>
      </c>
      <c r="C1147" s="8" t="s">
        <v>20</v>
      </c>
      <c r="D1147" s="8" t="s">
        <v>25</v>
      </c>
      <c r="E1147" s="8" t="s">
        <v>22</v>
      </c>
      <c r="F1147" s="9">
        <v>440</v>
      </c>
      <c r="G1147" s="9">
        <v>382</v>
      </c>
      <c r="H1147" s="9">
        <v>22</v>
      </c>
      <c r="I1147" s="9">
        <f t="shared" si="153"/>
        <v>360</v>
      </c>
      <c r="J1147" s="9">
        <v>52</v>
      </c>
      <c r="K1147" s="10">
        <f t="shared" si="154"/>
        <v>0.10833333333333334</v>
      </c>
      <c r="L1147" s="17">
        <v>100</v>
      </c>
      <c r="M1147" s="17">
        <v>30800</v>
      </c>
      <c r="N1147" s="17">
        <f t="shared" si="155"/>
        <v>36000</v>
      </c>
      <c r="O1147" s="17">
        <f t="shared" si="156"/>
        <v>5200</v>
      </c>
      <c r="P1147" s="10">
        <f t="shared" si="157"/>
        <v>0.86818181818181817</v>
      </c>
      <c r="Q1147" s="10">
        <f t="shared" si="158"/>
        <v>5.7591623036649213E-2</v>
      </c>
      <c r="R1147" s="10">
        <f t="shared" si="159"/>
        <v>0.14444444444444443</v>
      </c>
      <c r="S1147" s="18">
        <f t="shared" si="160"/>
        <v>85.555555555555557</v>
      </c>
      <c r="T1147" s="8">
        <f>480-ProductionData[[#This Row],[Downtime Minutes]]</f>
        <v>428</v>
      </c>
      <c r="U1147" s="11">
        <f t="shared" si="161"/>
        <v>0.89252336448598135</v>
      </c>
      <c r="V1147" s="18">
        <f>ProductionData[[#This Row],[Profit]]/ProductionData[[#This Row],[Good Units]]</f>
        <v>14.444444444444445</v>
      </c>
      <c r="W1147" s="11">
        <f>ProductionData[[#This Row],[Good Units]]/ProductionData[[#This Row],[Operating Minutes]]</f>
        <v>0.84112149532710279</v>
      </c>
    </row>
    <row r="1148" spans="1:23">
      <c r="A1148" s="7">
        <v>46331</v>
      </c>
      <c r="B1148" s="8" t="s">
        <v>32</v>
      </c>
      <c r="C1148" s="8" t="s">
        <v>27</v>
      </c>
      <c r="D1148" s="8" t="s">
        <v>21</v>
      </c>
      <c r="E1148" s="8" t="s">
        <v>26</v>
      </c>
      <c r="F1148" s="9">
        <v>500</v>
      </c>
      <c r="G1148" s="9">
        <v>450</v>
      </c>
      <c r="H1148" s="9">
        <v>25</v>
      </c>
      <c r="I1148" s="9">
        <f t="shared" si="153"/>
        <v>425</v>
      </c>
      <c r="J1148" s="9">
        <v>38</v>
      </c>
      <c r="K1148" s="10">
        <f t="shared" si="154"/>
        <v>7.9166666666666663E-2</v>
      </c>
      <c r="L1148" s="17">
        <v>90</v>
      </c>
      <c r="M1148" s="17">
        <v>30800</v>
      </c>
      <c r="N1148" s="17">
        <f t="shared" si="155"/>
        <v>38250</v>
      </c>
      <c r="O1148" s="17">
        <f t="shared" si="156"/>
        <v>7450</v>
      </c>
      <c r="P1148" s="10">
        <f t="shared" si="157"/>
        <v>0.9</v>
      </c>
      <c r="Q1148" s="10">
        <f t="shared" si="158"/>
        <v>5.5555555555555552E-2</v>
      </c>
      <c r="R1148" s="10">
        <f t="shared" si="159"/>
        <v>0.19477124183006536</v>
      </c>
      <c r="S1148" s="18">
        <f t="shared" si="160"/>
        <v>72.470588235294116</v>
      </c>
      <c r="T1148" s="8">
        <f>480-ProductionData[[#This Row],[Downtime Minutes]]</f>
        <v>442</v>
      </c>
      <c r="U1148" s="11">
        <f t="shared" si="161"/>
        <v>1.0180995475113122</v>
      </c>
      <c r="V1148" s="18">
        <f>ProductionData[[#This Row],[Profit]]/ProductionData[[#This Row],[Good Units]]</f>
        <v>17.529411764705884</v>
      </c>
      <c r="W1148" s="11">
        <f>ProductionData[[#This Row],[Good Units]]/ProductionData[[#This Row],[Operating Minutes]]</f>
        <v>0.96153846153846156</v>
      </c>
    </row>
    <row r="1149" spans="1:23">
      <c r="A1149" s="7">
        <v>46331</v>
      </c>
      <c r="B1149" s="8" t="s">
        <v>32</v>
      </c>
      <c r="C1149" s="8" t="s">
        <v>27</v>
      </c>
      <c r="D1149" s="8" t="s">
        <v>23</v>
      </c>
      <c r="E1149" s="8" t="s">
        <v>22</v>
      </c>
      <c r="F1149" s="9">
        <v>470</v>
      </c>
      <c r="G1149" s="9">
        <v>395</v>
      </c>
      <c r="H1149" s="9">
        <v>23</v>
      </c>
      <c r="I1149" s="9">
        <f t="shared" si="153"/>
        <v>372</v>
      </c>
      <c r="J1149" s="9">
        <v>68</v>
      </c>
      <c r="K1149" s="10">
        <f t="shared" si="154"/>
        <v>0.14166666666666666</v>
      </c>
      <c r="L1149" s="17">
        <v>100</v>
      </c>
      <c r="M1149" s="17">
        <v>30800</v>
      </c>
      <c r="N1149" s="17">
        <f t="shared" si="155"/>
        <v>37200</v>
      </c>
      <c r="O1149" s="17">
        <f t="shared" si="156"/>
        <v>6400</v>
      </c>
      <c r="P1149" s="10">
        <f t="shared" si="157"/>
        <v>0.84042553191489366</v>
      </c>
      <c r="Q1149" s="10">
        <f t="shared" si="158"/>
        <v>5.8227848101265821E-2</v>
      </c>
      <c r="R1149" s="10">
        <f t="shared" si="159"/>
        <v>0.17204301075268819</v>
      </c>
      <c r="S1149" s="18">
        <f t="shared" si="160"/>
        <v>82.795698924731184</v>
      </c>
      <c r="T1149" s="8">
        <f>480-ProductionData[[#This Row],[Downtime Minutes]]</f>
        <v>412</v>
      </c>
      <c r="U1149" s="11">
        <f t="shared" si="161"/>
        <v>0.95873786407766992</v>
      </c>
      <c r="V1149" s="18">
        <f>ProductionData[[#This Row],[Profit]]/ProductionData[[#This Row],[Good Units]]</f>
        <v>17.204301075268816</v>
      </c>
      <c r="W1149" s="11">
        <f>ProductionData[[#This Row],[Good Units]]/ProductionData[[#This Row],[Operating Minutes]]</f>
        <v>0.90291262135922334</v>
      </c>
    </row>
    <row r="1150" spans="1:23">
      <c r="A1150" s="7">
        <v>46331</v>
      </c>
      <c r="B1150" s="8" t="s">
        <v>32</v>
      </c>
      <c r="C1150" s="8" t="s">
        <v>27</v>
      </c>
      <c r="D1150" s="8" t="s">
        <v>25</v>
      </c>
      <c r="E1150" s="8" t="s">
        <v>24</v>
      </c>
      <c r="F1150" s="9">
        <v>410</v>
      </c>
      <c r="G1150" s="9">
        <v>338</v>
      </c>
      <c r="H1150" s="9">
        <v>21</v>
      </c>
      <c r="I1150" s="9">
        <f t="shared" si="153"/>
        <v>317</v>
      </c>
      <c r="J1150" s="9">
        <v>62</v>
      </c>
      <c r="K1150" s="10">
        <f t="shared" si="154"/>
        <v>0.12916666666666668</v>
      </c>
      <c r="L1150" s="17">
        <v>120</v>
      </c>
      <c r="M1150" s="17">
        <v>30800</v>
      </c>
      <c r="N1150" s="17">
        <f t="shared" si="155"/>
        <v>38040</v>
      </c>
      <c r="O1150" s="17">
        <f t="shared" si="156"/>
        <v>7240</v>
      </c>
      <c r="P1150" s="10">
        <f t="shared" si="157"/>
        <v>0.82439024390243898</v>
      </c>
      <c r="Q1150" s="10">
        <f t="shared" si="158"/>
        <v>6.2130177514792898E-2</v>
      </c>
      <c r="R1150" s="10">
        <f t="shared" si="159"/>
        <v>0.19032597266035753</v>
      </c>
      <c r="S1150" s="18">
        <f t="shared" si="160"/>
        <v>97.160883280757105</v>
      </c>
      <c r="T1150" s="8">
        <f>480-ProductionData[[#This Row],[Downtime Minutes]]</f>
        <v>418</v>
      </c>
      <c r="U1150" s="11">
        <f t="shared" si="161"/>
        <v>0.80861244019138756</v>
      </c>
      <c r="V1150" s="18">
        <f>ProductionData[[#This Row],[Profit]]/ProductionData[[#This Row],[Good Units]]</f>
        <v>22.839116719242902</v>
      </c>
      <c r="W1150" s="11">
        <f>ProductionData[[#This Row],[Good Units]]/ProductionData[[#This Row],[Operating Minutes]]</f>
        <v>0.75837320574162681</v>
      </c>
    </row>
    <row r="1151" spans="1:23">
      <c r="A1151" s="7">
        <v>46331</v>
      </c>
      <c r="B1151" s="8" t="s">
        <v>32</v>
      </c>
      <c r="C1151" s="8" t="s">
        <v>28</v>
      </c>
      <c r="D1151" s="8" t="s">
        <v>21</v>
      </c>
      <c r="E1151" s="8" t="s">
        <v>22</v>
      </c>
      <c r="F1151" s="9">
        <v>430</v>
      </c>
      <c r="G1151" s="9">
        <v>405</v>
      </c>
      <c r="H1151" s="9">
        <v>17</v>
      </c>
      <c r="I1151" s="9">
        <f t="shared" si="153"/>
        <v>388</v>
      </c>
      <c r="J1151" s="9">
        <v>21</v>
      </c>
      <c r="K1151" s="10">
        <f t="shared" si="154"/>
        <v>4.3749999999999997E-2</v>
      </c>
      <c r="L1151" s="17">
        <v>100</v>
      </c>
      <c r="M1151" s="17">
        <v>30800</v>
      </c>
      <c r="N1151" s="17">
        <f t="shared" si="155"/>
        <v>38800</v>
      </c>
      <c r="O1151" s="17">
        <f t="shared" si="156"/>
        <v>8000</v>
      </c>
      <c r="P1151" s="10">
        <f t="shared" si="157"/>
        <v>0.94186046511627908</v>
      </c>
      <c r="Q1151" s="10">
        <f t="shared" si="158"/>
        <v>4.1975308641975309E-2</v>
      </c>
      <c r="R1151" s="10">
        <f t="shared" si="159"/>
        <v>0.20618556701030927</v>
      </c>
      <c r="S1151" s="18">
        <f t="shared" si="160"/>
        <v>79.381443298969074</v>
      </c>
      <c r="T1151" s="8">
        <f>480-ProductionData[[#This Row],[Downtime Minutes]]</f>
        <v>459</v>
      </c>
      <c r="U1151" s="11">
        <f t="shared" si="161"/>
        <v>0.88235294117647056</v>
      </c>
      <c r="V1151" s="18">
        <f>ProductionData[[#This Row],[Profit]]/ProductionData[[#This Row],[Good Units]]</f>
        <v>20.618556701030929</v>
      </c>
      <c r="W1151" s="11">
        <f>ProductionData[[#This Row],[Good Units]]/ProductionData[[#This Row],[Operating Minutes]]</f>
        <v>0.84531590413943358</v>
      </c>
    </row>
    <row r="1152" spans="1:23">
      <c r="A1152" s="7">
        <v>46331</v>
      </c>
      <c r="B1152" s="8" t="s">
        <v>32</v>
      </c>
      <c r="C1152" s="8" t="s">
        <v>28</v>
      </c>
      <c r="D1152" s="8" t="s">
        <v>23</v>
      </c>
      <c r="E1152" s="8" t="s">
        <v>24</v>
      </c>
      <c r="F1152" s="9">
        <v>400</v>
      </c>
      <c r="G1152" s="9">
        <v>381</v>
      </c>
      <c r="H1152" s="9">
        <v>9</v>
      </c>
      <c r="I1152" s="9">
        <f t="shared" si="153"/>
        <v>372</v>
      </c>
      <c r="J1152" s="9">
        <v>19</v>
      </c>
      <c r="K1152" s="10">
        <f t="shared" si="154"/>
        <v>3.9583333333333331E-2</v>
      </c>
      <c r="L1152" s="17">
        <v>120</v>
      </c>
      <c r="M1152" s="17">
        <v>30800</v>
      </c>
      <c r="N1152" s="17">
        <f t="shared" si="155"/>
        <v>44640</v>
      </c>
      <c r="O1152" s="17">
        <f t="shared" si="156"/>
        <v>13840</v>
      </c>
      <c r="P1152" s="10">
        <f t="shared" si="157"/>
        <v>0.95250000000000001</v>
      </c>
      <c r="Q1152" s="10">
        <f t="shared" si="158"/>
        <v>2.3622047244094488E-2</v>
      </c>
      <c r="R1152" s="10">
        <f t="shared" si="159"/>
        <v>0.31003584229390679</v>
      </c>
      <c r="S1152" s="18">
        <f t="shared" si="160"/>
        <v>82.795698924731184</v>
      </c>
      <c r="T1152" s="8">
        <f>480-ProductionData[[#This Row],[Downtime Minutes]]</f>
        <v>461</v>
      </c>
      <c r="U1152" s="11">
        <f t="shared" si="161"/>
        <v>0.82646420824295008</v>
      </c>
      <c r="V1152" s="18">
        <f>ProductionData[[#This Row],[Profit]]/ProductionData[[#This Row],[Good Units]]</f>
        <v>37.204301075268816</v>
      </c>
      <c r="W1152" s="11">
        <f>ProductionData[[#This Row],[Good Units]]/ProductionData[[#This Row],[Operating Minutes]]</f>
        <v>0.80694143167028198</v>
      </c>
    </row>
    <row r="1153" spans="1:23">
      <c r="A1153" s="7">
        <v>46331</v>
      </c>
      <c r="B1153" s="8" t="s">
        <v>32</v>
      </c>
      <c r="C1153" s="8" t="s">
        <v>28</v>
      </c>
      <c r="D1153" s="8" t="s">
        <v>25</v>
      </c>
      <c r="E1153" s="8" t="s">
        <v>26</v>
      </c>
      <c r="F1153" s="9">
        <v>490</v>
      </c>
      <c r="G1153" s="9">
        <v>448</v>
      </c>
      <c r="H1153" s="9">
        <v>19</v>
      </c>
      <c r="I1153" s="9">
        <f t="shared" si="153"/>
        <v>429</v>
      </c>
      <c r="J1153" s="9">
        <v>21</v>
      </c>
      <c r="K1153" s="10">
        <f t="shared" si="154"/>
        <v>4.3749999999999997E-2</v>
      </c>
      <c r="L1153" s="17">
        <v>90</v>
      </c>
      <c r="M1153" s="17">
        <v>30800</v>
      </c>
      <c r="N1153" s="17">
        <f t="shared" si="155"/>
        <v>38610</v>
      </c>
      <c r="O1153" s="17">
        <f t="shared" si="156"/>
        <v>7810</v>
      </c>
      <c r="P1153" s="10">
        <f t="shared" si="157"/>
        <v>0.91428571428571426</v>
      </c>
      <c r="Q1153" s="10">
        <f t="shared" si="158"/>
        <v>4.2410714285714288E-2</v>
      </c>
      <c r="R1153" s="10">
        <f t="shared" si="159"/>
        <v>0.20227920227920229</v>
      </c>
      <c r="S1153" s="18">
        <f t="shared" si="160"/>
        <v>71.794871794871796</v>
      </c>
      <c r="T1153" s="8">
        <f>480-ProductionData[[#This Row],[Downtime Minutes]]</f>
        <v>459</v>
      </c>
      <c r="U1153" s="11">
        <f t="shared" si="161"/>
        <v>0.97603485838779958</v>
      </c>
      <c r="V1153" s="18">
        <f>ProductionData[[#This Row],[Profit]]/ProductionData[[#This Row],[Good Units]]</f>
        <v>18.205128205128204</v>
      </c>
      <c r="W1153" s="11">
        <f>ProductionData[[#This Row],[Good Units]]/ProductionData[[#This Row],[Operating Minutes]]</f>
        <v>0.934640522875817</v>
      </c>
    </row>
    <row r="1154" spans="1:23">
      <c r="A1154" s="7">
        <v>46332</v>
      </c>
      <c r="B1154" s="8" t="s">
        <v>32</v>
      </c>
      <c r="C1154" s="8" t="s">
        <v>20</v>
      </c>
      <c r="D1154" s="8" t="s">
        <v>21</v>
      </c>
      <c r="E1154" s="8" t="s">
        <v>26</v>
      </c>
      <c r="F1154" s="9">
        <v>490</v>
      </c>
      <c r="G1154" s="9">
        <v>463</v>
      </c>
      <c r="H1154" s="9">
        <v>16</v>
      </c>
      <c r="I1154" s="9">
        <f t="shared" ref="I1154:I1217" si="162">G1154-H1154</f>
        <v>447</v>
      </c>
      <c r="J1154" s="9">
        <v>13</v>
      </c>
      <c r="K1154" s="10">
        <f t="shared" ref="K1154:K1217" si="163">J1154/480</f>
        <v>2.7083333333333334E-2</v>
      </c>
      <c r="L1154" s="17">
        <v>90</v>
      </c>
      <c r="M1154" s="17">
        <v>30800</v>
      </c>
      <c r="N1154" s="17">
        <f t="shared" ref="N1154:N1217" si="164">I1154*L1154</f>
        <v>40230</v>
      </c>
      <c r="O1154" s="17">
        <f t="shared" ref="O1154:O1217" si="165">N1154-M1154</f>
        <v>9430</v>
      </c>
      <c r="P1154" s="10">
        <f t="shared" ref="P1154:P1217" si="166">G1154/F1154</f>
        <v>0.94489795918367347</v>
      </c>
      <c r="Q1154" s="10">
        <f t="shared" ref="Q1154:Q1217" si="167">H1154/G1154</f>
        <v>3.4557235421166309E-2</v>
      </c>
      <c r="R1154" s="10">
        <f t="shared" ref="R1154:R1217" si="168">O1154/N1154</f>
        <v>0.23440218742232166</v>
      </c>
      <c r="S1154" s="18">
        <f t="shared" ref="S1154:S1217" si="169">M1154/I1154</f>
        <v>68.903803131991054</v>
      </c>
      <c r="T1154" s="8">
        <f>480-ProductionData[[#This Row],[Downtime Minutes]]</f>
        <v>467</v>
      </c>
      <c r="U1154" s="11">
        <f t="shared" ref="U1154:U1217" si="170">G1154/T1154</f>
        <v>0.99143468950749469</v>
      </c>
      <c r="V1154" s="18">
        <f>ProductionData[[#This Row],[Profit]]/ProductionData[[#This Row],[Good Units]]</f>
        <v>21.096196868008949</v>
      </c>
      <c r="W1154" s="11">
        <f>ProductionData[[#This Row],[Good Units]]/ProductionData[[#This Row],[Operating Minutes]]</f>
        <v>0.95717344753747324</v>
      </c>
    </row>
    <row r="1155" spans="1:23">
      <c r="A1155" s="7">
        <v>46332</v>
      </c>
      <c r="B1155" s="8" t="s">
        <v>32</v>
      </c>
      <c r="C1155" s="8" t="s">
        <v>20</v>
      </c>
      <c r="D1155" s="8" t="s">
        <v>23</v>
      </c>
      <c r="E1155" s="8" t="s">
        <v>22</v>
      </c>
      <c r="F1155" s="9">
        <v>440</v>
      </c>
      <c r="G1155" s="9">
        <v>414</v>
      </c>
      <c r="H1155" s="9">
        <v>23</v>
      </c>
      <c r="I1155" s="9">
        <f t="shared" si="162"/>
        <v>391</v>
      </c>
      <c r="J1155" s="9">
        <v>45</v>
      </c>
      <c r="K1155" s="10">
        <f t="shared" si="163"/>
        <v>9.375E-2</v>
      </c>
      <c r="L1155" s="17">
        <v>100</v>
      </c>
      <c r="M1155" s="17">
        <v>30800</v>
      </c>
      <c r="N1155" s="17">
        <f t="shared" si="164"/>
        <v>39100</v>
      </c>
      <c r="O1155" s="17">
        <f t="shared" si="165"/>
        <v>8300</v>
      </c>
      <c r="P1155" s="10">
        <f t="shared" si="166"/>
        <v>0.94090909090909092</v>
      </c>
      <c r="Q1155" s="10">
        <f t="shared" si="167"/>
        <v>5.5555555555555552E-2</v>
      </c>
      <c r="R1155" s="10">
        <f t="shared" si="168"/>
        <v>0.21227621483375958</v>
      </c>
      <c r="S1155" s="18">
        <f t="shared" si="169"/>
        <v>78.772378516624045</v>
      </c>
      <c r="T1155" s="8">
        <f>480-ProductionData[[#This Row],[Downtime Minutes]]</f>
        <v>435</v>
      </c>
      <c r="U1155" s="11">
        <f t="shared" si="170"/>
        <v>0.9517241379310345</v>
      </c>
      <c r="V1155" s="18">
        <f>ProductionData[[#This Row],[Profit]]/ProductionData[[#This Row],[Good Units]]</f>
        <v>21.227621483375959</v>
      </c>
      <c r="W1155" s="11">
        <f>ProductionData[[#This Row],[Good Units]]/ProductionData[[#This Row],[Operating Minutes]]</f>
        <v>0.89885057471264362</v>
      </c>
    </row>
    <row r="1156" spans="1:23">
      <c r="A1156" s="7">
        <v>46332</v>
      </c>
      <c r="B1156" s="8" t="s">
        <v>32</v>
      </c>
      <c r="C1156" s="8" t="s">
        <v>20</v>
      </c>
      <c r="D1156" s="8" t="s">
        <v>25</v>
      </c>
      <c r="E1156" s="8" t="s">
        <v>24</v>
      </c>
      <c r="F1156" s="9">
        <v>410</v>
      </c>
      <c r="G1156" s="9">
        <v>369</v>
      </c>
      <c r="H1156" s="9">
        <v>15</v>
      </c>
      <c r="I1156" s="9">
        <f t="shared" si="162"/>
        <v>354</v>
      </c>
      <c r="J1156" s="9">
        <v>51</v>
      </c>
      <c r="K1156" s="10">
        <f t="shared" si="163"/>
        <v>0.10625</v>
      </c>
      <c r="L1156" s="17">
        <v>120</v>
      </c>
      <c r="M1156" s="17">
        <v>30800</v>
      </c>
      <c r="N1156" s="17">
        <f t="shared" si="164"/>
        <v>42480</v>
      </c>
      <c r="O1156" s="17">
        <f t="shared" si="165"/>
        <v>11680</v>
      </c>
      <c r="P1156" s="10">
        <f t="shared" si="166"/>
        <v>0.9</v>
      </c>
      <c r="Q1156" s="10">
        <f t="shared" si="167"/>
        <v>4.065040650406504E-2</v>
      </c>
      <c r="R1156" s="10">
        <f t="shared" si="168"/>
        <v>0.27495291902071561</v>
      </c>
      <c r="S1156" s="18">
        <f t="shared" si="169"/>
        <v>87.005649717514117</v>
      </c>
      <c r="T1156" s="8">
        <f>480-ProductionData[[#This Row],[Downtime Minutes]]</f>
        <v>429</v>
      </c>
      <c r="U1156" s="11">
        <f t="shared" si="170"/>
        <v>0.8601398601398601</v>
      </c>
      <c r="V1156" s="18">
        <f>ProductionData[[#This Row],[Profit]]/ProductionData[[#This Row],[Good Units]]</f>
        <v>32.994350282485875</v>
      </c>
      <c r="W1156" s="11">
        <f>ProductionData[[#This Row],[Good Units]]/ProductionData[[#This Row],[Operating Minutes]]</f>
        <v>0.82517482517482521</v>
      </c>
    </row>
    <row r="1157" spans="1:23">
      <c r="A1157" s="7">
        <v>46332</v>
      </c>
      <c r="B1157" s="8" t="s">
        <v>32</v>
      </c>
      <c r="C1157" s="8" t="s">
        <v>27</v>
      </c>
      <c r="D1157" s="8" t="s">
        <v>21</v>
      </c>
      <c r="E1157" s="8" t="s">
        <v>22</v>
      </c>
      <c r="F1157" s="9">
        <v>460</v>
      </c>
      <c r="G1157" s="9">
        <v>406</v>
      </c>
      <c r="H1157" s="9">
        <v>24</v>
      </c>
      <c r="I1157" s="9">
        <f t="shared" si="162"/>
        <v>382</v>
      </c>
      <c r="J1157" s="9">
        <v>54</v>
      </c>
      <c r="K1157" s="10">
        <f t="shared" si="163"/>
        <v>0.1125</v>
      </c>
      <c r="L1157" s="17">
        <v>100</v>
      </c>
      <c r="M1157" s="17">
        <v>30800</v>
      </c>
      <c r="N1157" s="17">
        <f t="shared" si="164"/>
        <v>38200</v>
      </c>
      <c r="O1157" s="17">
        <f t="shared" si="165"/>
        <v>7400</v>
      </c>
      <c r="P1157" s="10">
        <f t="shared" si="166"/>
        <v>0.88260869565217392</v>
      </c>
      <c r="Q1157" s="10">
        <f t="shared" si="167"/>
        <v>5.9113300492610835E-2</v>
      </c>
      <c r="R1157" s="10">
        <f t="shared" si="168"/>
        <v>0.193717277486911</v>
      </c>
      <c r="S1157" s="18">
        <f t="shared" si="169"/>
        <v>80.6282722513089</v>
      </c>
      <c r="T1157" s="8">
        <f>480-ProductionData[[#This Row],[Downtime Minutes]]</f>
        <v>426</v>
      </c>
      <c r="U1157" s="11">
        <f t="shared" si="170"/>
        <v>0.95305164319248825</v>
      </c>
      <c r="V1157" s="18">
        <f>ProductionData[[#This Row],[Profit]]/ProductionData[[#This Row],[Good Units]]</f>
        <v>19.3717277486911</v>
      </c>
      <c r="W1157" s="11">
        <f>ProductionData[[#This Row],[Good Units]]/ProductionData[[#This Row],[Operating Minutes]]</f>
        <v>0.89671361502347413</v>
      </c>
    </row>
    <row r="1158" spans="1:23">
      <c r="A1158" s="7">
        <v>46332</v>
      </c>
      <c r="B1158" s="8" t="s">
        <v>32</v>
      </c>
      <c r="C1158" s="8" t="s">
        <v>27</v>
      </c>
      <c r="D1158" s="8" t="s">
        <v>23</v>
      </c>
      <c r="E1158" s="8" t="s">
        <v>24</v>
      </c>
      <c r="F1158" s="9">
        <v>410</v>
      </c>
      <c r="G1158" s="9">
        <v>352</v>
      </c>
      <c r="H1158" s="9">
        <v>19</v>
      </c>
      <c r="I1158" s="9">
        <f t="shared" si="162"/>
        <v>333</v>
      </c>
      <c r="J1158" s="9">
        <v>53</v>
      </c>
      <c r="K1158" s="10">
        <f t="shared" si="163"/>
        <v>0.11041666666666666</v>
      </c>
      <c r="L1158" s="17">
        <v>120</v>
      </c>
      <c r="M1158" s="17">
        <v>30800</v>
      </c>
      <c r="N1158" s="17">
        <f t="shared" si="164"/>
        <v>39960</v>
      </c>
      <c r="O1158" s="17">
        <f t="shared" si="165"/>
        <v>9160</v>
      </c>
      <c r="P1158" s="10">
        <f t="shared" si="166"/>
        <v>0.85853658536585364</v>
      </c>
      <c r="Q1158" s="10">
        <f t="shared" si="167"/>
        <v>5.3977272727272728E-2</v>
      </c>
      <c r="R1158" s="10">
        <f t="shared" si="168"/>
        <v>0.22922922922922923</v>
      </c>
      <c r="S1158" s="18">
        <f t="shared" si="169"/>
        <v>92.492492492492488</v>
      </c>
      <c r="T1158" s="8">
        <f>480-ProductionData[[#This Row],[Downtime Minutes]]</f>
        <v>427</v>
      </c>
      <c r="U1158" s="11">
        <f t="shared" si="170"/>
        <v>0.82435597189695553</v>
      </c>
      <c r="V1158" s="18">
        <f>ProductionData[[#This Row],[Profit]]/ProductionData[[#This Row],[Good Units]]</f>
        <v>27.507507507507508</v>
      </c>
      <c r="W1158" s="11">
        <f>ProductionData[[#This Row],[Good Units]]/ProductionData[[#This Row],[Operating Minutes]]</f>
        <v>0.77985948477751754</v>
      </c>
    </row>
    <row r="1159" spans="1:23">
      <c r="A1159" s="7">
        <v>46332</v>
      </c>
      <c r="B1159" s="8" t="s">
        <v>32</v>
      </c>
      <c r="C1159" s="8" t="s">
        <v>27</v>
      </c>
      <c r="D1159" s="8" t="s">
        <v>25</v>
      </c>
      <c r="E1159" s="8" t="s">
        <v>26</v>
      </c>
      <c r="F1159" s="9">
        <v>500</v>
      </c>
      <c r="G1159" s="9">
        <v>412</v>
      </c>
      <c r="H1159" s="9">
        <v>27</v>
      </c>
      <c r="I1159" s="9">
        <f t="shared" si="162"/>
        <v>385</v>
      </c>
      <c r="J1159" s="9">
        <v>55</v>
      </c>
      <c r="K1159" s="10">
        <f t="shared" si="163"/>
        <v>0.11458333333333333</v>
      </c>
      <c r="L1159" s="17">
        <v>90</v>
      </c>
      <c r="M1159" s="17">
        <v>30800</v>
      </c>
      <c r="N1159" s="17">
        <f t="shared" si="164"/>
        <v>34650</v>
      </c>
      <c r="O1159" s="17">
        <f t="shared" si="165"/>
        <v>3850</v>
      </c>
      <c r="P1159" s="10">
        <f t="shared" si="166"/>
        <v>0.82399999999999995</v>
      </c>
      <c r="Q1159" s="10">
        <f t="shared" si="167"/>
        <v>6.553398058252427E-2</v>
      </c>
      <c r="R1159" s="10">
        <f t="shared" si="168"/>
        <v>0.1111111111111111</v>
      </c>
      <c r="S1159" s="18">
        <f t="shared" si="169"/>
        <v>80</v>
      </c>
      <c r="T1159" s="8">
        <f>480-ProductionData[[#This Row],[Downtime Minutes]]</f>
        <v>425</v>
      </c>
      <c r="U1159" s="11">
        <f t="shared" si="170"/>
        <v>0.96941176470588231</v>
      </c>
      <c r="V1159" s="18">
        <f>ProductionData[[#This Row],[Profit]]/ProductionData[[#This Row],[Good Units]]</f>
        <v>10</v>
      </c>
      <c r="W1159" s="11">
        <f>ProductionData[[#This Row],[Good Units]]/ProductionData[[#This Row],[Operating Minutes]]</f>
        <v>0.90588235294117647</v>
      </c>
    </row>
    <row r="1160" spans="1:23">
      <c r="A1160" s="7">
        <v>46332</v>
      </c>
      <c r="B1160" s="8" t="s">
        <v>32</v>
      </c>
      <c r="C1160" s="8" t="s">
        <v>28</v>
      </c>
      <c r="D1160" s="8" t="s">
        <v>21</v>
      </c>
      <c r="E1160" s="8" t="s">
        <v>24</v>
      </c>
      <c r="F1160" s="9">
        <v>420</v>
      </c>
      <c r="G1160" s="9">
        <v>394</v>
      </c>
      <c r="H1160" s="9">
        <v>6</v>
      </c>
      <c r="I1160" s="9">
        <f t="shared" si="162"/>
        <v>388</v>
      </c>
      <c r="J1160" s="9">
        <v>22</v>
      </c>
      <c r="K1160" s="10">
        <f t="shared" si="163"/>
        <v>4.583333333333333E-2</v>
      </c>
      <c r="L1160" s="17">
        <v>120</v>
      </c>
      <c r="M1160" s="17">
        <v>30800</v>
      </c>
      <c r="N1160" s="17">
        <f t="shared" si="164"/>
        <v>46560</v>
      </c>
      <c r="O1160" s="17">
        <f t="shared" si="165"/>
        <v>15760</v>
      </c>
      <c r="P1160" s="10">
        <f t="shared" si="166"/>
        <v>0.93809523809523809</v>
      </c>
      <c r="Q1160" s="10">
        <f t="shared" si="167"/>
        <v>1.5228426395939087E-2</v>
      </c>
      <c r="R1160" s="10">
        <f t="shared" si="168"/>
        <v>0.33848797250859108</v>
      </c>
      <c r="S1160" s="18">
        <f t="shared" si="169"/>
        <v>79.381443298969074</v>
      </c>
      <c r="T1160" s="8">
        <f>480-ProductionData[[#This Row],[Downtime Minutes]]</f>
        <v>458</v>
      </c>
      <c r="U1160" s="11">
        <f t="shared" si="170"/>
        <v>0.86026200873362446</v>
      </c>
      <c r="V1160" s="18">
        <f>ProductionData[[#This Row],[Profit]]/ProductionData[[#This Row],[Good Units]]</f>
        <v>40.618556701030926</v>
      </c>
      <c r="W1160" s="11">
        <f>ProductionData[[#This Row],[Good Units]]/ProductionData[[#This Row],[Operating Minutes]]</f>
        <v>0.84716157205240172</v>
      </c>
    </row>
    <row r="1161" spans="1:23">
      <c r="A1161" s="7">
        <v>46332</v>
      </c>
      <c r="B1161" s="8" t="s">
        <v>32</v>
      </c>
      <c r="C1161" s="8" t="s">
        <v>28</v>
      </c>
      <c r="D1161" s="8" t="s">
        <v>23</v>
      </c>
      <c r="E1161" s="8" t="s">
        <v>26</v>
      </c>
      <c r="F1161" s="9">
        <v>500</v>
      </c>
      <c r="G1161" s="9">
        <v>460</v>
      </c>
      <c r="H1161" s="9">
        <v>15</v>
      </c>
      <c r="I1161" s="9">
        <f t="shared" si="162"/>
        <v>445</v>
      </c>
      <c r="J1161" s="9">
        <v>17</v>
      </c>
      <c r="K1161" s="10">
        <f t="shared" si="163"/>
        <v>3.5416666666666666E-2</v>
      </c>
      <c r="L1161" s="17">
        <v>90</v>
      </c>
      <c r="M1161" s="17">
        <v>30800</v>
      </c>
      <c r="N1161" s="17">
        <f t="shared" si="164"/>
        <v>40050</v>
      </c>
      <c r="O1161" s="17">
        <f t="shared" si="165"/>
        <v>9250</v>
      </c>
      <c r="P1161" s="10">
        <f t="shared" si="166"/>
        <v>0.92</v>
      </c>
      <c r="Q1161" s="10">
        <f t="shared" si="167"/>
        <v>3.2608695652173912E-2</v>
      </c>
      <c r="R1161" s="10">
        <f t="shared" si="168"/>
        <v>0.23096129837702872</v>
      </c>
      <c r="S1161" s="18">
        <f t="shared" si="169"/>
        <v>69.213483146067418</v>
      </c>
      <c r="T1161" s="8">
        <f>480-ProductionData[[#This Row],[Downtime Minutes]]</f>
        <v>463</v>
      </c>
      <c r="U1161" s="11">
        <f t="shared" si="170"/>
        <v>0.99352051835853128</v>
      </c>
      <c r="V1161" s="18">
        <f>ProductionData[[#This Row],[Profit]]/ProductionData[[#This Row],[Good Units]]</f>
        <v>20.786516853932586</v>
      </c>
      <c r="W1161" s="11">
        <f>ProductionData[[#This Row],[Good Units]]/ProductionData[[#This Row],[Operating Minutes]]</f>
        <v>0.9611231101511879</v>
      </c>
    </row>
    <row r="1162" spans="1:23">
      <c r="A1162" s="7">
        <v>46332</v>
      </c>
      <c r="B1162" s="8" t="s">
        <v>32</v>
      </c>
      <c r="C1162" s="8" t="s">
        <v>28</v>
      </c>
      <c r="D1162" s="8" t="s">
        <v>25</v>
      </c>
      <c r="E1162" s="8" t="s">
        <v>22</v>
      </c>
      <c r="F1162" s="9">
        <v>440</v>
      </c>
      <c r="G1162" s="9">
        <v>408</v>
      </c>
      <c r="H1162" s="9">
        <v>20</v>
      </c>
      <c r="I1162" s="9">
        <f t="shared" si="162"/>
        <v>388</v>
      </c>
      <c r="J1162" s="9">
        <v>38</v>
      </c>
      <c r="K1162" s="10">
        <f t="shared" si="163"/>
        <v>7.9166666666666663E-2</v>
      </c>
      <c r="L1162" s="17">
        <v>100</v>
      </c>
      <c r="M1162" s="17">
        <v>30800</v>
      </c>
      <c r="N1162" s="17">
        <f t="shared" si="164"/>
        <v>38800</v>
      </c>
      <c r="O1162" s="17">
        <f t="shared" si="165"/>
        <v>8000</v>
      </c>
      <c r="P1162" s="10">
        <f t="shared" si="166"/>
        <v>0.92727272727272725</v>
      </c>
      <c r="Q1162" s="10">
        <f t="shared" si="167"/>
        <v>4.9019607843137254E-2</v>
      </c>
      <c r="R1162" s="10">
        <f t="shared" si="168"/>
        <v>0.20618556701030927</v>
      </c>
      <c r="S1162" s="18">
        <f t="shared" si="169"/>
        <v>79.381443298969074</v>
      </c>
      <c r="T1162" s="8">
        <f>480-ProductionData[[#This Row],[Downtime Minutes]]</f>
        <v>442</v>
      </c>
      <c r="U1162" s="11">
        <f t="shared" si="170"/>
        <v>0.92307692307692313</v>
      </c>
      <c r="V1162" s="18">
        <f>ProductionData[[#This Row],[Profit]]/ProductionData[[#This Row],[Good Units]]</f>
        <v>20.618556701030929</v>
      </c>
      <c r="W1162" s="11">
        <f>ProductionData[[#This Row],[Good Units]]/ProductionData[[#This Row],[Operating Minutes]]</f>
        <v>0.87782805429864252</v>
      </c>
    </row>
    <row r="1163" spans="1:23">
      <c r="A1163" s="7">
        <v>46333</v>
      </c>
      <c r="B1163" s="8" t="s">
        <v>32</v>
      </c>
      <c r="C1163" s="8" t="s">
        <v>20</v>
      </c>
      <c r="D1163" s="8" t="s">
        <v>21</v>
      </c>
      <c r="E1163" s="8" t="s">
        <v>22</v>
      </c>
      <c r="F1163" s="9">
        <v>440</v>
      </c>
      <c r="G1163" s="9">
        <v>398</v>
      </c>
      <c r="H1163" s="9">
        <v>20</v>
      </c>
      <c r="I1163" s="9">
        <f t="shared" si="162"/>
        <v>378</v>
      </c>
      <c r="J1163" s="9">
        <v>34</v>
      </c>
      <c r="K1163" s="10">
        <f t="shared" si="163"/>
        <v>7.0833333333333331E-2</v>
      </c>
      <c r="L1163" s="17">
        <v>100</v>
      </c>
      <c r="M1163" s="17">
        <v>30800</v>
      </c>
      <c r="N1163" s="17">
        <f t="shared" si="164"/>
        <v>37800</v>
      </c>
      <c r="O1163" s="17">
        <f t="shared" si="165"/>
        <v>7000</v>
      </c>
      <c r="P1163" s="10">
        <f t="shared" si="166"/>
        <v>0.90454545454545454</v>
      </c>
      <c r="Q1163" s="10">
        <f t="shared" si="167"/>
        <v>5.0251256281407038E-2</v>
      </c>
      <c r="R1163" s="10">
        <f t="shared" si="168"/>
        <v>0.18518518518518517</v>
      </c>
      <c r="S1163" s="18">
        <f t="shared" si="169"/>
        <v>81.481481481481481</v>
      </c>
      <c r="T1163" s="8">
        <f>480-ProductionData[[#This Row],[Downtime Minutes]]</f>
        <v>446</v>
      </c>
      <c r="U1163" s="11">
        <f t="shared" si="170"/>
        <v>0.8923766816143498</v>
      </c>
      <c r="V1163" s="18">
        <f>ProductionData[[#This Row],[Profit]]/ProductionData[[#This Row],[Good Units]]</f>
        <v>18.518518518518519</v>
      </c>
      <c r="W1163" s="11">
        <f>ProductionData[[#This Row],[Good Units]]/ProductionData[[#This Row],[Operating Minutes]]</f>
        <v>0.84753363228699552</v>
      </c>
    </row>
    <row r="1164" spans="1:23">
      <c r="A1164" s="7">
        <v>46333</v>
      </c>
      <c r="B1164" s="8" t="s">
        <v>32</v>
      </c>
      <c r="C1164" s="8" t="s">
        <v>20</v>
      </c>
      <c r="D1164" s="8" t="s">
        <v>23</v>
      </c>
      <c r="E1164" s="8" t="s">
        <v>24</v>
      </c>
      <c r="F1164" s="9">
        <v>410</v>
      </c>
      <c r="G1164" s="9">
        <v>373</v>
      </c>
      <c r="H1164" s="9">
        <v>12</v>
      </c>
      <c r="I1164" s="9">
        <f t="shared" si="162"/>
        <v>361</v>
      </c>
      <c r="J1164" s="9">
        <v>30</v>
      </c>
      <c r="K1164" s="10">
        <f t="shared" si="163"/>
        <v>6.25E-2</v>
      </c>
      <c r="L1164" s="17">
        <v>120</v>
      </c>
      <c r="M1164" s="17">
        <v>30800</v>
      </c>
      <c r="N1164" s="17">
        <f t="shared" si="164"/>
        <v>43320</v>
      </c>
      <c r="O1164" s="17">
        <f t="shared" si="165"/>
        <v>12520</v>
      </c>
      <c r="P1164" s="10">
        <f t="shared" si="166"/>
        <v>0.90975609756097564</v>
      </c>
      <c r="Q1164" s="10">
        <f t="shared" si="167"/>
        <v>3.2171581769436998E-2</v>
      </c>
      <c r="R1164" s="10">
        <f t="shared" si="168"/>
        <v>0.28901200369344415</v>
      </c>
      <c r="S1164" s="18">
        <f t="shared" si="169"/>
        <v>85.31855955678671</v>
      </c>
      <c r="T1164" s="8">
        <f>480-ProductionData[[#This Row],[Downtime Minutes]]</f>
        <v>450</v>
      </c>
      <c r="U1164" s="11">
        <f t="shared" si="170"/>
        <v>0.8288888888888889</v>
      </c>
      <c r="V1164" s="18">
        <f>ProductionData[[#This Row],[Profit]]/ProductionData[[#This Row],[Good Units]]</f>
        <v>34.681440443213297</v>
      </c>
      <c r="W1164" s="11">
        <f>ProductionData[[#This Row],[Good Units]]/ProductionData[[#This Row],[Operating Minutes]]</f>
        <v>0.80222222222222217</v>
      </c>
    </row>
    <row r="1165" spans="1:23">
      <c r="A1165" s="7">
        <v>46333</v>
      </c>
      <c r="B1165" s="8" t="s">
        <v>32</v>
      </c>
      <c r="C1165" s="8" t="s">
        <v>20</v>
      </c>
      <c r="D1165" s="8" t="s">
        <v>25</v>
      </c>
      <c r="E1165" s="8" t="s">
        <v>26</v>
      </c>
      <c r="F1165" s="9">
        <v>490</v>
      </c>
      <c r="G1165" s="9">
        <v>423</v>
      </c>
      <c r="H1165" s="9">
        <v>17</v>
      </c>
      <c r="I1165" s="9">
        <f t="shared" si="162"/>
        <v>406</v>
      </c>
      <c r="J1165" s="9">
        <v>28</v>
      </c>
      <c r="K1165" s="10">
        <f t="shared" si="163"/>
        <v>5.8333333333333334E-2</v>
      </c>
      <c r="L1165" s="17">
        <v>90</v>
      </c>
      <c r="M1165" s="17">
        <v>30800</v>
      </c>
      <c r="N1165" s="17">
        <f t="shared" si="164"/>
        <v>36540</v>
      </c>
      <c r="O1165" s="17">
        <f t="shared" si="165"/>
        <v>5740</v>
      </c>
      <c r="P1165" s="10">
        <f t="shared" si="166"/>
        <v>0.86326530612244901</v>
      </c>
      <c r="Q1165" s="10">
        <f t="shared" si="167"/>
        <v>4.0189125295508277E-2</v>
      </c>
      <c r="R1165" s="10">
        <f t="shared" si="168"/>
        <v>0.15708812260536398</v>
      </c>
      <c r="S1165" s="18">
        <f t="shared" si="169"/>
        <v>75.862068965517238</v>
      </c>
      <c r="T1165" s="8">
        <f>480-ProductionData[[#This Row],[Downtime Minutes]]</f>
        <v>452</v>
      </c>
      <c r="U1165" s="11">
        <f t="shared" si="170"/>
        <v>0.93584070796460173</v>
      </c>
      <c r="V1165" s="18">
        <f>ProductionData[[#This Row],[Profit]]/ProductionData[[#This Row],[Good Units]]</f>
        <v>14.137931034482758</v>
      </c>
      <c r="W1165" s="11">
        <f>ProductionData[[#This Row],[Good Units]]/ProductionData[[#This Row],[Operating Minutes]]</f>
        <v>0.89823008849557517</v>
      </c>
    </row>
    <row r="1166" spans="1:23">
      <c r="A1166" s="7">
        <v>46333</v>
      </c>
      <c r="B1166" s="8" t="s">
        <v>32</v>
      </c>
      <c r="C1166" s="8" t="s">
        <v>27</v>
      </c>
      <c r="D1166" s="8" t="s">
        <v>21</v>
      </c>
      <c r="E1166" s="8" t="s">
        <v>24</v>
      </c>
      <c r="F1166" s="9">
        <v>400</v>
      </c>
      <c r="G1166" s="9">
        <v>359</v>
      </c>
      <c r="H1166" s="9">
        <v>19</v>
      </c>
      <c r="I1166" s="9">
        <f t="shared" si="162"/>
        <v>340</v>
      </c>
      <c r="J1166" s="9">
        <v>40</v>
      </c>
      <c r="K1166" s="10">
        <f t="shared" si="163"/>
        <v>8.3333333333333329E-2</v>
      </c>
      <c r="L1166" s="17">
        <v>120</v>
      </c>
      <c r="M1166" s="17">
        <v>30800</v>
      </c>
      <c r="N1166" s="17">
        <f t="shared" si="164"/>
        <v>40800</v>
      </c>
      <c r="O1166" s="17">
        <f t="shared" si="165"/>
        <v>10000</v>
      </c>
      <c r="P1166" s="10">
        <f t="shared" si="166"/>
        <v>0.89749999999999996</v>
      </c>
      <c r="Q1166" s="10">
        <f t="shared" si="167"/>
        <v>5.2924791086350974E-2</v>
      </c>
      <c r="R1166" s="10">
        <f t="shared" si="168"/>
        <v>0.24509803921568626</v>
      </c>
      <c r="S1166" s="18">
        <f t="shared" si="169"/>
        <v>90.588235294117652</v>
      </c>
      <c r="T1166" s="8">
        <f>480-ProductionData[[#This Row],[Downtime Minutes]]</f>
        <v>440</v>
      </c>
      <c r="U1166" s="11">
        <f t="shared" si="170"/>
        <v>0.81590909090909092</v>
      </c>
      <c r="V1166" s="18">
        <f>ProductionData[[#This Row],[Profit]]/ProductionData[[#This Row],[Good Units]]</f>
        <v>29.411764705882351</v>
      </c>
      <c r="W1166" s="11">
        <f>ProductionData[[#This Row],[Good Units]]/ProductionData[[#This Row],[Operating Minutes]]</f>
        <v>0.77272727272727271</v>
      </c>
    </row>
    <row r="1167" spans="1:23">
      <c r="A1167" s="7">
        <v>46333</v>
      </c>
      <c r="B1167" s="8" t="s">
        <v>32</v>
      </c>
      <c r="C1167" s="8" t="s">
        <v>27</v>
      </c>
      <c r="D1167" s="8" t="s">
        <v>23</v>
      </c>
      <c r="E1167" s="8" t="s">
        <v>26</v>
      </c>
      <c r="F1167" s="9">
        <v>490</v>
      </c>
      <c r="G1167" s="9">
        <v>426</v>
      </c>
      <c r="H1167" s="9">
        <v>26</v>
      </c>
      <c r="I1167" s="9">
        <f t="shared" si="162"/>
        <v>400</v>
      </c>
      <c r="J1167" s="9">
        <v>47</v>
      </c>
      <c r="K1167" s="10">
        <f t="shared" si="163"/>
        <v>9.7916666666666666E-2</v>
      </c>
      <c r="L1167" s="17">
        <v>90</v>
      </c>
      <c r="M1167" s="17">
        <v>30800</v>
      </c>
      <c r="N1167" s="17">
        <f t="shared" si="164"/>
        <v>36000</v>
      </c>
      <c r="O1167" s="17">
        <f t="shared" si="165"/>
        <v>5200</v>
      </c>
      <c r="P1167" s="10">
        <f t="shared" si="166"/>
        <v>0.8693877551020408</v>
      </c>
      <c r="Q1167" s="10">
        <f t="shared" si="167"/>
        <v>6.1032863849765258E-2</v>
      </c>
      <c r="R1167" s="10">
        <f t="shared" si="168"/>
        <v>0.14444444444444443</v>
      </c>
      <c r="S1167" s="18">
        <f t="shared" si="169"/>
        <v>77</v>
      </c>
      <c r="T1167" s="8">
        <f>480-ProductionData[[#This Row],[Downtime Minutes]]</f>
        <v>433</v>
      </c>
      <c r="U1167" s="11">
        <f t="shared" si="170"/>
        <v>0.9838337182448037</v>
      </c>
      <c r="V1167" s="18">
        <f>ProductionData[[#This Row],[Profit]]/ProductionData[[#This Row],[Good Units]]</f>
        <v>13</v>
      </c>
      <c r="W1167" s="11">
        <f>ProductionData[[#This Row],[Good Units]]/ProductionData[[#This Row],[Operating Minutes]]</f>
        <v>0.92378752886836024</v>
      </c>
    </row>
    <row r="1168" spans="1:23">
      <c r="A1168" s="7">
        <v>46333</v>
      </c>
      <c r="B1168" s="8" t="s">
        <v>32</v>
      </c>
      <c r="C1168" s="8" t="s">
        <v>27</v>
      </c>
      <c r="D1168" s="8" t="s">
        <v>25</v>
      </c>
      <c r="E1168" s="8" t="s">
        <v>22</v>
      </c>
      <c r="F1168" s="9">
        <v>440</v>
      </c>
      <c r="G1168" s="9">
        <v>380</v>
      </c>
      <c r="H1168" s="9">
        <v>30</v>
      </c>
      <c r="I1168" s="9">
        <f t="shared" si="162"/>
        <v>350</v>
      </c>
      <c r="J1168" s="9">
        <v>70</v>
      </c>
      <c r="K1168" s="10">
        <f t="shared" si="163"/>
        <v>0.14583333333333334</v>
      </c>
      <c r="L1168" s="17">
        <v>100</v>
      </c>
      <c r="M1168" s="17">
        <v>30800</v>
      </c>
      <c r="N1168" s="17">
        <f t="shared" si="164"/>
        <v>35000</v>
      </c>
      <c r="O1168" s="17">
        <f t="shared" si="165"/>
        <v>4200</v>
      </c>
      <c r="P1168" s="10">
        <f t="shared" si="166"/>
        <v>0.86363636363636365</v>
      </c>
      <c r="Q1168" s="10">
        <f t="shared" si="167"/>
        <v>7.8947368421052627E-2</v>
      </c>
      <c r="R1168" s="10">
        <f t="shared" si="168"/>
        <v>0.12</v>
      </c>
      <c r="S1168" s="18">
        <f t="shared" si="169"/>
        <v>88</v>
      </c>
      <c r="T1168" s="8">
        <f>480-ProductionData[[#This Row],[Downtime Minutes]]</f>
        <v>410</v>
      </c>
      <c r="U1168" s="11">
        <f t="shared" si="170"/>
        <v>0.92682926829268297</v>
      </c>
      <c r="V1168" s="18">
        <f>ProductionData[[#This Row],[Profit]]/ProductionData[[#This Row],[Good Units]]</f>
        <v>12</v>
      </c>
      <c r="W1168" s="11">
        <f>ProductionData[[#This Row],[Good Units]]/ProductionData[[#This Row],[Operating Minutes]]</f>
        <v>0.85365853658536583</v>
      </c>
    </row>
    <row r="1169" spans="1:23">
      <c r="A1169" s="7">
        <v>46333</v>
      </c>
      <c r="B1169" s="8" t="s">
        <v>32</v>
      </c>
      <c r="C1169" s="8" t="s">
        <v>28</v>
      </c>
      <c r="D1169" s="8" t="s">
        <v>21</v>
      </c>
      <c r="E1169" s="8" t="s">
        <v>26</v>
      </c>
      <c r="F1169" s="9">
        <v>520</v>
      </c>
      <c r="G1169" s="9">
        <v>485</v>
      </c>
      <c r="H1169" s="9">
        <v>9</v>
      </c>
      <c r="I1169" s="9">
        <f t="shared" si="162"/>
        <v>476</v>
      </c>
      <c r="J1169" s="9">
        <v>17</v>
      </c>
      <c r="K1169" s="10">
        <f t="shared" si="163"/>
        <v>3.5416666666666666E-2</v>
      </c>
      <c r="L1169" s="17">
        <v>90</v>
      </c>
      <c r="M1169" s="17">
        <v>30800</v>
      </c>
      <c r="N1169" s="17">
        <f t="shared" si="164"/>
        <v>42840</v>
      </c>
      <c r="O1169" s="17">
        <f t="shared" si="165"/>
        <v>12040</v>
      </c>
      <c r="P1169" s="10">
        <f t="shared" si="166"/>
        <v>0.93269230769230771</v>
      </c>
      <c r="Q1169" s="10">
        <f t="shared" si="167"/>
        <v>1.8556701030927835E-2</v>
      </c>
      <c r="R1169" s="10">
        <f t="shared" si="168"/>
        <v>0.28104575163398693</v>
      </c>
      <c r="S1169" s="18">
        <f t="shared" si="169"/>
        <v>64.705882352941174</v>
      </c>
      <c r="T1169" s="8">
        <f>480-ProductionData[[#This Row],[Downtime Minutes]]</f>
        <v>463</v>
      </c>
      <c r="U1169" s="11">
        <f t="shared" si="170"/>
        <v>1.0475161987041037</v>
      </c>
      <c r="V1169" s="18">
        <f>ProductionData[[#This Row],[Profit]]/ProductionData[[#This Row],[Good Units]]</f>
        <v>25.294117647058822</v>
      </c>
      <c r="W1169" s="11">
        <f>ProductionData[[#This Row],[Good Units]]/ProductionData[[#This Row],[Operating Minutes]]</f>
        <v>1.0280777537796977</v>
      </c>
    </row>
    <row r="1170" spans="1:23">
      <c r="A1170" s="7">
        <v>46333</v>
      </c>
      <c r="B1170" s="8" t="s">
        <v>32</v>
      </c>
      <c r="C1170" s="8" t="s">
        <v>28</v>
      </c>
      <c r="D1170" s="8" t="s">
        <v>23</v>
      </c>
      <c r="E1170" s="8" t="s">
        <v>22</v>
      </c>
      <c r="F1170" s="9">
        <v>440</v>
      </c>
      <c r="G1170" s="9">
        <v>409</v>
      </c>
      <c r="H1170" s="9">
        <v>15</v>
      </c>
      <c r="I1170" s="9">
        <f t="shared" si="162"/>
        <v>394</v>
      </c>
      <c r="J1170" s="9">
        <v>41</v>
      </c>
      <c r="K1170" s="10">
        <f t="shared" si="163"/>
        <v>8.5416666666666669E-2</v>
      </c>
      <c r="L1170" s="17">
        <v>100</v>
      </c>
      <c r="M1170" s="17">
        <v>30800</v>
      </c>
      <c r="N1170" s="17">
        <f t="shared" si="164"/>
        <v>39400</v>
      </c>
      <c r="O1170" s="17">
        <f t="shared" si="165"/>
        <v>8600</v>
      </c>
      <c r="P1170" s="10">
        <f t="shared" si="166"/>
        <v>0.92954545454545456</v>
      </c>
      <c r="Q1170" s="10">
        <f t="shared" si="167"/>
        <v>3.6674816625916873E-2</v>
      </c>
      <c r="R1170" s="10">
        <f t="shared" si="168"/>
        <v>0.21827411167512689</v>
      </c>
      <c r="S1170" s="18">
        <f t="shared" si="169"/>
        <v>78.172588832487307</v>
      </c>
      <c r="T1170" s="8">
        <f>480-ProductionData[[#This Row],[Downtime Minutes]]</f>
        <v>439</v>
      </c>
      <c r="U1170" s="11">
        <f t="shared" si="170"/>
        <v>0.93166287015945326</v>
      </c>
      <c r="V1170" s="18">
        <f>ProductionData[[#This Row],[Profit]]/ProductionData[[#This Row],[Good Units]]</f>
        <v>21.82741116751269</v>
      </c>
      <c r="W1170" s="11">
        <f>ProductionData[[#This Row],[Good Units]]/ProductionData[[#This Row],[Operating Minutes]]</f>
        <v>0.89749430523917995</v>
      </c>
    </row>
    <row r="1171" spans="1:23">
      <c r="A1171" s="7">
        <v>46333</v>
      </c>
      <c r="B1171" s="8" t="s">
        <v>32</v>
      </c>
      <c r="C1171" s="8" t="s">
        <v>28</v>
      </c>
      <c r="D1171" s="8" t="s">
        <v>25</v>
      </c>
      <c r="E1171" s="8" t="s">
        <v>24</v>
      </c>
      <c r="F1171" s="9">
        <v>390</v>
      </c>
      <c r="G1171" s="9">
        <v>364</v>
      </c>
      <c r="H1171" s="9">
        <v>10</v>
      </c>
      <c r="I1171" s="9">
        <f t="shared" si="162"/>
        <v>354</v>
      </c>
      <c r="J1171" s="9">
        <v>47</v>
      </c>
      <c r="K1171" s="10">
        <f t="shared" si="163"/>
        <v>9.7916666666666666E-2</v>
      </c>
      <c r="L1171" s="17">
        <v>120</v>
      </c>
      <c r="M1171" s="17">
        <v>30800</v>
      </c>
      <c r="N1171" s="17">
        <f t="shared" si="164"/>
        <v>42480</v>
      </c>
      <c r="O1171" s="17">
        <f t="shared" si="165"/>
        <v>11680</v>
      </c>
      <c r="P1171" s="10">
        <f t="shared" si="166"/>
        <v>0.93333333333333335</v>
      </c>
      <c r="Q1171" s="10">
        <f t="shared" si="167"/>
        <v>2.7472527472527472E-2</v>
      </c>
      <c r="R1171" s="10">
        <f t="shared" si="168"/>
        <v>0.27495291902071561</v>
      </c>
      <c r="S1171" s="18">
        <f t="shared" si="169"/>
        <v>87.005649717514117</v>
      </c>
      <c r="T1171" s="8">
        <f>480-ProductionData[[#This Row],[Downtime Minutes]]</f>
        <v>433</v>
      </c>
      <c r="U1171" s="11">
        <f t="shared" si="170"/>
        <v>0.84064665127020788</v>
      </c>
      <c r="V1171" s="18">
        <f>ProductionData[[#This Row],[Profit]]/ProductionData[[#This Row],[Good Units]]</f>
        <v>32.994350282485875</v>
      </c>
      <c r="W1171" s="11">
        <f>ProductionData[[#This Row],[Good Units]]/ProductionData[[#This Row],[Operating Minutes]]</f>
        <v>0.81755196304849886</v>
      </c>
    </row>
    <row r="1172" spans="1:23">
      <c r="A1172" s="7">
        <v>46334</v>
      </c>
      <c r="B1172" s="8" t="s">
        <v>32</v>
      </c>
      <c r="C1172" s="8" t="s">
        <v>20</v>
      </c>
      <c r="D1172" s="8" t="s">
        <v>21</v>
      </c>
      <c r="E1172" s="8" t="s">
        <v>24</v>
      </c>
      <c r="F1172" s="9">
        <v>410</v>
      </c>
      <c r="G1172" s="9">
        <v>370</v>
      </c>
      <c r="H1172" s="9">
        <v>12</v>
      </c>
      <c r="I1172" s="9">
        <f t="shared" si="162"/>
        <v>358</v>
      </c>
      <c r="J1172" s="9">
        <v>38</v>
      </c>
      <c r="K1172" s="10">
        <f t="shared" si="163"/>
        <v>7.9166666666666663E-2</v>
      </c>
      <c r="L1172" s="17">
        <v>120</v>
      </c>
      <c r="M1172" s="17">
        <v>30800</v>
      </c>
      <c r="N1172" s="17">
        <f t="shared" si="164"/>
        <v>42960</v>
      </c>
      <c r="O1172" s="17">
        <f t="shared" si="165"/>
        <v>12160</v>
      </c>
      <c r="P1172" s="10">
        <f t="shared" si="166"/>
        <v>0.90243902439024393</v>
      </c>
      <c r="Q1172" s="10">
        <f t="shared" si="167"/>
        <v>3.2432432432432434E-2</v>
      </c>
      <c r="R1172" s="10">
        <f t="shared" si="168"/>
        <v>0.28305400372439476</v>
      </c>
      <c r="S1172" s="18">
        <f t="shared" si="169"/>
        <v>86.033519553072622</v>
      </c>
      <c r="T1172" s="8">
        <f>480-ProductionData[[#This Row],[Downtime Minutes]]</f>
        <v>442</v>
      </c>
      <c r="U1172" s="11">
        <f t="shared" si="170"/>
        <v>0.83710407239819007</v>
      </c>
      <c r="V1172" s="18">
        <f>ProductionData[[#This Row],[Profit]]/ProductionData[[#This Row],[Good Units]]</f>
        <v>33.966480446927378</v>
      </c>
      <c r="W1172" s="11">
        <f>ProductionData[[#This Row],[Good Units]]/ProductionData[[#This Row],[Operating Minutes]]</f>
        <v>0.80995475113122173</v>
      </c>
    </row>
    <row r="1173" spans="1:23">
      <c r="A1173" s="7">
        <v>46334</v>
      </c>
      <c r="B1173" s="8" t="s">
        <v>32</v>
      </c>
      <c r="C1173" s="8" t="s">
        <v>20</v>
      </c>
      <c r="D1173" s="8" t="s">
        <v>23</v>
      </c>
      <c r="E1173" s="8" t="s">
        <v>26</v>
      </c>
      <c r="F1173" s="9">
        <v>490</v>
      </c>
      <c r="G1173" s="9">
        <v>442</v>
      </c>
      <c r="H1173" s="9">
        <v>15</v>
      </c>
      <c r="I1173" s="9">
        <f t="shared" si="162"/>
        <v>427</v>
      </c>
      <c r="J1173" s="9">
        <v>30</v>
      </c>
      <c r="K1173" s="10">
        <f t="shared" si="163"/>
        <v>6.25E-2</v>
      </c>
      <c r="L1173" s="17">
        <v>90</v>
      </c>
      <c r="M1173" s="17">
        <v>30800</v>
      </c>
      <c r="N1173" s="17">
        <f t="shared" si="164"/>
        <v>38430</v>
      </c>
      <c r="O1173" s="17">
        <f t="shared" si="165"/>
        <v>7630</v>
      </c>
      <c r="P1173" s="10">
        <f t="shared" si="166"/>
        <v>0.90204081632653066</v>
      </c>
      <c r="Q1173" s="10">
        <f t="shared" si="167"/>
        <v>3.3936651583710405E-2</v>
      </c>
      <c r="R1173" s="10">
        <f t="shared" si="168"/>
        <v>0.19854280510018216</v>
      </c>
      <c r="S1173" s="18">
        <f t="shared" si="169"/>
        <v>72.131147540983605</v>
      </c>
      <c r="T1173" s="8">
        <f>480-ProductionData[[#This Row],[Downtime Minutes]]</f>
        <v>450</v>
      </c>
      <c r="U1173" s="11">
        <f t="shared" si="170"/>
        <v>0.98222222222222222</v>
      </c>
      <c r="V1173" s="18">
        <f>ProductionData[[#This Row],[Profit]]/ProductionData[[#This Row],[Good Units]]</f>
        <v>17.868852459016395</v>
      </c>
      <c r="W1173" s="11">
        <f>ProductionData[[#This Row],[Good Units]]/ProductionData[[#This Row],[Operating Minutes]]</f>
        <v>0.94888888888888889</v>
      </c>
    </row>
    <row r="1174" spans="1:23">
      <c r="A1174" s="7">
        <v>46334</v>
      </c>
      <c r="B1174" s="8" t="s">
        <v>32</v>
      </c>
      <c r="C1174" s="8" t="s">
        <v>20</v>
      </c>
      <c r="D1174" s="8" t="s">
        <v>25</v>
      </c>
      <c r="E1174" s="8" t="s">
        <v>22</v>
      </c>
      <c r="F1174" s="9">
        <v>460</v>
      </c>
      <c r="G1174" s="9">
        <v>403</v>
      </c>
      <c r="H1174" s="9">
        <v>21</v>
      </c>
      <c r="I1174" s="9">
        <f t="shared" si="162"/>
        <v>382</v>
      </c>
      <c r="J1174" s="9">
        <v>39</v>
      </c>
      <c r="K1174" s="10">
        <f t="shared" si="163"/>
        <v>8.1250000000000003E-2</v>
      </c>
      <c r="L1174" s="17">
        <v>100</v>
      </c>
      <c r="M1174" s="17">
        <v>30800</v>
      </c>
      <c r="N1174" s="17">
        <f t="shared" si="164"/>
        <v>38200</v>
      </c>
      <c r="O1174" s="17">
        <f t="shared" si="165"/>
        <v>7400</v>
      </c>
      <c r="P1174" s="10">
        <f t="shared" si="166"/>
        <v>0.87608695652173918</v>
      </c>
      <c r="Q1174" s="10">
        <f t="shared" si="167"/>
        <v>5.2109181141439205E-2</v>
      </c>
      <c r="R1174" s="10">
        <f t="shared" si="168"/>
        <v>0.193717277486911</v>
      </c>
      <c r="S1174" s="18">
        <f t="shared" si="169"/>
        <v>80.6282722513089</v>
      </c>
      <c r="T1174" s="8">
        <f>480-ProductionData[[#This Row],[Downtime Minutes]]</f>
        <v>441</v>
      </c>
      <c r="U1174" s="11">
        <f t="shared" si="170"/>
        <v>0.91383219954648531</v>
      </c>
      <c r="V1174" s="18">
        <f>ProductionData[[#This Row],[Profit]]/ProductionData[[#This Row],[Good Units]]</f>
        <v>19.3717277486911</v>
      </c>
      <c r="W1174" s="11">
        <f>ProductionData[[#This Row],[Good Units]]/ProductionData[[#This Row],[Operating Minutes]]</f>
        <v>0.86621315192743764</v>
      </c>
    </row>
    <row r="1175" spans="1:23">
      <c r="A1175" s="7">
        <v>46334</v>
      </c>
      <c r="B1175" s="8" t="s">
        <v>32</v>
      </c>
      <c r="C1175" s="8" t="s">
        <v>27</v>
      </c>
      <c r="D1175" s="8" t="s">
        <v>21</v>
      </c>
      <c r="E1175" s="8" t="s">
        <v>26</v>
      </c>
      <c r="F1175" s="9">
        <v>520</v>
      </c>
      <c r="G1175" s="9">
        <v>460</v>
      </c>
      <c r="H1175" s="9">
        <v>20</v>
      </c>
      <c r="I1175" s="9">
        <f t="shared" si="162"/>
        <v>440</v>
      </c>
      <c r="J1175" s="9">
        <v>48</v>
      </c>
      <c r="K1175" s="10">
        <f t="shared" si="163"/>
        <v>0.1</v>
      </c>
      <c r="L1175" s="17">
        <v>90</v>
      </c>
      <c r="M1175" s="17">
        <v>30800</v>
      </c>
      <c r="N1175" s="17">
        <f t="shared" si="164"/>
        <v>39600</v>
      </c>
      <c r="O1175" s="17">
        <f t="shared" si="165"/>
        <v>8800</v>
      </c>
      <c r="P1175" s="10">
        <f t="shared" si="166"/>
        <v>0.88461538461538458</v>
      </c>
      <c r="Q1175" s="10">
        <f t="shared" si="167"/>
        <v>4.3478260869565216E-2</v>
      </c>
      <c r="R1175" s="10">
        <f t="shared" si="168"/>
        <v>0.22222222222222221</v>
      </c>
      <c r="S1175" s="18">
        <f t="shared" si="169"/>
        <v>70</v>
      </c>
      <c r="T1175" s="8">
        <f>480-ProductionData[[#This Row],[Downtime Minutes]]</f>
        <v>432</v>
      </c>
      <c r="U1175" s="11">
        <f t="shared" si="170"/>
        <v>1.0648148148148149</v>
      </c>
      <c r="V1175" s="18">
        <f>ProductionData[[#This Row],[Profit]]/ProductionData[[#This Row],[Good Units]]</f>
        <v>20</v>
      </c>
      <c r="W1175" s="11">
        <f>ProductionData[[#This Row],[Good Units]]/ProductionData[[#This Row],[Operating Minutes]]</f>
        <v>1.0185185185185186</v>
      </c>
    </row>
    <row r="1176" spans="1:23">
      <c r="A1176" s="7">
        <v>46334</v>
      </c>
      <c r="B1176" s="8" t="s">
        <v>32</v>
      </c>
      <c r="C1176" s="8" t="s">
        <v>27</v>
      </c>
      <c r="D1176" s="8" t="s">
        <v>23</v>
      </c>
      <c r="E1176" s="8" t="s">
        <v>22</v>
      </c>
      <c r="F1176" s="9">
        <v>450</v>
      </c>
      <c r="G1176" s="9">
        <v>385</v>
      </c>
      <c r="H1176" s="9">
        <v>29</v>
      </c>
      <c r="I1176" s="9">
        <f t="shared" si="162"/>
        <v>356</v>
      </c>
      <c r="J1176" s="9">
        <v>57</v>
      </c>
      <c r="K1176" s="10">
        <f t="shared" si="163"/>
        <v>0.11874999999999999</v>
      </c>
      <c r="L1176" s="17">
        <v>100</v>
      </c>
      <c r="M1176" s="17">
        <v>30800</v>
      </c>
      <c r="N1176" s="17">
        <f t="shared" si="164"/>
        <v>35600</v>
      </c>
      <c r="O1176" s="17">
        <f t="shared" si="165"/>
        <v>4800</v>
      </c>
      <c r="P1176" s="10">
        <f t="shared" si="166"/>
        <v>0.85555555555555551</v>
      </c>
      <c r="Q1176" s="10">
        <f t="shared" si="167"/>
        <v>7.5324675324675322E-2</v>
      </c>
      <c r="R1176" s="10">
        <f t="shared" si="168"/>
        <v>0.1348314606741573</v>
      </c>
      <c r="S1176" s="18">
        <f t="shared" si="169"/>
        <v>86.516853932584269</v>
      </c>
      <c r="T1176" s="8">
        <f>480-ProductionData[[#This Row],[Downtime Minutes]]</f>
        <v>423</v>
      </c>
      <c r="U1176" s="11">
        <f t="shared" si="170"/>
        <v>0.91016548463356972</v>
      </c>
      <c r="V1176" s="18">
        <f>ProductionData[[#This Row],[Profit]]/ProductionData[[#This Row],[Good Units]]</f>
        <v>13.48314606741573</v>
      </c>
      <c r="W1176" s="11">
        <f>ProductionData[[#This Row],[Good Units]]/ProductionData[[#This Row],[Operating Minutes]]</f>
        <v>0.84160756501182032</v>
      </c>
    </row>
    <row r="1177" spans="1:23">
      <c r="A1177" s="7">
        <v>46334</v>
      </c>
      <c r="B1177" s="8" t="s">
        <v>32</v>
      </c>
      <c r="C1177" s="8" t="s">
        <v>27</v>
      </c>
      <c r="D1177" s="8" t="s">
        <v>25</v>
      </c>
      <c r="E1177" s="8" t="s">
        <v>24</v>
      </c>
      <c r="F1177" s="9">
        <v>390</v>
      </c>
      <c r="G1177" s="9">
        <v>318</v>
      </c>
      <c r="H1177" s="9">
        <v>19</v>
      </c>
      <c r="I1177" s="9">
        <f t="shared" si="162"/>
        <v>299</v>
      </c>
      <c r="J1177" s="9">
        <v>59</v>
      </c>
      <c r="K1177" s="10">
        <f t="shared" si="163"/>
        <v>0.12291666666666666</v>
      </c>
      <c r="L1177" s="17">
        <v>120</v>
      </c>
      <c r="M1177" s="17">
        <v>30800</v>
      </c>
      <c r="N1177" s="17">
        <f t="shared" si="164"/>
        <v>35880</v>
      </c>
      <c r="O1177" s="17">
        <f t="shared" si="165"/>
        <v>5080</v>
      </c>
      <c r="P1177" s="10">
        <f t="shared" si="166"/>
        <v>0.81538461538461537</v>
      </c>
      <c r="Q1177" s="10">
        <f t="shared" si="167"/>
        <v>5.9748427672955975E-2</v>
      </c>
      <c r="R1177" s="10">
        <f t="shared" si="168"/>
        <v>0.14158305462653289</v>
      </c>
      <c r="S1177" s="18">
        <f t="shared" si="169"/>
        <v>103.01003344481606</v>
      </c>
      <c r="T1177" s="8">
        <f>480-ProductionData[[#This Row],[Downtime Minutes]]</f>
        <v>421</v>
      </c>
      <c r="U1177" s="11">
        <f t="shared" si="170"/>
        <v>0.75534441805225649</v>
      </c>
      <c r="V1177" s="18">
        <f>ProductionData[[#This Row],[Profit]]/ProductionData[[#This Row],[Good Units]]</f>
        <v>16.989966555183948</v>
      </c>
      <c r="W1177" s="11">
        <f>ProductionData[[#This Row],[Good Units]]/ProductionData[[#This Row],[Operating Minutes]]</f>
        <v>0.7102137767220903</v>
      </c>
    </row>
    <row r="1178" spans="1:23">
      <c r="A1178" s="7">
        <v>46334</v>
      </c>
      <c r="B1178" s="8" t="s">
        <v>32</v>
      </c>
      <c r="C1178" s="8" t="s">
        <v>28</v>
      </c>
      <c r="D1178" s="8" t="s">
        <v>21</v>
      </c>
      <c r="E1178" s="8" t="s">
        <v>22</v>
      </c>
      <c r="F1178" s="9">
        <v>450</v>
      </c>
      <c r="G1178" s="9">
        <v>418</v>
      </c>
      <c r="H1178" s="9">
        <v>16</v>
      </c>
      <c r="I1178" s="9">
        <f t="shared" si="162"/>
        <v>402</v>
      </c>
      <c r="J1178" s="9">
        <v>36</v>
      </c>
      <c r="K1178" s="10">
        <f t="shared" si="163"/>
        <v>7.4999999999999997E-2</v>
      </c>
      <c r="L1178" s="17">
        <v>100</v>
      </c>
      <c r="M1178" s="17">
        <v>30800</v>
      </c>
      <c r="N1178" s="17">
        <f t="shared" si="164"/>
        <v>40200</v>
      </c>
      <c r="O1178" s="17">
        <f t="shared" si="165"/>
        <v>9400</v>
      </c>
      <c r="P1178" s="10">
        <f t="shared" si="166"/>
        <v>0.92888888888888888</v>
      </c>
      <c r="Q1178" s="10">
        <f t="shared" si="167"/>
        <v>3.8277511961722487E-2</v>
      </c>
      <c r="R1178" s="10">
        <f t="shared" si="168"/>
        <v>0.23383084577114427</v>
      </c>
      <c r="S1178" s="18">
        <f t="shared" si="169"/>
        <v>76.616915422885569</v>
      </c>
      <c r="T1178" s="8">
        <f>480-ProductionData[[#This Row],[Downtime Minutes]]</f>
        <v>444</v>
      </c>
      <c r="U1178" s="11">
        <f t="shared" si="170"/>
        <v>0.94144144144144148</v>
      </c>
      <c r="V1178" s="18">
        <f>ProductionData[[#This Row],[Profit]]/ProductionData[[#This Row],[Good Units]]</f>
        <v>23.383084577114428</v>
      </c>
      <c r="W1178" s="11">
        <f>ProductionData[[#This Row],[Good Units]]/ProductionData[[#This Row],[Operating Minutes]]</f>
        <v>0.90540540540540537</v>
      </c>
    </row>
    <row r="1179" spans="1:23">
      <c r="A1179" s="7">
        <v>46334</v>
      </c>
      <c r="B1179" s="8" t="s">
        <v>32</v>
      </c>
      <c r="C1179" s="8" t="s">
        <v>28</v>
      </c>
      <c r="D1179" s="8" t="s">
        <v>23</v>
      </c>
      <c r="E1179" s="8" t="s">
        <v>24</v>
      </c>
      <c r="F1179" s="9">
        <v>390</v>
      </c>
      <c r="G1179" s="9">
        <v>356</v>
      </c>
      <c r="H1179" s="9">
        <v>9</v>
      </c>
      <c r="I1179" s="9">
        <f t="shared" si="162"/>
        <v>347</v>
      </c>
      <c r="J1179" s="9">
        <v>22</v>
      </c>
      <c r="K1179" s="10">
        <f t="shared" si="163"/>
        <v>4.583333333333333E-2</v>
      </c>
      <c r="L1179" s="17">
        <v>120</v>
      </c>
      <c r="M1179" s="17">
        <v>30800</v>
      </c>
      <c r="N1179" s="17">
        <f t="shared" si="164"/>
        <v>41640</v>
      </c>
      <c r="O1179" s="17">
        <f t="shared" si="165"/>
        <v>10840</v>
      </c>
      <c r="P1179" s="10">
        <f t="shared" si="166"/>
        <v>0.9128205128205128</v>
      </c>
      <c r="Q1179" s="10">
        <f t="shared" si="167"/>
        <v>2.5280898876404494E-2</v>
      </c>
      <c r="R1179" s="10">
        <f t="shared" si="168"/>
        <v>0.26032660902977905</v>
      </c>
      <c r="S1179" s="18">
        <f t="shared" si="169"/>
        <v>88.760806916426517</v>
      </c>
      <c r="T1179" s="8">
        <f>480-ProductionData[[#This Row],[Downtime Minutes]]</f>
        <v>458</v>
      </c>
      <c r="U1179" s="11">
        <f t="shared" si="170"/>
        <v>0.77729257641921401</v>
      </c>
      <c r="V1179" s="18">
        <f>ProductionData[[#This Row],[Profit]]/ProductionData[[#This Row],[Good Units]]</f>
        <v>31.239193083573486</v>
      </c>
      <c r="W1179" s="11">
        <f>ProductionData[[#This Row],[Good Units]]/ProductionData[[#This Row],[Operating Minutes]]</f>
        <v>0.75764192139737996</v>
      </c>
    </row>
    <row r="1180" spans="1:23">
      <c r="A1180" s="7">
        <v>46334</v>
      </c>
      <c r="B1180" s="8" t="s">
        <v>32</v>
      </c>
      <c r="C1180" s="8" t="s">
        <v>28</v>
      </c>
      <c r="D1180" s="8" t="s">
        <v>25</v>
      </c>
      <c r="E1180" s="8" t="s">
        <v>26</v>
      </c>
      <c r="F1180" s="9">
        <v>520</v>
      </c>
      <c r="G1180" s="9">
        <v>477</v>
      </c>
      <c r="H1180" s="9">
        <v>20</v>
      </c>
      <c r="I1180" s="9">
        <f t="shared" si="162"/>
        <v>457</v>
      </c>
      <c r="J1180" s="9">
        <v>32</v>
      </c>
      <c r="K1180" s="10">
        <f t="shared" si="163"/>
        <v>6.6666666666666666E-2</v>
      </c>
      <c r="L1180" s="17">
        <v>90</v>
      </c>
      <c r="M1180" s="17">
        <v>30800</v>
      </c>
      <c r="N1180" s="17">
        <f t="shared" si="164"/>
        <v>41130</v>
      </c>
      <c r="O1180" s="17">
        <f t="shared" si="165"/>
        <v>10330</v>
      </c>
      <c r="P1180" s="10">
        <f t="shared" si="166"/>
        <v>0.91730769230769227</v>
      </c>
      <c r="Q1180" s="10">
        <f t="shared" si="167"/>
        <v>4.1928721174004195E-2</v>
      </c>
      <c r="R1180" s="10">
        <f t="shared" si="168"/>
        <v>0.2511548747872599</v>
      </c>
      <c r="S1180" s="18">
        <f t="shared" si="169"/>
        <v>67.396061269146614</v>
      </c>
      <c r="T1180" s="8">
        <f>480-ProductionData[[#This Row],[Downtime Minutes]]</f>
        <v>448</v>
      </c>
      <c r="U1180" s="11">
        <f t="shared" si="170"/>
        <v>1.0647321428571428</v>
      </c>
      <c r="V1180" s="18">
        <f>ProductionData[[#This Row],[Profit]]/ProductionData[[#This Row],[Good Units]]</f>
        <v>22.603938730853393</v>
      </c>
      <c r="W1180" s="11">
        <f>ProductionData[[#This Row],[Good Units]]/ProductionData[[#This Row],[Operating Minutes]]</f>
        <v>1.0200892857142858</v>
      </c>
    </row>
    <row r="1181" spans="1:23">
      <c r="A1181" s="7">
        <v>46335</v>
      </c>
      <c r="B1181" s="8" t="s">
        <v>32</v>
      </c>
      <c r="C1181" s="8" t="s">
        <v>20</v>
      </c>
      <c r="D1181" s="8" t="s">
        <v>21</v>
      </c>
      <c r="E1181" s="8" t="s">
        <v>26</v>
      </c>
      <c r="F1181" s="9">
        <v>490</v>
      </c>
      <c r="G1181" s="9">
        <v>451</v>
      </c>
      <c r="H1181" s="9">
        <v>12</v>
      </c>
      <c r="I1181" s="9">
        <f t="shared" si="162"/>
        <v>439</v>
      </c>
      <c r="J1181" s="9">
        <v>37</v>
      </c>
      <c r="K1181" s="10">
        <f t="shared" si="163"/>
        <v>7.7083333333333337E-2</v>
      </c>
      <c r="L1181" s="17">
        <v>90</v>
      </c>
      <c r="M1181" s="17">
        <v>30800</v>
      </c>
      <c r="N1181" s="17">
        <f t="shared" si="164"/>
        <v>39510</v>
      </c>
      <c r="O1181" s="17">
        <f t="shared" si="165"/>
        <v>8710</v>
      </c>
      <c r="P1181" s="10">
        <f t="shared" si="166"/>
        <v>0.92040816326530617</v>
      </c>
      <c r="Q1181" s="10">
        <f t="shared" si="167"/>
        <v>2.6607538802660754E-2</v>
      </c>
      <c r="R1181" s="10">
        <f t="shared" si="168"/>
        <v>0.22045051885598582</v>
      </c>
      <c r="S1181" s="18">
        <f t="shared" si="169"/>
        <v>70.159453302961282</v>
      </c>
      <c r="T1181" s="8">
        <f>480-ProductionData[[#This Row],[Downtime Minutes]]</f>
        <v>443</v>
      </c>
      <c r="U1181" s="11">
        <f t="shared" si="170"/>
        <v>1.0180586907449209</v>
      </c>
      <c r="V1181" s="18">
        <f>ProductionData[[#This Row],[Profit]]/ProductionData[[#This Row],[Good Units]]</f>
        <v>19.840546697038725</v>
      </c>
      <c r="W1181" s="11">
        <f>ProductionData[[#This Row],[Good Units]]/ProductionData[[#This Row],[Operating Minutes]]</f>
        <v>0.99097065462753953</v>
      </c>
    </row>
    <row r="1182" spans="1:23">
      <c r="A1182" s="7">
        <v>46335</v>
      </c>
      <c r="B1182" s="8" t="s">
        <v>32</v>
      </c>
      <c r="C1182" s="8" t="s">
        <v>20</v>
      </c>
      <c r="D1182" s="8" t="s">
        <v>23</v>
      </c>
      <c r="E1182" s="8" t="s">
        <v>22</v>
      </c>
      <c r="F1182" s="9">
        <v>460</v>
      </c>
      <c r="G1182" s="9">
        <v>412</v>
      </c>
      <c r="H1182" s="9">
        <v>23</v>
      </c>
      <c r="I1182" s="9">
        <f t="shared" si="162"/>
        <v>389</v>
      </c>
      <c r="J1182" s="9">
        <v>54</v>
      </c>
      <c r="K1182" s="10">
        <f t="shared" si="163"/>
        <v>0.1125</v>
      </c>
      <c r="L1182" s="17">
        <v>100</v>
      </c>
      <c r="M1182" s="17">
        <v>30800</v>
      </c>
      <c r="N1182" s="17">
        <f t="shared" si="164"/>
        <v>38900</v>
      </c>
      <c r="O1182" s="17">
        <f t="shared" si="165"/>
        <v>8100</v>
      </c>
      <c r="P1182" s="10">
        <f t="shared" si="166"/>
        <v>0.89565217391304353</v>
      </c>
      <c r="Q1182" s="10">
        <f t="shared" si="167"/>
        <v>5.5825242718446605E-2</v>
      </c>
      <c r="R1182" s="10">
        <f t="shared" si="168"/>
        <v>0.20822622107969152</v>
      </c>
      <c r="S1182" s="18">
        <f t="shared" si="169"/>
        <v>79.177377892030847</v>
      </c>
      <c r="T1182" s="8">
        <f>480-ProductionData[[#This Row],[Downtime Minutes]]</f>
        <v>426</v>
      </c>
      <c r="U1182" s="11">
        <f t="shared" si="170"/>
        <v>0.96713615023474175</v>
      </c>
      <c r="V1182" s="18">
        <f>ProductionData[[#This Row],[Profit]]/ProductionData[[#This Row],[Good Units]]</f>
        <v>20.822622107969153</v>
      </c>
      <c r="W1182" s="11">
        <f>ProductionData[[#This Row],[Good Units]]/ProductionData[[#This Row],[Operating Minutes]]</f>
        <v>0.91314553990610325</v>
      </c>
    </row>
    <row r="1183" spans="1:23">
      <c r="A1183" s="7">
        <v>46335</v>
      </c>
      <c r="B1183" s="8" t="s">
        <v>32</v>
      </c>
      <c r="C1183" s="8" t="s">
        <v>20</v>
      </c>
      <c r="D1183" s="8" t="s">
        <v>25</v>
      </c>
      <c r="E1183" s="8" t="s">
        <v>24</v>
      </c>
      <c r="F1183" s="9">
        <v>400</v>
      </c>
      <c r="G1183" s="9">
        <v>346</v>
      </c>
      <c r="H1183" s="9">
        <v>16</v>
      </c>
      <c r="I1183" s="9">
        <f t="shared" si="162"/>
        <v>330</v>
      </c>
      <c r="J1183" s="9">
        <v>53</v>
      </c>
      <c r="K1183" s="10">
        <f t="shared" si="163"/>
        <v>0.11041666666666666</v>
      </c>
      <c r="L1183" s="17">
        <v>120</v>
      </c>
      <c r="M1183" s="17">
        <v>30800</v>
      </c>
      <c r="N1183" s="17">
        <f t="shared" si="164"/>
        <v>39600</v>
      </c>
      <c r="O1183" s="17">
        <f t="shared" si="165"/>
        <v>8800</v>
      </c>
      <c r="P1183" s="10">
        <f t="shared" si="166"/>
        <v>0.86499999999999999</v>
      </c>
      <c r="Q1183" s="10">
        <f t="shared" si="167"/>
        <v>4.6242774566473986E-2</v>
      </c>
      <c r="R1183" s="10">
        <f t="shared" si="168"/>
        <v>0.22222222222222221</v>
      </c>
      <c r="S1183" s="18">
        <f t="shared" si="169"/>
        <v>93.333333333333329</v>
      </c>
      <c r="T1183" s="8">
        <f>480-ProductionData[[#This Row],[Downtime Minutes]]</f>
        <v>427</v>
      </c>
      <c r="U1183" s="11">
        <f t="shared" si="170"/>
        <v>0.81030444964871196</v>
      </c>
      <c r="V1183" s="18">
        <f>ProductionData[[#This Row],[Profit]]/ProductionData[[#This Row],[Good Units]]</f>
        <v>26.666666666666668</v>
      </c>
      <c r="W1183" s="11">
        <f>ProductionData[[#This Row],[Good Units]]/ProductionData[[#This Row],[Operating Minutes]]</f>
        <v>0.77283372365339575</v>
      </c>
    </row>
    <row r="1184" spans="1:23">
      <c r="A1184" s="7">
        <v>46335</v>
      </c>
      <c r="B1184" s="8" t="s">
        <v>32</v>
      </c>
      <c r="C1184" s="8" t="s">
        <v>27</v>
      </c>
      <c r="D1184" s="8" t="s">
        <v>21</v>
      </c>
      <c r="E1184" s="8" t="s">
        <v>22</v>
      </c>
      <c r="F1184" s="9">
        <v>440</v>
      </c>
      <c r="G1184" s="9">
        <v>382</v>
      </c>
      <c r="H1184" s="9">
        <v>25</v>
      </c>
      <c r="I1184" s="9">
        <f t="shared" si="162"/>
        <v>357</v>
      </c>
      <c r="J1184" s="9">
        <v>65</v>
      </c>
      <c r="K1184" s="10">
        <f t="shared" si="163"/>
        <v>0.13541666666666666</v>
      </c>
      <c r="L1184" s="17">
        <v>100</v>
      </c>
      <c r="M1184" s="17">
        <v>30800</v>
      </c>
      <c r="N1184" s="17">
        <f t="shared" si="164"/>
        <v>35700</v>
      </c>
      <c r="O1184" s="17">
        <f t="shared" si="165"/>
        <v>4900</v>
      </c>
      <c r="P1184" s="10">
        <f t="shared" si="166"/>
        <v>0.86818181818181817</v>
      </c>
      <c r="Q1184" s="10">
        <f t="shared" si="167"/>
        <v>6.5445026178010471E-2</v>
      </c>
      <c r="R1184" s="10">
        <f t="shared" si="168"/>
        <v>0.13725490196078433</v>
      </c>
      <c r="S1184" s="18">
        <f t="shared" si="169"/>
        <v>86.274509803921575</v>
      </c>
      <c r="T1184" s="8">
        <f>480-ProductionData[[#This Row],[Downtime Minutes]]</f>
        <v>415</v>
      </c>
      <c r="U1184" s="11">
        <f t="shared" si="170"/>
        <v>0.92048192771084336</v>
      </c>
      <c r="V1184" s="18">
        <f>ProductionData[[#This Row],[Profit]]/ProductionData[[#This Row],[Good Units]]</f>
        <v>13.725490196078431</v>
      </c>
      <c r="W1184" s="11">
        <f>ProductionData[[#This Row],[Good Units]]/ProductionData[[#This Row],[Operating Minutes]]</f>
        <v>0.8602409638554217</v>
      </c>
    </row>
    <row r="1185" spans="1:23">
      <c r="A1185" s="7">
        <v>46335</v>
      </c>
      <c r="B1185" s="8" t="s">
        <v>32</v>
      </c>
      <c r="C1185" s="8" t="s">
        <v>27</v>
      </c>
      <c r="D1185" s="8" t="s">
        <v>23</v>
      </c>
      <c r="E1185" s="8" t="s">
        <v>24</v>
      </c>
      <c r="F1185" s="9">
        <v>400</v>
      </c>
      <c r="G1185" s="9">
        <v>359</v>
      </c>
      <c r="H1185" s="9">
        <v>16</v>
      </c>
      <c r="I1185" s="9">
        <f t="shared" si="162"/>
        <v>343</v>
      </c>
      <c r="J1185" s="9">
        <v>62</v>
      </c>
      <c r="K1185" s="10">
        <f t="shared" si="163"/>
        <v>0.12916666666666668</v>
      </c>
      <c r="L1185" s="17">
        <v>120</v>
      </c>
      <c r="M1185" s="17">
        <v>30800</v>
      </c>
      <c r="N1185" s="17">
        <f t="shared" si="164"/>
        <v>41160</v>
      </c>
      <c r="O1185" s="17">
        <f t="shared" si="165"/>
        <v>10360</v>
      </c>
      <c r="P1185" s="10">
        <f t="shared" si="166"/>
        <v>0.89749999999999996</v>
      </c>
      <c r="Q1185" s="10">
        <f t="shared" si="167"/>
        <v>4.456824512534819E-2</v>
      </c>
      <c r="R1185" s="10">
        <f t="shared" si="168"/>
        <v>0.25170068027210885</v>
      </c>
      <c r="S1185" s="18">
        <f t="shared" si="169"/>
        <v>89.795918367346943</v>
      </c>
      <c r="T1185" s="8">
        <f>480-ProductionData[[#This Row],[Downtime Minutes]]</f>
        <v>418</v>
      </c>
      <c r="U1185" s="11">
        <f t="shared" si="170"/>
        <v>0.85885167464114831</v>
      </c>
      <c r="V1185" s="18">
        <f>ProductionData[[#This Row],[Profit]]/ProductionData[[#This Row],[Good Units]]</f>
        <v>30.204081632653061</v>
      </c>
      <c r="W1185" s="11">
        <f>ProductionData[[#This Row],[Good Units]]/ProductionData[[#This Row],[Operating Minutes]]</f>
        <v>0.82057416267942584</v>
      </c>
    </row>
    <row r="1186" spans="1:23">
      <c r="A1186" s="7">
        <v>46335</v>
      </c>
      <c r="B1186" s="8" t="s">
        <v>32</v>
      </c>
      <c r="C1186" s="8" t="s">
        <v>27</v>
      </c>
      <c r="D1186" s="8" t="s">
        <v>25</v>
      </c>
      <c r="E1186" s="8" t="s">
        <v>26</v>
      </c>
      <c r="F1186" s="9">
        <v>520</v>
      </c>
      <c r="G1186" s="9">
        <v>433</v>
      </c>
      <c r="H1186" s="9">
        <v>29</v>
      </c>
      <c r="I1186" s="9">
        <f t="shared" si="162"/>
        <v>404</v>
      </c>
      <c r="J1186" s="9">
        <v>65</v>
      </c>
      <c r="K1186" s="10">
        <f t="shared" si="163"/>
        <v>0.13541666666666666</v>
      </c>
      <c r="L1186" s="17">
        <v>90</v>
      </c>
      <c r="M1186" s="17">
        <v>30800</v>
      </c>
      <c r="N1186" s="17">
        <f t="shared" si="164"/>
        <v>36360</v>
      </c>
      <c r="O1186" s="17">
        <f t="shared" si="165"/>
        <v>5560</v>
      </c>
      <c r="P1186" s="10">
        <f t="shared" si="166"/>
        <v>0.83269230769230773</v>
      </c>
      <c r="Q1186" s="10">
        <f t="shared" si="167"/>
        <v>6.6974595842956119E-2</v>
      </c>
      <c r="R1186" s="10">
        <f t="shared" si="168"/>
        <v>0.15291529152915292</v>
      </c>
      <c r="S1186" s="18">
        <f t="shared" si="169"/>
        <v>76.237623762376231</v>
      </c>
      <c r="T1186" s="8">
        <f>480-ProductionData[[#This Row],[Downtime Minutes]]</f>
        <v>415</v>
      </c>
      <c r="U1186" s="11">
        <f t="shared" si="170"/>
        <v>1.0433734939759036</v>
      </c>
      <c r="V1186" s="18">
        <f>ProductionData[[#This Row],[Profit]]/ProductionData[[#This Row],[Good Units]]</f>
        <v>13.762376237623762</v>
      </c>
      <c r="W1186" s="11">
        <f>ProductionData[[#This Row],[Good Units]]/ProductionData[[#This Row],[Operating Minutes]]</f>
        <v>0.97349397590361442</v>
      </c>
    </row>
    <row r="1187" spans="1:23">
      <c r="A1187" s="7">
        <v>46335</v>
      </c>
      <c r="B1187" s="8" t="s">
        <v>32</v>
      </c>
      <c r="C1187" s="8" t="s">
        <v>28</v>
      </c>
      <c r="D1187" s="8" t="s">
        <v>21</v>
      </c>
      <c r="E1187" s="8" t="s">
        <v>24</v>
      </c>
      <c r="F1187" s="9">
        <v>410</v>
      </c>
      <c r="G1187" s="9">
        <v>399</v>
      </c>
      <c r="H1187" s="9">
        <v>8</v>
      </c>
      <c r="I1187" s="9">
        <f t="shared" si="162"/>
        <v>391</v>
      </c>
      <c r="J1187" s="9">
        <v>10</v>
      </c>
      <c r="K1187" s="10">
        <f t="shared" si="163"/>
        <v>2.0833333333333332E-2</v>
      </c>
      <c r="L1187" s="17">
        <v>120</v>
      </c>
      <c r="M1187" s="17">
        <v>30800</v>
      </c>
      <c r="N1187" s="17">
        <f t="shared" si="164"/>
        <v>46920</v>
      </c>
      <c r="O1187" s="17">
        <f t="shared" si="165"/>
        <v>16120</v>
      </c>
      <c r="P1187" s="10">
        <f t="shared" si="166"/>
        <v>0.97317073170731705</v>
      </c>
      <c r="Q1187" s="10">
        <f t="shared" si="167"/>
        <v>2.0050125313283207E-2</v>
      </c>
      <c r="R1187" s="10">
        <f t="shared" si="168"/>
        <v>0.34356351236146632</v>
      </c>
      <c r="S1187" s="18">
        <f t="shared" si="169"/>
        <v>78.772378516624045</v>
      </c>
      <c r="T1187" s="8">
        <f>480-ProductionData[[#This Row],[Downtime Minutes]]</f>
        <v>470</v>
      </c>
      <c r="U1187" s="11">
        <f t="shared" si="170"/>
        <v>0.84893617021276591</v>
      </c>
      <c r="V1187" s="18">
        <f>ProductionData[[#This Row],[Profit]]/ProductionData[[#This Row],[Good Units]]</f>
        <v>41.227621483375962</v>
      </c>
      <c r="W1187" s="11">
        <f>ProductionData[[#This Row],[Good Units]]/ProductionData[[#This Row],[Operating Minutes]]</f>
        <v>0.83191489361702131</v>
      </c>
    </row>
    <row r="1188" spans="1:23">
      <c r="A1188" s="7">
        <v>46335</v>
      </c>
      <c r="B1188" s="8" t="s">
        <v>32</v>
      </c>
      <c r="C1188" s="8" t="s">
        <v>28</v>
      </c>
      <c r="D1188" s="8" t="s">
        <v>23</v>
      </c>
      <c r="E1188" s="8" t="s">
        <v>26</v>
      </c>
      <c r="F1188" s="9">
        <v>500</v>
      </c>
      <c r="G1188" s="9">
        <v>466</v>
      </c>
      <c r="H1188" s="9">
        <v>14</v>
      </c>
      <c r="I1188" s="9">
        <f t="shared" si="162"/>
        <v>452</v>
      </c>
      <c r="J1188" s="9">
        <v>17</v>
      </c>
      <c r="K1188" s="10">
        <f t="shared" si="163"/>
        <v>3.5416666666666666E-2</v>
      </c>
      <c r="L1188" s="17">
        <v>90</v>
      </c>
      <c r="M1188" s="17">
        <v>30800</v>
      </c>
      <c r="N1188" s="17">
        <f t="shared" si="164"/>
        <v>40680</v>
      </c>
      <c r="O1188" s="17">
        <f t="shared" si="165"/>
        <v>9880</v>
      </c>
      <c r="P1188" s="10">
        <f t="shared" si="166"/>
        <v>0.93200000000000005</v>
      </c>
      <c r="Q1188" s="10">
        <f t="shared" si="167"/>
        <v>3.0042918454935622E-2</v>
      </c>
      <c r="R1188" s="10">
        <f t="shared" si="168"/>
        <v>0.24287118977384464</v>
      </c>
      <c r="S1188" s="18">
        <f t="shared" si="169"/>
        <v>68.141592920353986</v>
      </c>
      <c r="T1188" s="8">
        <f>480-ProductionData[[#This Row],[Downtime Minutes]]</f>
        <v>463</v>
      </c>
      <c r="U1188" s="11">
        <f t="shared" si="170"/>
        <v>1.0064794816414686</v>
      </c>
      <c r="V1188" s="18">
        <f>ProductionData[[#This Row],[Profit]]/ProductionData[[#This Row],[Good Units]]</f>
        <v>21.858407079646017</v>
      </c>
      <c r="W1188" s="11">
        <f>ProductionData[[#This Row],[Good Units]]/ProductionData[[#This Row],[Operating Minutes]]</f>
        <v>0.97624190064794814</v>
      </c>
    </row>
    <row r="1189" spans="1:23">
      <c r="A1189" s="7">
        <v>46335</v>
      </c>
      <c r="B1189" s="8" t="s">
        <v>32</v>
      </c>
      <c r="C1189" s="8" t="s">
        <v>28</v>
      </c>
      <c r="D1189" s="8" t="s">
        <v>25</v>
      </c>
      <c r="E1189" s="8" t="s">
        <v>22</v>
      </c>
      <c r="F1189" s="9">
        <v>460</v>
      </c>
      <c r="G1189" s="9">
        <v>422</v>
      </c>
      <c r="H1189" s="9">
        <v>19</v>
      </c>
      <c r="I1189" s="9">
        <f t="shared" si="162"/>
        <v>403</v>
      </c>
      <c r="J1189" s="9">
        <v>31</v>
      </c>
      <c r="K1189" s="10">
        <f t="shared" si="163"/>
        <v>6.458333333333334E-2</v>
      </c>
      <c r="L1189" s="17">
        <v>100</v>
      </c>
      <c r="M1189" s="17">
        <v>30800</v>
      </c>
      <c r="N1189" s="17">
        <f t="shared" si="164"/>
        <v>40300</v>
      </c>
      <c r="O1189" s="17">
        <f t="shared" si="165"/>
        <v>9500</v>
      </c>
      <c r="P1189" s="10">
        <f t="shared" si="166"/>
        <v>0.91739130434782612</v>
      </c>
      <c r="Q1189" s="10">
        <f t="shared" si="167"/>
        <v>4.5023696682464455E-2</v>
      </c>
      <c r="R1189" s="10">
        <f t="shared" si="168"/>
        <v>0.23573200992555832</v>
      </c>
      <c r="S1189" s="18">
        <f t="shared" si="169"/>
        <v>76.426799007444174</v>
      </c>
      <c r="T1189" s="8">
        <f>480-ProductionData[[#This Row],[Downtime Minutes]]</f>
        <v>449</v>
      </c>
      <c r="U1189" s="11">
        <f t="shared" si="170"/>
        <v>0.93986636971046766</v>
      </c>
      <c r="V1189" s="18">
        <f>ProductionData[[#This Row],[Profit]]/ProductionData[[#This Row],[Good Units]]</f>
        <v>23.573200992555833</v>
      </c>
      <c r="W1189" s="11">
        <f>ProductionData[[#This Row],[Good Units]]/ProductionData[[#This Row],[Operating Minutes]]</f>
        <v>0.89755011135857465</v>
      </c>
    </row>
    <row r="1190" spans="1:23">
      <c r="A1190" s="7">
        <v>46336</v>
      </c>
      <c r="B1190" s="8" t="s">
        <v>32</v>
      </c>
      <c r="C1190" s="8" t="s">
        <v>20</v>
      </c>
      <c r="D1190" s="8" t="s">
        <v>21</v>
      </c>
      <c r="E1190" s="8" t="s">
        <v>22</v>
      </c>
      <c r="F1190" s="9">
        <v>460</v>
      </c>
      <c r="G1190" s="9">
        <v>436</v>
      </c>
      <c r="H1190" s="9">
        <v>18</v>
      </c>
      <c r="I1190" s="9">
        <f t="shared" si="162"/>
        <v>418</v>
      </c>
      <c r="J1190" s="9">
        <v>43</v>
      </c>
      <c r="K1190" s="10">
        <f t="shared" si="163"/>
        <v>8.9583333333333334E-2</v>
      </c>
      <c r="L1190" s="17">
        <v>100</v>
      </c>
      <c r="M1190" s="17">
        <v>30800</v>
      </c>
      <c r="N1190" s="17">
        <f t="shared" si="164"/>
        <v>41800</v>
      </c>
      <c r="O1190" s="17">
        <f t="shared" si="165"/>
        <v>11000</v>
      </c>
      <c r="P1190" s="10">
        <f t="shared" si="166"/>
        <v>0.94782608695652171</v>
      </c>
      <c r="Q1190" s="10">
        <f t="shared" si="167"/>
        <v>4.1284403669724773E-2</v>
      </c>
      <c r="R1190" s="10">
        <f t="shared" si="168"/>
        <v>0.26315789473684209</v>
      </c>
      <c r="S1190" s="18">
        <f t="shared" si="169"/>
        <v>73.684210526315795</v>
      </c>
      <c r="T1190" s="8">
        <f>480-ProductionData[[#This Row],[Downtime Minutes]]</f>
        <v>437</v>
      </c>
      <c r="U1190" s="11">
        <f t="shared" si="170"/>
        <v>0.99771167048054921</v>
      </c>
      <c r="V1190" s="18">
        <f>ProductionData[[#This Row],[Profit]]/ProductionData[[#This Row],[Good Units]]</f>
        <v>26.315789473684209</v>
      </c>
      <c r="W1190" s="11">
        <f>ProductionData[[#This Row],[Good Units]]/ProductionData[[#This Row],[Operating Minutes]]</f>
        <v>0.95652173913043481</v>
      </c>
    </row>
    <row r="1191" spans="1:23">
      <c r="A1191" s="7">
        <v>46336</v>
      </c>
      <c r="B1191" s="8" t="s">
        <v>32</v>
      </c>
      <c r="C1191" s="8" t="s">
        <v>20</v>
      </c>
      <c r="D1191" s="8" t="s">
        <v>23</v>
      </c>
      <c r="E1191" s="8" t="s">
        <v>24</v>
      </c>
      <c r="F1191" s="9">
        <v>410</v>
      </c>
      <c r="G1191" s="9">
        <v>378</v>
      </c>
      <c r="H1191" s="9">
        <v>12</v>
      </c>
      <c r="I1191" s="9">
        <f t="shared" si="162"/>
        <v>366</v>
      </c>
      <c r="J1191" s="9">
        <v>38</v>
      </c>
      <c r="K1191" s="10">
        <f t="shared" si="163"/>
        <v>7.9166666666666663E-2</v>
      </c>
      <c r="L1191" s="17">
        <v>120</v>
      </c>
      <c r="M1191" s="17">
        <v>30800</v>
      </c>
      <c r="N1191" s="17">
        <f t="shared" si="164"/>
        <v>43920</v>
      </c>
      <c r="O1191" s="17">
        <f t="shared" si="165"/>
        <v>13120</v>
      </c>
      <c r="P1191" s="10">
        <f t="shared" si="166"/>
        <v>0.92195121951219516</v>
      </c>
      <c r="Q1191" s="10">
        <f t="shared" si="167"/>
        <v>3.1746031746031744E-2</v>
      </c>
      <c r="R1191" s="10">
        <f t="shared" si="168"/>
        <v>0.2987249544626594</v>
      </c>
      <c r="S1191" s="18">
        <f t="shared" si="169"/>
        <v>84.15300546448087</v>
      </c>
      <c r="T1191" s="8">
        <f>480-ProductionData[[#This Row],[Downtime Minutes]]</f>
        <v>442</v>
      </c>
      <c r="U1191" s="11">
        <f t="shared" si="170"/>
        <v>0.85520361990950222</v>
      </c>
      <c r="V1191" s="18">
        <f>ProductionData[[#This Row],[Profit]]/ProductionData[[#This Row],[Good Units]]</f>
        <v>35.846994535519123</v>
      </c>
      <c r="W1191" s="11">
        <f>ProductionData[[#This Row],[Good Units]]/ProductionData[[#This Row],[Operating Minutes]]</f>
        <v>0.82805429864253388</v>
      </c>
    </row>
    <row r="1192" spans="1:23">
      <c r="A1192" s="7">
        <v>46336</v>
      </c>
      <c r="B1192" s="8" t="s">
        <v>32</v>
      </c>
      <c r="C1192" s="8" t="s">
        <v>20</v>
      </c>
      <c r="D1192" s="8" t="s">
        <v>25</v>
      </c>
      <c r="E1192" s="8" t="s">
        <v>26</v>
      </c>
      <c r="F1192" s="9">
        <v>500</v>
      </c>
      <c r="G1192" s="9">
        <v>446</v>
      </c>
      <c r="H1192" s="9">
        <v>23</v>
      </c>
      <c r="I1192" s="9">
        <f t="shared" si="162"/>
        <v>423</v>
      </c>
      <c r="J1192" s="9">
        <v>38</v>
      </c>
      <c r="K1192" s="10">
        <f t="shared" si="163"/>
        <v>7.9166666666666663E-2</v>
      </c>
      <c r="L1192" s="17">
        <v>90</v>
      </c>
      <c r="M1192" s="17">
        <v>30800</v>
      </c>
      <c r="N1192" s="17">
        <f t="shared" si="164"/>
        <v>38070</v>
      </c>
      <c r="O1192" s="17">
        <f t="shared" si="165"/>
        <v>7270</v>
      </c>
      <c r="P1192" s="10">
        <f t="shared" si="166"/>
        <v>0.89200000000000002</v>
      </c>
      <c r="Q1192" s="10">
        <f t="shared" si="167"/>
        <v>5.1569506726457402E-2</v>
      </c>
      <c r="R1192" s="10">
        <f t="shared" si="168"/>
        <v>0.19096401365904911</v>
      </c>
      <c r="S1192" s="18">
        <f t="shared" si="169"/>
        <v>72.813238770685572</v>
      </c>
      <c r="T1192" s="8">
        <f>480-ProductionData[[#This Row],[Downtime Minutes]]</f>
        <v>442</v>
      </c>
      <c r="U1192" s="11">
        <f t="shared" si="170"/>
        <v>1.0090497737556561</v>
      </c>
      <c r="V1192" s="18">
        <f>ProductionData[[#This Row],[Profit]]/ProductionData[[#This Row],[Good Units]]</f>
        <v>17.186761229314421</v>
      </c>
      <c r="W1192" s="11">
        <f>ProductionData[[#This Row],[Good Units]]/ProductionData[[#This Row],[Operating Minutes]]</f>
        <v>0.95701357466063353</v>
      </c>
    </row>
    <row r="1193" spans="1:23">
      <c r="A1193" s="7">
        <v>46336</v>
      </c>
      <c r="B1193" s="8" t="s">
        <v>32</v>
      </c>
      <c r="C1193" s="8" t="s">
        <v>27</v>
      </c>
      <c r="D1193" s="8" t="s">
        <v>21</v>
      </c>
      <c r="E1193" s="8" t="s">
        <v>24</v>
      </c>
      <c r="F1193" s="9">
        <v>390</v>
      </c>
      <c r="G1193" s="9">
        <v>351</v>
      </c>
      <c r="H1193" s="9">
        <v>17</v>
      </c>
      <c r="I1193" s="9">
        <f t="shared" si="162"/>
        <v>334</v>
      </c>
      <c r="J1193" s="9">
        <v>49</v>
      </c>
      <c r="K1193" s="10">
        <f t="shared" si="163"/>
        <v>0.10208333333333333</v>
      </c>
      <c r="L1193" s="17">
        <v>120</v>
      </c>
      <c r="M1193" s="17">
        <v>30800</v>
      </c>
      <c r="N1193" s="17">
        <f t="shared" si="164"/>
        <v>40080</v>
      </c>
      <c r="O1193" s="17">
        <f t="shared" si="165"/>
        <v>9280</v>
      </c>
      <c r="P1193" s="10">
        <f t="shared" si="166"/>
        <v>0.9</v>
      </c>
      <c r="Q1193" s="10">
        <f t="shared" si="167"/>
        <v>4.843304843304843E-2</v>
      </c>
      <c r="R1193" s="10">
        <f t="shared" si="168"/>
        <v>0.2315369261477046</v>
      </c>
      <c r="S1193" s="18">
        <f t="shared" si="169"/>
        <v>92.215568862275447</v>
      </c>
      <c r="T1193" s="8">
        <f>480-ProductionData[[#This Row],[Downtime Minutes]]</f>
        <v>431</v>
      </c>
      <c r="U1193" s="11">
        <f t="shared" si="170"/>
        <v>0.81438515081206497</v>
      </c>
      <c r="V1193" s="18">
        <f>ProductionData[[#This Row],[Profit]]/ProductionData[[#This Row],[Good Units]]</f>
        <v>27.78443113772455</v>
      </c>
      <c r="W1193" s="11">
        <f>ProductionData[[#This Row],[Good Units]]/ProductionData[[#This Row],[Operating Minutes]]</f>
        <v>0.77494199535962882</v>
      </c>
    </row>
    <row r="1194" spans="1:23">
      <c r="A1194" s="7">
        <v>46336</v>
      </c>
      <c r="B1194" s="8" t="s">
        <v>32</v>
      </c>
      <c r="C1194" s="8" t="s">
        <v>27</v>
      </c>
      <c r="D1194" s="8" t="s">
        <v>23</v>
      </c>
      <c r="E1194" s="8" t="s">
        <v>26</v>
      </c>
      <c r="F1194" s="9">
        <v>510</v>
      </c>
      <c r="G1194" s="9">
        <v>445</v>
      </c>
      <c r="H1194" s="9">
        <v>23</v>
      </c>
      <c r="I1194" s="9">
        <f t="shared" si="162"/>
        <v>422</v>
      </c>
      <c r="J1194" s="9">
        <v>59</v>
      </c>
      <c r="K1194" s="10">
        <f t="shared" si="163"/>
        <v>0.12291666666666666</v>
      </c>
      <c r="L1194" s="17">
        <v>90</v>
      </c>
      <c r="M1194" s="17">
        <v>30800</v>
      </c>
      <c r="N1194" s="17">
        <f t="shared" si="164"/>
        <v>37980</v>
      </c>
      <c r="O1194" s="17">
        <f t="shared" si="165"/>
        <v>7180</v>
      </c>
      <c r="P1194" s="10">
        <f t="shared" si="166"/>
        <v>0.87254901960784315</v>
      </c>
      <c r="Q1194" s="10">
        <f t="shared" si="167"/>
        <v>5.1685393258426963E-2</v>
      </c>
      <c r="R1194" s="10">
        <f t="shared" si="168"/>
        <v>0.18904686677198526</v>
      </c>
      <c r="S1194" s="18">
        <f t="shared" si="169"/>
        <v>72.985781990521332</v>
      </c>
      <c r="T1194" s="8">
        <f>480-ProductionData[[#This Row],[Downtime Minutes]]</f>
        <v>421</v>
      </c>
      <c r="U1194" s="11">
        <f t="shared" si="170"/>
        <v>1.0570071258907363</v>
      </c>
      <c r="V1194" s="18">
        <f>ProductionData[[#This Row],[Profit]]/ProductionData[[#This Row],[Good Units]]</f>
        <v>17.014218009478672</v>
      </c>
      <c r="W1194" s="11">
        <f>ProductionData[[#This Row],[Good Units]]/ProductionData[[#This Row],[Operating Minutes]]</f>
        <v>1.002375296912114</v>
      </c>
    </row>
    <row r="1195" spans="1:23">
      <c r="A1195" s="7">
        <v>46336</v>
      </c>
      <c r="B1195" s="8" t="s">
        <v>32</v>
      </c>
      <c r="C1195" s="8" t="s">
        <v>27</v>
      </c>
      <c r="D1195" s="8" t="s">
        <v>25</v>
      </c>
      <c r="E1195" s="8" t="s">
        <v>22</v>
      </c>
      <c r="F1195" s="9">
        <v>430</v>
      </c>
      <c r="G1195" s="9">
        <v>372</v>
      </c>
      <c r="H1195" s="9">
        <v>28</v>
      </c>
      <c r="I1195" s="9">
        <f t="shared" si="162"/>
        <v>344</v>
      </c>
      <c r="J1195" s="9">
        <v>69</v>
      </c>
      <c r="K1195" s="10">
        <f t="shared" si="163"/>
        <v>0.14374999999999999</v>
      </c>
      <c r="L1195" s="17">
        <v>100</v>
      </c>
      <c r="M1195" s="17">
        <v>30800</v>
      </c>
      <c r="N1195" s="17">
        <f t="shared" si="164"/>
        <v>34400</v>
      </c>
      <c r="O1195" s="17">
        <f t="shared" si="165"/>
        <v>3600</v>
      </c>
      <c r="P1195" s="10">
        <f t="shared" si="166"/>
        <v>0.8651162790697674</v>
      </c>
      <c r="Q1195" s="10">
        <f t="shared" si="167"/>
        <v>7.5268817204301078E-2</v>
      </c>
      <c r="R1195" s="10">
        <f t="shared" si="168"/>
        <v>0.10465116279069768</v>
      </c>
      <c r="S1195" s="18">
        <f t="shared" si="169"/>
        <v>89.534883720930239</v>
      </c>
      <c r="T1195" s="8">
        <f>480-ProductionData[[#This Row],[Downtime Minutes]]</f>
        <v>411</v>
      </c>
      <c r="U1195" s="11">
        <f t="shared" si="170"/>
        <v>0.9051094890510949</v>
      </c>
      <c r="V1195" s="18">
        <f>ProductionData[[#This Row],[Profit]]/ProductionData[[#This Row],[Good Units]]</f>
        <v>10.465116279069768</v>
      </c>
      <c r="W1195" s="11">
        <f>ProductionData[[#This Row],[Good Units]]/ProductionData[[#This Row],[Operating Minutes]]</f>
        <v>0.83698296836982966</v>
      </c>
    </row>
    <row r="1196" spans="1:23">
      <c r="A1196" s="7">
        <v>46336</v>
      </c>
      <c r="B1196" s="8" t="s">
        <v>32</v>
      </c>
      <c r="C1196" s="8" t="s">
        <v>28</v>
      </c>
      <c r="D1196" s="8" t="s">
        <v>21</v>
      </c>
      <c r="E1196" s="8" t="s">
        <v>26</v>
      </c>
      <c r="F1196" s="9">
        <v>500</v>
      </c>
      <c r="G1196" s="9">
        <v>474</v>
      </c>
      <c r="H1196" s="9">
        <v>13</v>
      </c>
      <c r="I1196" s="9">
        <f t="shared" si="162"/>
        <v>461</v>
      </c>
      <c r="J1196" s="9">
        <v>19</v>
      </c>
      <c r="K1196" s="10">
        <f t="shared" si="163"/>
        <v>3.9583333333333331E-2</v>
      </c>
      <c r="L1196" s="17">
        <v>90</v>
      </c>
      <c r="M1196" s="17">
        <v>30800</v>
      </c>
      <c r="N1196" s="17">
        <f t="shared" si="164"/>
        <v>41490</v>
      </c>
      <c r="O1196" s="17">
        <f t="shared" si="165"/>
        <v>10690</v>
      </c>
      <c r="P1196" s="10">
        <f t="shared" si="166"/>
        <v>0.94799999999999995</v>
      </c>
      <c r="Q1196" s="10">
        <f t="shared" si="167"/>
        <v>2.7426160337552744E-2</v>
      </c>
      <c r="R1196" s="10">
        <f t="shared" si="168"/>
        <v>0.25765244637261991</v>
      </c>
      <c r="S1196" s="18">
        <f t="shared" si="169"/>
        <v>66.811279826464215</v>
      </c>
      <c r="T1196" s="8">
        <f>480-ProductionData[[#This Row],[Downtime Minutes]]</f>
        <v>461</v>
      </c>
      <c r="U1196" s="11">
        <f t="shared" si="170"/>
        <v>1.0281995661605206</v>
      </c>
      <c r="V1196" s="18">
        <f>ProductionData[[#This Row],[Profit]]/ProductionData[[#This Row],[Good Units]]</f>
        <v>23.188720173535792</v>
      </c>
      <c r="W1196" s="11">
        <f>ProductionData[[#This Row],[Good Units]]/ProductionData[[#This Row],[Operating Minutes]]</f>
        <v>1</v>
      </c>
    </row>
    <row r="1197" spans="1:23">
      <c r="A1197" s="7">
        <v>46336</v>
      </c>
      <c r="B1197" s="8" t="s">
        <v>32</v>
      </c>
      <c r="C1197" s="8" t="s">
        <v>28</v>
      </c>
      <c r="D1197" s="8" t="s">
        <v>23</v>
      </c>
      <c r="E1197" s="8" t="s">
        <v>22</v>
      </c>
      <c r="F1197" s="9">
        <v>440</v>
      </c>
      <c r="G1197" s="9">
        <v>411</v>
      </c>
      <c r="H1197" s="9">
        <v>18</v>
      </c>
      <c r="I1197" s="9">
        <f t="shared" si="162"/>
        <v>393</v>
      </c>
      <c r="J1197" s="9">
        <v>43</v>
      </c>
      <c r="K1197" s="10">
        <f t="shared" si="163"/>
        <v>8.9583333333333334E-2</v>
      </c>
      <c r="L1197" s="17">
        <v>100</v>
      </c>
      <c r="M1197" s="17">
        <v>30800</v>
      </c>
      <c r="N1197" s="17">
        <f t="shared" si="164"/>
        <v>39300</v>
      </c>
      <c r="O1197" s="17">
        <f t="shared" si="165"/>
        <v>8500</v>
      </c>
      <c r="P1197" s="10">
        <f t="shared" si="166"/>
        <v>0.93409090909090908</v>
      </c>
      <c r="Q1197" s="10">
        <f t="shared" si="167"/>
        <v>4.3795620437956206E-2</v>
      </c>
      <c r="R1197" s="10">
        <f t="shared" si="168"/>
        <v>0.21628498727735368</v>
      </c>
      <c r="S1197" s="18">
        <f t="shared" si="169"/>
        <v>78.371501272264638</v>
      </c>
      <c r="T1197" s="8">
        <f>480-ProductionData[[#This Row],[Downtime Minutes]]</f>
        <v>437</v>
      </c>
      <c r="U1197" s="11">
        <f t="shared" si="170"/>
        <v>0.94050343249427915</v>
      </c>
      <c r="V1197" s="18">
        <f>ProductionData[[#This Row],[Profit]]/ProductionData[[#This Row],[Good Units]]</f>
        <v>21.628498727735369</v>
      </c>
      <c r="W1197" s="11">
        <f>ProductionData[[#This Row],[Good Units]]/ProductionData[[#This Row],[Operating Minutes]]</f>
        <v>0.89931350114416475</v>
      </c>
    </row>
    <row r="1198" spans="1:23">
      <c r="A1198" s="7">
        <v>46336</v>
      </c>
      <c r="B1198" s="8" t="s">
        <v>32</v>
      </c>
      <c r="C1198" s="8" t="s">
        <v>28</v>
      </c>
      <c r="D1198" s="8" t="s">
        <v>25</v>
      </c>
      <c r="E1198" s="8" t="s">
        <v>24</v>
      </c>
      <c r="F1198" s="9">
        <v>410</v>
      </c>
      <c r="G1198" s="9">
        <v>370</v>
      </c>
      <c r="H1198" s="9">
        <v>13</v>
      </c>
      <c r="I1198" s="9">
        <f t="shared" si="162"/>
        <v>357</v>
      </c>
      <c r="J1198" s="9">
        <v>44</v>
      </c>
      <c r="K1198" s="10">
        <f t="shared" si="163"/>
        <v>9.166666666666666E-2</v>
      </c>
      <c r="L1198" s="17">
        <v>120</v>
      </c>
      <c r="M1198" s="17">
        <v>30800</v>
      </c>
      <c r="N1198" s="17">
        <f t="shared" si="164"/>
        <v>42840</v>
      </c>
      <c r="O1198" s="17">
        <f t="shared" si="165"/>
        <v>12040</v>
      </c>
      <c r="P1198" s="10">
        <f t="shared" si="166"/>
        <v>0.90243902439024393</v>
      </c>
      <c r="Q1198" s="10">
        <f t="shared" si="167"/>
        <v>3.5135135135135137E-2</v>
      </c>
      <c r="R1198" s="10">
        <f t="shared" si="168"/>
        <v>0.28104575163398693</v>
      </c>
      <c r="S1198" s="18">
        <f t="shared" si="169"/>
        <v>86.274509803921575</v>
      </c>
      <c r="T1198" s="8">
        <f>480-ProductionData[[#This Row],[Downtime Minutes]]</f>
        <v>436</v>
      </c>
      <c r="U1198" s="11">
        <f t="shared" si="170"/>
        <v>0.84862385321100919</v>
      </c>
      <c r="V1198" s="18">
        <f>ProductionData[[#This Row],[Profit]]/ProductionData[[#This Row],[Good Units]]</f>
        <v>33.725490196078432</v>
      </c>
      <c r="W1198" s="11">
        <f>ProductionData[[#This Row],[Good Units]]/ProductionData[[#This Row],[Operating Minutes]]</f>
        <v>0.81880733944954132</v>
      </c>
    </row>
    <row r="1199" spans="1:23">
      <c r="A1199" s="7">
        <v>46337</v>
      </c>
      <c r="B1199" s="8" t="s">
        <v>32</v>
      </c>
      <c r="C1199" s="8" t="s">
        <v>20</v>
      </c>
      <c r="D1199" s="8" t="s">
        <v>21</v>
      </c>
      <c r="E1199" s="8" t="s">
        <v>24</v>
      </c>
      <c r="F1199" s="9">
        <v>390</v>
      </c>
      <c r="G1199" s="9">
        <v>370</v>
      </c>
      <c r="H1199" s="9">
        <v>13</v>
      </c>
      <c r="I1199" s="9">
        <f t="shared" si="162"/>
        <v>357</v>
      </c>
      <c r="J1199" s="9">
        <v>42</v>
      </c>
      <c r="K1199" s="10">
        <f t="shared" si="163"/>
        <v>8.7499999999999994E-2</v>
      </c>
      <c r="L1199" s="17">
        <v>120</v>
      </c>
      <c r="M1199" s="17">
        <v>30800</v>
      </c>
      <c r="N1199" s="17">
        <f t="shared" si="164"/>
        <v>42840</v>
      </c>
      <c r="O1199" s="17">
        <f t="shared" si="165"/>
        <v>12040</v>
      </c>
      <c r="P1199" s="10">
        <f t="shared" si="166"/>
        <v>0.94871794871794868</v>
      </c>
      <c r="Q1199" s="10">
        <f t="shared" si="167"/>
        <v>3.5135135135135137E-2</v>
      </c>
      <c r="R1199" s="10">
        <f t="shared" si="168"/>
        <v>0.28104575163398693</v>
      </c>
      <c r="S1199" s="18">
        <f t="shared" si="169"/>
        <v>86.274509803921575</v>
      </c>
      <c r="T1199" s="8">
        <f>480-ProductionData[[#This Row],[Downtime Minutes]]</f>
        <v>438</v>
      </c>
      <c r="U1199" s="11">
        <f t="shared" si="170"/>
        <v>0.84474885844748859</v>
      </c>
      <c r="V1199" s="18">
        <f>ProductionData[[#This Row],[Profit]]/ProductionData[[#This Row],[Good Units]]</f>
        <v>33.725490196078432</v>
      </c>
      <c r="W1199" s="11">
        <f>ProductionData[[#This Row],[Good Units]]/ProductionData[[#This Row],[Operating Minutes]]</f>
        <v>0.81506849315068497</v>
      </c>
    </row>
    <row r="1200" spans="1:23">
      <c r="A1200" s="7">
        <v>46337</v>
      </c>
      <c r="B1200" s="8" t="s">
        <v>32</v>
      </c>
      <c r="C1200" s="8" t="s">
        <v>20</v>
      </c>
      <c r="D1200" s="8" t="s">
        <v>23</v>
      </c>
      <c r="E1200" s="8" t="s">
        <v>26</v>
      </c>
      <c r="F1200" s="9">
        <v>510</v>
      </c>
      <c r="G1200" s="9">
        <v>477</v>
      </c>
      <c r="H1200" s="9">
        <v>19</v>
      </c>
      <c r="I1200" s="9">
        <f t="shared" si="162"/>
        <v>458</v>
      </c>
      <c r="J1200" s="9">
        <v>34</v>
      </c>
      <c r="K1200" s="10">
        <f t="shared" si="163"/>
        <v>7.0833333333333331E-2</v>
      </c>
      <c r="L1200" s="17">
        <v>90</v>
      </c>
      <c r="M1200" s="17">
        <v>30800</v>
      </c>
      <c r="N1200" s="17">
        <f t="shared" si="164"/>
        <v>41220</v>
      </c>
      <c r="O1200" s="17">
        <f t="shared" si="165"/>
        <v>10420</v>
      </c>
      <c r="P1200" s="10">
        <f t="shared" si="166"/>
        <v>0.93529411764705883</v>
      </c>
      <c r="Q1200" s="10">
        <f t="shared" si="167"/>
        <v>3.9832285115303984E-2</v>
      </c>
      <c r="R1200" s="10">
        <f t="shared" si="168"/>
        <v>0.25278990781174188</v>
      </c>
      <c r="S1200" s="18">
        <f t="shared" si="169"/>
        <v>67.248908296943227</v>
      </c>
      <c r="T1200" s="8">
        <f>480-ProductionData[[#This Row],[Downtime Minutes]]</f>
        <v>446</v>
      </c>
      <c r="U1200" s="11">
        <f t="shared" si="170"/>
        <v>1.0695067264573992</v>
      </c>
      <c r="V1200" s="18">
        <f>ProductionData[[#This Row],[Profit]]/ProductionData[[#This Row],[Good Units]]</f>
        <v>22.751091703056769</v>
      </c>
      <c r="W1200" s="11">
        <f>ProductionData[[#This Row],[Good Units]]/ProductionData[[#This Row],[Operating Minutes]]</f>
        <v>1.0269058295964126</v>
      </c>
    </row>
    <row r="1201" spans="1:23">
      <c r="A1201" s="7">
        <v>46337</v>
      </c>
      <c r="B1201" s="8" t="s">
        <v>32</v>
      </c>
      <c r="C1201" s="8" t="s">
        <v>20</v>
      </c>
      <c r="D1201" s="8" t="s">
        <v>25</v>
      </c>
      <c r="E1201" s="8" t="s">
        <v>22</v>
      </c>
      <c r="F1201" s="9">
        <v>440</v>
      </c>
      <c r="G1201" s="9">
        <v>395</v>
      </c>
      <c r="H1201" s="9">
        <v>22</v>
      </c>
      <c r="I1201" s="9">
        <f t="shared" si="162"/>
        <v>373</v>
      </c>
      <c r="J1201" s="9">
        <v>42</v>
      </c>
      <c r="K1201" s="10">
        <f t="shared" si="163"/>
        <v>8.7499999999999994E-2</v>
      </c>
      <c r="L1201" s="17">
        <v>100</v>
      </c>
      <c r="M1201" s="17">
        <v>30800</v>
      </c>
      <c r="N1201" s="17">
        <f t="shared" si="164"/>
        <v>37300</v>
      </c>
      <c r="O1201" s="17">
        <f t="shared" si="165"/>
        <v>6500</v>
      </c>
      <c r="P1201" s="10">
        <f t="shared" si="166"/>
        <v>0.89772727272727271</v>
      </c>
      <c r="Q1201" s="10">
        <f t="shared" si="167"/>
        <v>5.5696202531645568E-2</v>
      </c>
      <c r="R1201" s="10">
        <f t="shared" si="168"/>
        <v>0.17426273458445041</v>
      </c>
      <c r="S1201" s="18">
        <f t="shared" si="169"/>
        <v>82.573726541554961</v>
      </c>
      <c r="T1201" s="8">
        <f>480-ProductionData[[#This Row],[Downtime Minutes]]</f>
        <v>438</v>
      </c>
      <c r="U1201" s="11">
        <f t="shared" si="170"/>
        <v>0.90182648401826482</v>
      </c>
      <c r="V1201" s="18">
        <f>ProductionData[[#This Row],[Profit]]/ProductionData[[#This Row],[Good Units]]</f>
        <v>17.426273458445039</v>
      </c>
      <c r="W1201" s="11">
        <f>ProductionData[[#This Row],[Good Units]]/ProductionData[[#This Row],[Operating Minutes]]</f>
        <v>0.85159817351598177</v>
      </c>
    </row>
    <row r="1202" spans="1:23">
      <c r="A1202" s="7">
        <v>46337</v>
      </c>
      <c r="B1202" s="8" t="s">
        <v>32</v>
      </c>
      <c r="C1202" s="8" t="s">
        <v>27</v>
      </c>
      <c r="D1202" s="8" t="s">
        <v>21</v>
      </c>
      <c r="E1202" s="8" t="s">
        <v>26</v>
      </c>
      <c r="F1202" s="9">
        <v>520</v>
      </c>
      <c r="G1202" s="9">
        <v>451</v>
      </c>
      <c r="H1202" s="9">
        <v>25</v>
      </c>
      <c r="I1202" s="9">
        <f t="shared" si="162"/>
        <v>426</v>
      </c>
      <c r="J1202" s="9">
        <v>52</v>
      </c>
      <c r="K1202" s="10">
        <f t="shared" si="163"/>
        <v>0.10833333333333334</v>
      </c>
      <c r="L1202" s="17">
        <v>90</v>
      </c>
      <c r="M1202" s="17">
        <v>30800</v>
      </c>
      <c r="N1202" s="17">
        <f t="shared" si="164"/>
        <v>38340</v>
      </c>
      <c r="O1202" s="17">
        <f t="shared" si="165"/>
        <v>7540</v>
      </c>
      <c r="P1202" s="10">
        <f t="shared" si="166"/>
        <v>0.86730769230769234</v>
      </c>
      <c r="Q1202" s="10">
        <f t="shared" si="167"/>
        <v>5.543237250554324E-2</v>
      </c>
      <c r="R1202" s="10">
        <f t="shared" si="168"/>
        <v>0.19666145018257694</v>
      </c>
      <c r="S1202" s="18">
        <f t="shared" si="169"/>
        <v>72.300469483568079</v>
      </c>
      <c r="T1202" s="8">
        <f>480-ProductionData[[#This Row],[Downtime Minutes]]</f>
        <v>428</v>
      </c>
      <c r="U1202" s="11">
        <f t="shared" si="170"/>
        <v>1.0537383177570094</v>
      </c>
      <c r="V1202" s="18">
        <f>ProductionData[[#This Row],[Profit]]/ProductionData[[#This Row],[Good Units]]</f>
        <v>17.699530516431924</v>
      </c>
      <c r="W1202" s="11">
        <f>ProductionData[[#This Row],[Good Units]]/ProductionData[[#This Row],[Operating Minutes]]</f>
        <v>0.99532710280373837</v>
      </c>
    </row>
    <row r="1203" spans="1:23">
      <c r="A1203" s="7">
        <v>46337</v>
      </c>
      <c r="B1203" s="8" t="s">
        <v>32</v>
      </c>
      <c r="C1203" s="8" t="s">
        <v>27</v>
      </c>
      <c r="D1203" s="8" t="s">
        <v>23</v>
      </c>
      <c r="E1203" s="8" t="s">
        <v>22</v>
      </c>
      <c r="F1203" s="9">
        <v>470</v>
      </c>
      <c r="G1203" s="9">
        <v>421</v>
      </c>
      <c r="H1203" s="9">
        <v>30</v>
      </c>
      <c r="I1203" s="9">
        <f t="shared" si="162"/>
        <v>391</v>
      </c>
      <c r="J1203" s="9">
        <v>59</v>
      </c>
      <c r="K1203" s="10">
        <f t="shared" si="163"/>
        <v>0.12291666666666666</v>
      </c>
      <c r="L1203" s="17">
        <v>100</v>
      </c>
      <c r="M1203" s="17">
        <v>30800</v>
      </c>
      <c r="N1203" s="17">
        <f t="shared" si="164"/>
        <v>39100</v>
      </c>
      <c r="O1203" s="17">
        <f t="shared" si="165"/>
        <v>8300</v>
      </c>
      <c r="P1203" s="10">
        <f t="shared" si="166"/>
        <v>0.89574468085106385</v>
      </c>
      <c r="Q1203" s="10">
        <f t="shared" si="167"/>
        <v>7.1258907363420429E-2</v>
      </c>
      <c r="R1203" s="10">
        <f t="shared" si="168"/>
        <v>0.21227621483375958</v>
      </c>
      <c r="S1203" s="18">
        <f t="shared" si="169"/>
        <v>78.772378516624045</v>
      </c>
      <c r="T1203" s="8">
        <f>480-ProductionData[[#This Row],[Downtime Minutes]]</f>
        <v>421</v>
      </c>
      <c r="U1203" s="11">
        <f t="shared" si="170"/>
        <v>1</v>
      </c>
      <c r="V1203" s="18">
        <f>ProductionData[[#This Row],[Profit]]/ProductionData[[#This Row],[Good Units]]</f>
        <v>21.227621483375959</v>
      </c>
      <c r="W1203" s="11">
        <f>ProductionData[[#This Row],[Good Units]]/ProductionData[[#This Row],[Operating Minutes]]</f>
        <v>0.92874109263657956</v>
      </c>
    </row>
    <row r="1204" spans="1:23">
      <c r="A1204" s="7">
        <v>46337</v>
      </c>
      <c r="B1204" s="8" t="s">
        <v>32</v>
      </c>
      <c r="C1204" s="8" t="s">
        <v>27</v>
      </c>
      <c r="D1204" s="8" t="s">
        <v>25</v>
      </c>
      <c r="E1204" s="8" t="s">
        <v>24</v>
      </c>
      <c r="F1204" s="9">
        <v>400</v>
      </c>
      <c r="G1204" s="9">
        <v>339</v>
      </c>
      <c r="H1204" s="9">
        <v>20</v>
      </c>
      <c r="I1204" s="9">
        <f t="shared" si="162"/>
        <v>319</v>
      </c>
      <c r="J1204" s="9">
        <v>53</v>
      </c>
      <c r="K1204" s="10">
        <f t="shared" si="163"/>
        <v>0.11041666666666666</v>
      </c>
      <c r="L1204" s="17">
        <v>120</v>
      </c>
      <c r="M1204" s="17">
        <v>30800</v>
      </c>
      <c r="N1204" s="17">
        <f t="shared" si="164"/>
        <v>38280</v>
      </c>
      <c r="O1204" s="17">
        <f t="shared" si="165"/>
        <v>7480</v>
      </c>
      <c r="P1204" s="10">
        <f t="shared" si="166"/>
        <v>0.84750000000000003</v>
      </c>
      <c r="Q1204" s="10">
        <f t="shared" si="167"/>
        <v>5.8997050147492625E-2</v>
      </c>
      <c r="R1204" s="10">
        <f t="shared" si="168"/>
        <v>0.19540229885057472</v>
      </c>
      <c r="S1204" s="18">
        <f t="shared" si="169"/>
        <v>96.551724137931032</v>
      </c>
      <c r="T1204" s="8">
        <f>480-ProductionData[[#This Row],[Downtime Minutes]]</f>
        <v>427</v>
      </c>
      <c r="U1204" s="11">
        <f t="shared" si="170"/>
        <v>0.79391100702576112</v>
      </c>
      <c r="V1204" s="18">
        <f>ProductionData[[#This Row],[Profit]]/ProductionData[[#This Row],[Good Units]]</f>
        <v>23.448275862068964</v>
      </c>
      <c r="W1204" s="11">
        <f>ProductionData[[#This Row],[Good Units]]/ProductionData[[#This Row],[Operating Minutes]]</f>
        <v>0.74707259953161598</v>
      </c>
    </row>
    <row r="1205" spans="1:23">
      <c r="A1205" s="7">
        <v>46337</v>
      </c>
      <c r="B1205" s="8" t="s">
        <v>32</v>
      </c>
      <c r="C1205" s="8" t="s">
        <v>28</v>
      </c>
      <c r="D1205" s="8" t="s">
        <v>21</v>
      </c>
      <c r="E1205" s="8" t="s">
        <v>22</v>
      </c>
      <c r="F1205" s="9">
        <v>430</v>
      </c>
      <c r="G1205" s="9">
        <v>419</v>
      </c>
      <c r="H1205" s="9">
        <v>19</v>
      </c>
      <c r="I1205" s="9">
        <f t="shared" si="162"/>
        <v>400</v>
      </c>
      <c r="J1205" s="9">
        <v>15</v>
      </c>
      <c r="K1205" s="10">
        <f t="shared" si="163"/>
        <v>3.125E-2</v>
      </c>
      <c r="L1205" s="17">
        <v>100</v>
      </c>
      <c r="M1205" s="17">
        <v>30800</v>
      </c>
      <c r="N1205" s="17">
        <f t="shared" si="164"/>
        <v>40000</v>
      </c>
      <c r="O1205" s="17">
        <f t="shared" si="165"/>
        <v>9200</v>
      </c>
      <c r="P1205" s="10">
        <f t="shared" si="166"/>
        <v>0.97441860465116281</v>
      </c>
      <c r="Q1205" s="10">
        <f t="shared" si="167"/>
        <v>4.5346062052505964E-2</v>
      </c>
      <c r="R1205" s="10">
        <f t="shared" si="168"/>
        <v>0.23</v>
      </c>
      <c r="S1205" s="18">
        <f t="shared" si="169"/>
        <v>77</v>
      </c>
      <c r="T1205" s="8">
        <f>480-ProductionData[[#This Row],[Downtime Minutes]]</f>
        <v>465</v>
      </c>
      <c r="U1205" s="11">
        <f t="shared" si="170"/>
        <v>0.90107526881720434</v>
      </c>
      <c r="V1205" s="18">
        <f>ProductionData[[#This Row],[Profit]]/ProductionData[[#This Row],[Good Units]]</f>
        <v>23</v>
      </c>
      <c r="W1205" s="11">
        <f>ProductionData[[#This Row],[Good Units]]/ProductionData[[#This Row],[Operating Minutes]]</f>
        <v>0.86021505376344087</v>
      </c>
    </row>
    <row r="1206" spans="1:23">
      <c r="A1206" s="7">
        <v>46337</v>
      </c>
      <c r="B1206" s="8" t="s">
        <v>32</v>
      </c>
      <c r="C1206" s="8" t="s">
        <v>28</v>
      </c>
      <c r="D1206" s="8" t="s">
        <v>23</v>
      </c>
      <c r="E1206" s="8" t="s">
        <v>24</v>
      </c>
      <c r="F1206" s="9">
        <v>410</v>
      </c>
      <c r="G1206" s="9">
        <v>382</v>
      </c>
      <c r="H1206" s="9">
        <v>13</v>
      </c>
      <c r="I1206" s="9">
        <f t="shared" si="162"/>
        <v>369</v>
      </c>
      <c r="J1206" s="9">
        <v>17</v>
      </c>
      <c r="K1206" s="10">
        <f t="shared" si="163"/>
        <v>3.5416666666666666E-2</v>
      </c>
      <c r="L1206" s="17">
        <v>120</v>
      </c>
      <c r="M1206" s="17">
        <v>30800</v>
      </c>
      <c r="N1206" s="17">
        <f t="shared" si="164"/>
        <v>44280</v>
      </c>
      <c r="O1206" s="17">
        <f t="shared" si="165"/>
        <v>13480</v>
      </c>
      <c r="P1206" s="10">
        <f t="shared" si="166"/>
        <v>0.93170731707317078</v>
      </c>
      <c r="Q1206" s="10">
        <f t="shared" si="167"/>
        <v>3.4031413612565446E-2</v>
      </c>
      <c r="R1206" s="10">
        <f t="shared" si="168"/>
        <v>0.30442637759710928</v>
      </c>
      <c r="S1206" s="18">
        <f t="shared" si="169"/>
        <v>83.468834688346888</v>
      </c>
      <c r="T1206" s="8">
        <f>480-ProductionData[[#This Row],[Downtime Minutes]]</f>
        <v>463</v>
      </c>
      <c r="U1206" s="11">
        <f t="shared" si="170"/>
        <v>0.82505399568034554</v>
      </c>
      <c r="V1206" s="18">
        <f>ProductionData[[#This Row],[Profit]]/ProductionData[[#This Row],[Good Units]]</f>
        <v>36.531165311653119</v>
      </c>
      <c r="W1206" s="11">
        <f>ProductionData[[#This Row],[Good Units]]/ProductionData[[#This Row],[Operating Minutes]]</f>
        <v>0.79697624190064797</v>
      </c>
    </row>
    <row r="1207" spans="1:23">
      <c r="A1207" s="7">
        <v>46337</v>
      </c>
      <c r="B1207" s="8" t="s">
        <v>32</v>
      </c>
      <c r="C1207" s="8" t="s">
        <v>28</v>
      </c>
      <c r="D1207" s="8" t="s">
        <v>25</v>
      </c>
      <c r="E1207" s="8" t="s">
        <v>26</v>
      </c>
      <c r="F1207" s="9">
        <v>500</v>
      </c>
      <c r="G1207" s="9">
        <v>458</v>
      </c>
      <c r="H1207" s="9">
        <v>19</v>
      </c>
      <c r="I1207" s="9">
        <f t="shared" si="162"/>
        <v>439</v>
      </c>
      <c r="J1207" s="9">
        <v>40</v>
      </c>
      <c r="K1207" s="10">
        <f t="shared" si="163"/>
        <v>8.3333333333333329E-2</v>
      </c>
      <c r="L1207" s="17">
        <v>90</v>
      </c>
      <c r="M1207" s="17">
        <v>30800</v>
      </c>
      <c r="N1207" s="17">
        <f t="shared" si="164"/>
        <v>39510</v>
      </c>
      <c r="O1207" s="17">
        <f t="shared" si="165"/>
        <v>8710</v>
      </c>
      <c r="P1207" s="10">
        <f t="shared" si="166"/>
        <v>0.91600000000000004</v>
      </c>
      <c r="Q1207" s="10">
        <f t="shared" si="167"/>
        <v>4.148471615720524E-2</v>
      </c>
      <c r="R1207" s="10">
        <f t="shared" si="168"/>
        <v>0.22045051885598582</v>
      </c>
      <c r="S1207" s="18">
        <f t="shared" si="169"/>
        <v>70.159453302961282</v>
      </c>
      <c r="T1207" s="8">
        <f>480-ProductionData[[#This Row],[Downtime Minutes]]</f>
        <v>440</v>
      </c>
      <c r="U1207" s="11">
        <f t="shared" si="170"/>
        <v>1.040909090909091</v>
      </c>
      <c r="V1207" s="18">
        <f>ProductionData[[#This Row],[Profit]]/ProductionData[[#This Row],[Good Units]]</f>
        <v>19.840546697038725</v>
      </c>
      <c r="W1207" s="11">
        <f>ProductionData[[#This Row],[Good Units]]/ProductionData[[#This Row],[Operating Minutes]]</f>
        <v>0.99772727272727268</v>
      </c>
    </row>
    <row r="1208" spans="1:23">
      <c r="A1208" s="7">
        <v>46338</v>
      </c>
      <c r="B1208" s="8" t="s">
        <v>32</v>
      </c>
      <c r="C1208" s="8" t="s">
        <v>20</v>
      </c>
      <c r="D1208" s="8" t="s">
        <v>21</v>
      </c>
      <c r="E1208" s="8" t="s">
        <v>26</v>
      </c>
      <c r="F1208" s="9">
        <v>500</v>
      </c>
      <c r="G1208" s="9">
        <v>463</v>
      </c>
      <c r="H1208" s="9">
        <v>13</v>
      </c>
      <c r="I1208" s="9">
        <f t="shared" si="162"/>
        <v>450</v>
      </c>
      <c r="J1208" s="9">
        <v>18</v>
      </c>
      <c r="K1208" s="10">
        <f t="shared" si="163"/>
        <v>3.7499999999999999E-2</v>
      </c>
      <c r="L1208" s="17">
        <v>90</v>
      </c>
      <c r="M1208" s="17">
        <v>30800</v>
      </c>
      <c r="N1208" s="17">
        <f t="shared" si="164"/>
        <v>40500</v>
      </c>
      <c r="O1208" s="17">
        <f t="shared" si="165"/>
        <v>9700</v>
      </c>
      <c r="P1208" s="10">
        <f t="shared" si="166"/>
        <v>0.92600000000000005</v>
      </c>
      <c r="Q1208" s="10">
        <f t="shared" si="167"/>
        <v>2.8077753779697623E-2</v>
      </c>
      <c r="R1208" s="10">
        <f t="shared" si="168"/>
        <v>0.23950617283950618</v>
      </c>
      <c r="S1208" s="18">
        <f t="shared" si="169"/>
        <v>68.444444444444443</v>
      </c>
      <c r="T1208" s="8">
        <f>480-ProductionData[[#This Row],[Downtime Minutes]]</f>
        <v>462</v>
      </c>
      <c r="U1208" s="11">
        <f t="shared" si="170"/>
        <v>1.0021645021645023</v>
      </c>
      <c r="V1208" s="18">
        <f>ProductionData[[#This Row],[Profit]]/ProductionData[[#This Row],[Good Units]]</f>
        <v>21.555555555555557</v>
      </c>
      <c r="W1208" s="11">
        <f>ProductionData[[#This Row],[Good Units]]/ProductionData[[#This Row],[Operating Minutes]]</f>
        <v>0.97402597402597402</v>
      </c>
    </row>
    <row r="1209" spans="1:23">
      <c r="A1209" s="7">
        <v>46338</v>
      </c>
      <c r="B1209" s="8" t="s">
        <v>32</v>
      </c>
      <c r="C1209" s="8" t="s">
        <v>20</v>
      </c>
      <c r="D1209" s="8" t="s">
        <v>23</v>
      </c>
      <c r="E1209" s="8" t="s">
        <v>22</v>
      </c>
      <c r="F1209" s="9">
        <v>440</v>
      </c>
      <c r="G1209" s="9">
        <v>406</v>
      </c>
      <c r="H1209" s="9">
        <v>22</v>
      </c>
      <c r="I1209" s="9">
        <f t="shared" si="162"/>
        <v>384</v>
      </c>
      <c r="J1209" s="9">
        <v>41</v>
      </c>
      <c r="K1209" s="10">
        <f t="shared" si="163"/>
        <v>8.5416666666666669E-2</v>
      </c>
      <c r="L1209" s="17">
        <v>100</v>
      </c>
      <c r="M1209" s="17">
        <v>30800</v>
      </c>
      <c r="N1209" s="17">
        <f t="shared" si="164"/>
        <v>38400</v>
      </c>
      <c r="O1209" s="17">
        <f t="shared" si="165"/>
        <v>7600</v>
      </c>
      <c r="P1209" s="10">
        <f t="shared" si="166"/>
        <v>0.92272727272727273</v>
      </c>
      <c r="Q1209" s="10">
        <f t="shared" si="167"/>
        <v>5.4187192118226604E-2</v>
      </c>
      <c r="R1209" s="10">
        <f t="shared" si="168"/>
        <v>0.19791666666666666</v>
      </c>
      <c r="S1209" s="18">
        <f t="shared" si="169"/>
        <v>80.208333333333329</v>
      </c>
      <c r="T1209" s="8">
        <f>480-ProductionData[[#This Row],[Downtime Minutes]]</f>
        <v>439</v>
      </c>
      <c r="U1209" s="11">
        <f t="shared" si="170"/>
        <v>0.9248291571753986</v>
      </c>
      <c r="V1209" s="18">
        <f>ProductionData[[#This Row],[Profit]]/ProductionData[[#This Row],[Good Units]]</f>
        <v>19.791666666666668</v>
      </c>
      <c r="W1209" s="11">
        <f>ProductionData[[#This Row],[Good Units]]/ProductionData[[#This Row],[Operating Minutes]]</f>
        <v>0.87471526195899774</v>
      </c>
    </row>
    <row r="1210" spans="1:23">
      <c r="A1210" s="7">
        <v>46338</v>
      </c>
      <c r="B1210" s="8" t="s">
        <v>32</v>
      </c>
      <c r="C1210" s="8" t="s">
        <v>20</v>
      </c>
      <c r="D1210" s="8" t="s">
        <v>25</v>
      </c>
      <c r="E1210" s="8" t="s">
        <v>24</v>
      </c>
      <c r="F1210" s="9">
        <v>390</v>
      </c>
      <c r="G1210" s="9">
        <v>359</v>
      </c>
      <c r="H1210" s="9">
        <v>16</v>
      </c>
      <c r="I1210" s="9">
        <f t="shared" si="162"/>
        <v>343</v>
      </c>
      <c r="J1210" s="9">
        <v>35</v>
      </c>
      <c r="K1210" s="10">
        <f t="shared" si="163"/>
        <v>7.2916666666666671E-2</v>
      </c>
      <c r="L1210" s="17">
        <v>120</v>
      </c>
      <c r="M1210" s="17">
        <v>30800</v>
      </c>
      <c r="N1210" s="17">
        <f t="shared" si="164"/>
        <v>41160</v>
      </c>
      <c r="O1210" s="17">
        <f t="shared" si="165"/>
        <v>10360</v>
      </c>
      <c r="P1210" s="10">
        <f t="shared" si="166"/>
        <v>0.92051282051282046</v>
      </c>
      <c r="Q1210" s="10">
        <f t="shared" si="167"/>
        <v>4.456824512534819E-2</v>
      </c>
      <c r="R1210" s="10">
        <f t="shared" si="168"/>
        <v>0.25170068027210885</v>
      </c>
      <c r="S1210" s="18">
        <f t="shared" si="169"/>
        <v>89.795918367346943</v>
      </c>
      <c r="T1210" s="8">
        <f>480-ProductionData[[#This Row],[Downtime Minutes]]</f>
        <v>445</v>
      </c>
      <c r="U1210" s="11">
        <f t="shared" si="170"/>
        <v>0.80674157303370786</v>
      </c>
      <c r="V1210" s="18">
        <f>ProductionData[[#This Row],[Profit]]/ProductionData[[#This Row],[Good Units]]</f>
        <v>30.204081632653061</v>
      </c>
      <c r="W1210" s="11">
        <f>ProductionData[[#This Row],[Good Units]]/ProductionData[[#This Row],[Operating Minutes]]</f>
        <v>0.77078651685393262</v>
      </c>
    </row>
    <row r="1211" spans="1:23">
      <c r="A1211" s="7">
        <v>46338</v>
      </c>
      <c r="B1211" s="8" t="s">
        <v>32</v>
      </c>
      <c r="C1211" s="8" t="s">
        <v>27</v>
      </c>
      <c r="D1211" s="8" t="s">
        <v>21</v>
      </c>
      <c r="E1211" s="8" t="s">
        <v>22</v>
      </c>
      <c r="F1211" s="9">
        <v>430</v>
      </c>
      <c r="G1211" s="9">
        <v>366</v>
      </c>
      <c r="H1211" s="9">
        <v>24</v>
      </c>
      <c r="I1211" s="9">
        <f t="shared" si="162"/>
        <v>342</v>
      </c>
      <c r="J1211" s="9">
        <v>56</v>
      </c>
      <c r="K1211" s="10">
        <f t="shared" si="163"/>
        <v>0.11666666666666667</v>
      </c>
      <c r="L1211" s="17">
        <v>100</v>
      </c>
      <c r="M1211" s="17">
        <v>30800</v>
      </c>
      <c r="N1211" s="17">
        <f t="shared" si="164"/>
        <v>34200</v>
      </c>
      <c r="O1211" s="17">
        <f t="shared" si="165"/>
        <v>3400</v>
      </c>
      <c r="P1211" s="10">
        <f t="shared" si="166"/>
        <v>0.85116279069767442</v>
      </c>
      <c r="Q1211" s="10">
        <f t="shared" si="167"/>
        <v>6.5573770491803282E-2</v>
      </c>
      <c r="R1211" s="10">
        <f t="shared" si="168"/>
        <v>9.9415204678362568E-2</v>
      </c>
      <c r="S1211" s="18">
        <f t="shared" si="169"/>
        <v>90.058479532163744</v>
      </c>
      <c r="T1211" s="8">
        <f>480-ProductionData[[#This Row],[Downtime Minutes]]</f>
        <v>424</v>
      </c>
      <c r="U1211" s="11">
        <f t="shared" si="170"/>
        <v>0.8632075471698113</v>
      </c>
      <c r="V1211" s="18">
        <f>ProductionData[[#This Row],[Profit]]/ProductionData[[#This Row],[Good Units]]</f>
        <v>9.9415204678362574</v>
      </c>
      <c r="W1211" s="11">
        <f>ProductionData[[#This Row],[Good Units]]/ProductionData[[#This Row],[Operating Minutes]]</f>
        <v>0.80660377358490565</v>
      </c>
    </row>
    <row r="1212" spans="1:23">
      <c r="A1212" s="7">
        <v>46338</v>
      </c>
      <c r="B1212" s="8" t="s">
        <v>32</v>
      </c>
      <c r="C1212" s="8" t="s">
        <v>27</v>
      </c>
      <c r="D1212" s="8" t="s">
        <v>23</v>
      </c>
      <c r="E1212" s="8" t="s">
        <v>24</v>
      </c>
      <c r="F1212" s="9">
        <v>400</v>
      </c>
      <c r="G1212" s="9">
        <v>360</v>
      </c>
      <c r="H1212" s="9">
        <v>16</v>
      </c>
      <c r="I1212" s="9">
        <f t="shared" si="162"/>
        <v>344</v>
      </c>
      <c r="J1212" s="9">
        <v>63</v>
      </c>
      <c r="K1212" s="10">
        <f t="shared" si="163"/>
        <v>0.13125000000000001</v>
      </c>
      <c r="L1212" s="17">
        <v>120</v>
      </c>
      <c r="M1212" s="17">
        <v>30800</v>
      </c>
      <c r="N1212" s="17">
        <f t="shared" si="164"/>
        <v>41280</v>
      </c>
      <c r="O1212" s="17">
        <f t="shared" si="165"/>
        <v>10480</v>
      </c>
      <c r="P1212" s="10">
        <f t="shared" si="166"/>
        <v>0.9</v>
      </c>
      <c r="Q1212" s="10">
        <f t="shared" si="167"/>
        <v>4.4444444444444446E-2</v>
      </c>
      <c r="R1212" s="10">
        <f t="shared" si="168"/>
        <v>0.25387596899224807</v>
      </c>
      <c r="S1212" s="18">
        <f t="shared" si="169"/>
        <v>89.534883720930239</v>
      </c>
      <c r="T1212" s="8">
        <f>480-ProductionData[[#This Row],[Downtime Minutes]]</f>
        <v>417</v>
      </c>
      <c r="U1212" s="11">
        <f t="shared" si="170"/>
        <v>0.86330935251798557</v>
      </c>
      <c r="V1212" s="18">
        <f>ProductionData[[#This Row],[Profit]]/ProductionData[[#This Row],[Good Units]]</f>
        <v>30.465116279069768</v>
      </c>
      <c r="W1212" s="11">
        <f>ProductionData[[#This Row],[Good Units]]/ProductionData[[#This Row],[Operating Minutes]]</f>
        <v>0.82494004796163067</v>
      </c>
    </row>
    <row r="1213" spans="1:23">
      <c r="A1213" s="7">
        <v>46338</v>
      </c>
      <c r="B1213" s="8" t="s">
        <v>32</v>
      </c>
      <c r="C1213" s="8" t="s">
        <v>27</v>
      </c>
      <c r="D1213" s="8" t="s">
        <v>25</v>
      </c>
      <c r="E1213" s="8" t="s">
        <v>26</v>
      </c>
      <c r="F1213" s="9">
        <v>510</v>
      </c>
      <c r="G1213" s="9">
        <v>441</v>
      </c>
      <c r="H1213" s="9">
        <v>29</v>
      </c>
      <c r="I1213" s="9">
        <f t="shared" si="162"/>
        <v>412</v>
      </c>
      <c r="J1213" s="9">
        <v>57</v>
      </c>
      <c r="K1213" s="10">
        <f t="shared" si="163"/>
        <v>0.11874999999999999</v>
      </c>
      <c r="L1213" s="17">
        <v>90</v>
      </c>
      <c r="M1213" s="17">
        <v>30800</v>
      </c>
      <c r="N1213" s="17">
        <f t="shared" si="164"/>
        <v>37080</v>
      </c>
      <c r="O1213" s="17">
        <f t="shared" si="165"/>
        <v>6280</v>
      </c>
      <c r="P1213" s="10">
        <f t="shared" si="166"/>
        <v>0.86470588235294121</v>
      </c>
      <c r="Q1213" s="10">
        <f t="shared" si="167"/>
        <v>6.5759637188208611E-2</v>
      </c>
      <c r="R1213" s="10">
        <f t="shared" si="168"/>
        <v>0.16936353829557713</v>
      </c>
      <c r="S1213" s="18">
        <f t="shared" si="169"/>
        <v>74.757281553398059</v>
      </c>
      <c r="T1213" s="8">
        <f>480-ProductionData[[#This Row],[Downtime Minutes]]</f>
        <v>423</v>
      </c>
      <c r="U1213" s="11">
        <f t="shared" si="170"/>
        <v>1.0425531914893618</v>
      </c>
      <c r="V1213" s="18">
        <f>ProductionData[[#This Row],[Profit]]/ProductionData[[#This Row],[Good Units]]</f>
        <v>15.242718446601941</v>
      </c>
      <c r="W1213" s="11">
        <f>ProductionData[[#This Row],[Good Units]]/ProductionData[[#This Row],[Operating Minutes]]</f>
        <v>0.97399527186761226</v>
      </c>
    </row>
    <row r="1214" spans="1:23">
      <c r="A1214" s="7">
        <v>46338</v>
      </c>
      <c r="B1214" s="8" t="s">
        <v>32</v>
      </c>
      <c r="C1214" s="8" t="s">
        <v>28</v>
      </c>
      <c r="D1214" s="8" t="s">
        <v>21</v>
      </c>
      <c r="E1214" s="8" t="s">
        <v>24</v>
      </c>
      <c r="F1214" s="9">
        <v>390</v>
      </c>
      <c r="G1214" s="9">
        <v>371</v>
      </c>
      <c r="H1214" s="9">
        <v>8</v>
      </c>
      <c r="I1214" s="9">
        <f t="shared" si="162"/>
        <v>363</v>
      </c>
      <c r="J1214" s="9">
        <v>24</v>
      </c>
      <c r="K1214" s="10">
        <f t="shared" si="163"/>
        <v>0.05</v>
      </c>
      <c r="L1214" s="17">
        <v>120</v>
      </c>
      <c r="M1214" s="17">
        <v>30800</v>
      </c>
      <c r="N1214" s="17">
        <f t="shared" si="164"/>
        <v>43560</v>
      </c>
      <c r="O1214" s="17">
        <f t="shared" si="165"/>
        <v>12760</v>
      </c>
      <c r="P1214" s="10">
        <f t="shared" si="166"/>
        <v>0.95128205128205123</v>
      </c>
      <c r="Q1214" s="10">
        <f t="shared" si="167"/>
        <v>2.15633423180593E-2</v>
      </c>
      <c r="R1214" s="10">
        <f t="shared" si="168"/>
        <v>0.29292929292929293</v>
      </c>
      <c r="S1214" s="18">
        <f t="shared" si="169"/>
        <v>84.848484848484844</v>
      </c>
      <c r="T1214" s="8">
        <f>480-ProductionData[[#This Row],[Downtime Minutes]]</f>
        <v>456</v>
      </c>
      <c r="U1214" s="11">
        <f t="shared" si="170"/>
        <v>0.81359649122807021</v>
      </c>
      <c r="V1214" s="18">
        <f>ProductionData[[#This Row],[Profit]]/ProductionData[[#This Row],[Good Units]]</f>
        <v>35.151515151515149</v>
      </c>
      <c r="W1214" s="11">
        <f>ProductionData[[#This Row],[Good Units]]/ProductionData[[#This Row],[Operating Minutes]]</f>
        <v>0.79605263157894735</v>
      </c>
    </row>
    <row r="1215" spans="1:23">
      <c r="A1215" s="7">
        <v>46338</v>
      </c>
      <c r="B1215" s="8" t="s">
        <v>32</v>
      </c>
      <c r="C1215" s="8" t="s">
        <v>28</v>
      </c>
      <c r="D1215" s="8" t="s">
        <v>23</v>
      </c>
      <c r="E1215" s="8" t="s">
        <v>26</v>
      </c>
      <c r="F1215" s="9">
        <v>490</v>
      </c>
      <c r="G1215" s="9">
        <v>451</v>
      </c>
      <c r="H1215" s="9">
        <v>15</v>
      </c>
      <c r="I1215" s="9">
        <f t="shared" si="162"/>
        <v>436</v>
      </c>
      <c r="J1215" s="9">
        <v>30</v>
      </c>
      <c r="K1215" s="10">
        <f t="shared" si="163"/>
        <v>6.25E-2</v>
      </c>
      <c r="L1215" s="17">
        <v>90</v>
      </c>
      <c r="M1215" s="17">
        <v>30800</v>
      </c>
      <c r="N1215" s="17">
        <f t="shared" si="164"/>
        <v>39240</v>
      </c>
      <c r="O1215" s="17">
        <f t="shared" si="165"/>
        <v>8440</v>
      </c>
      <c r="P1215" s="10">
        <f t="shared" si="166"/>
        <v>0.92040816326530617</v>
      </c>
      <c r="Q1215" s="10">
        <f t="shared" si="167"/>
        <v>3.325942350332594E-2</v>
      </c>
      <c r="R1215" s="10">
        <f t="shared" si="168"/>
        <v>0.21508664627930682</v>
      </c>
      <c r="S1215" s="18">
        <f t="shared" si="169"/>
        <v>70.642201834862391</v>
      </c>
      <c r="T1215" s="8">
        <f>480-ProductionData[[#This Row],[Downtime Minutes]]</f>
        <v>450</v>
      </c>
      <c r="U1215" s="11">
        <f t="shared" si="170"/>
        <v>1.0022222222222221</v>
      </c>
      <c r="V1215" s="18">
        <f>ProductionData[[#This Row],[Profit]]/ProductionData[[#This Row],[Good Units]]</f>
        <v>19.357798165137616</v>
      </c>
      <c r="W1215" s="11">
        <f>ProductionData[[#This Row],[Good Units]]/ProductionData[[#This Row],[Operating Minutes]]</f>
        <v>0.96888888888888891</v>
      </c>
    </row>
    <row r="1216" spans="1:23">
      <c r="A1216" s="7">
        <v>46338</v>
      </c>
      <c r="B1216" s="8" t="s">
        <v>32</v>
      </c>
      <c r="C1216" s="8" t="s">
        <v>28</v>
      </c>
      <c r="D1216" s="8" t="s">
        <v>25</v>
      </c>
      <c r="E1216" s="8" t="s">
        <v>22</v>
      </c>
      <c r="F1216" s="9">
        <v>460</v>
      </c>
      <c r="G1216" s="9">
        <v>411</v>
      </c>
      <c r="H1216" s="9">
        <v>21</v>
      </c>
      <c r="I1216" s="9">
        <f t="shared" si="162"/>
        <v>390</v>
      </c>
      <c r="J1216" s="9">
        <v>41</v>
      </c>
      <c r="K1216" s="10">
        <f t="shared" si="163"/>
        <v>8.5416666666666669E-2</v>
      </c>
      <c r="L1216" s="17">
        <v>100</v>
      </c>
      <c r="M1216" s="17">
        <v>30800</v>
      </c>
      <c r="N1216" s="17">
        <f t="shared" si="164"/>
        <v>39000</v>
      </c>
      <c r="O1216" s="17">
        <f t="shared" si="165"/>
        <v>8200</v>
      </c>
      <c r="P1216" s="10">
        <f t="shared" si="166"/>
        <v>0.89347826086956517</v>
      </c>
      <c r="Q1216" s="10">
        <f t="shared" si="167"/>
        <v>5.1094890510948905E-2</v>
      </c>
      <c r="R1216" s="10">
        <f t="shared" si="168"/>
        <v>0.21025641025641026</v>
      </c>
      <c r="S1216" s="18">
        <f t="shared" si="169"/>
        <v>78.974358974358978</v>
      </c>
      <c r="T1216" s="8">
        <f>480-ProductionData[[#This Row],[Downtime Minutes]]</f>
        <v>439</v>
      </c>
      <c r="U1216" s="11">
        <f t="shared" si="170"/>
        <v>0.9362186788154897</v>
      </c>
      <c r="V1216" s="18">
        <f>ProductionData[[#This Row],[Profit]]/ProductionData[[#This Row],[Good Units]]</f>
        <v>21.025641025641026</v>
      </c>
      <c r="W1216" s="11">
        <f>ProductionData[[#This Row],[Good Units]]/ProductionData[[#This Row],[Operating Minutes]]</f>
        <v>0.88838268792710706</v>
      </c>
    </row>
    <row r="1217" spans="1:23">
      <c r="A1217" s="7">
        <v>46339</v>
      </c>
      <c r="B1217" s="8" t="s">
        <v>32</v>
      </c>
      <c r="C1217" s="8" t="s">
        <v>20</v>
      </c>
      <c r="D1217" s="8" t="s">
        <v>21</v>
      </c>
      <c r="E1217" s="8" t="s">
        <v>22</v>
      </c>
      <c r="F1217" s="9">
        <v>450</v>
      </c>
      <c r="G1217" s="9">
        <v>406</v>
      </c>
      <c r="H1217" s="9">
        <v>15</v>
      </c>
      <c r="I1217" s="9">
        <f t="shared" si="162"/>
        <v>391</v>
      </c>
      <c r="J1217" s="9">
        <v>38</v>
      </c>
      <c r="K1217" s="10">
        <f t="shared" si="163"/>
        <v>7.9166666666666663E-2</v>
      </c>
      <c r="L1217" s="17">
        <v>100</v>
      </c>
      <c r="M1217" s="17">
        <v>30800</v>
      </c>
      <c r="N1217" s="17">
        <f t="shared" si="164"/>
        <v>39100</v>
      </c>
      <c r="O1217" s="17">
        <f t="shared" si="165"/>
        <v>8300</v>
      </c>
      <c r="P1217" s="10">
        <f t="shared" si="166"/>
        <v>0.90222222222222226</v>
      </c>
      <c r="Q1217" s="10">
        <f t="shared" si="167"/>
        <v>3.6945812807881777E-2</v>
      </c>
      <c r="R1217" s="10">
        <f t="shared" si="168"/>
        <v>0.21227621483375958</v>
      </c>
      <c r="S1217" s="18">
        <f t="shared" si="169"/>
        <v>78.772378516624045</v>
      </c>
      <c r="T1217" s="8">
        <f>480-ProductionData[[#This Row],[Downtime Minutes]]</f>
        <v>442</v>
      </c>
      <c r="U1217" s="11">
        <f t="shared" si="170"/>
        <v>0.91855203619909498</v>
      </c>
      <c r="V1217" s="18">
        <f>ProductionData[[#This Row],[Profit]]/ProductionData[[#This Row],[Good Units]]</f>
        <v>21.227621483375959</v>
      </c>
      <c r="W1217" s="11">
        <f>ProductionData[[#This Row],[Good Units]]/ProductionData[[#This Row],[Operating Minutes]]</f>
        <v>0.88461538461538458</v>
      </c>
    </row>
    <row r="1218" spans="1:23">
      <c r="A1218" s="7">
        <v>46339</v>
      </c>
      <c r="B1218" s="8" t="s">
        <v>32</v>
      </c>
      <c r="C1218" s="8" t="s">
        <v>20</v>
      </c>
      <c r="D1218" s="8" t="s">
        <v>23</v>
      </c>
      <c r="E1218" s="8" t="s">
        <v>24</v>
      </c>
      <c r="F1218" s="9">
        <v>390</v>
      </c>
      <c r="G1218" s="9">
        <v>359</v>
      </c>
      <c r="H1218" s="9">
        <v>13</v>
      </c>
      <c r="I1218" s="9">
        <f t="shared" ref="I1218:I1281" si="171">G1218-H1218</f>
        <v>346</v>
      </c>
      <c r="J1218" s="9">
        <v>29</v>
      </c>
      <c r="K1218" s="10">
        <f t="shared" ref="K1218:K1281" si="172">J1218/480</f>
        <v>6.0416666666666667E-2</v>
      </c>
      <c r="L1218" s="17">
        <v>120</v>
      </c>
      <c r="M1218" s="17">
        <v>30800</v>
      </c>
      <c r="N1218" s="17">
        <f t="shared" ref="N1218:N1281" si="173">I1218*L1218</f>
        <v>41520</v>
      </c>
      <c r="O1218" s="17">
        <f t="shared" ref="O1218:O1281" si="174">N1218-M1218</f>
        <v>10720</v>
      </c>
      <c r="P1218" s="10">
        <f t="shared" ref="P1218:P1281" si="175">G1218/F1218</f>
        <v>0.92051282051282046</v>
      </c>
      <c r="Q1218" s="10">
        <f t="shared" ref="Q1218:Q1281" si="176">H1218/G1218</f>
        <v>3.6211699164345405E-2</v>
      </c>
      <c r="R1218" s="10">
        <f t="shared" ref="R1218:R1281" si="177">O1218/N1218</f>
        <v>0.25818882466281312</v>
      </c>
      <c r="S1218" s="18">
        <f t="shared" ref="S1218:S1281" si="178">M1218/I1218</f>
        <v>89.017341040462426</v>
      </c>
      <c r="T1218" s="8">
        <f>480-ProductionData[[#This Row],[Downtime Minutes]]</f>
        <v>451</v>
      </c>
      <c r="U1218" s="11">
        <f t="shared" ref="U1218:U1281" si="179">G1218/T1218</f>
        <v>0.7960088691796009</v>
      </c>
      <c r="V1218" s="18">
        <f>ProductionData[[#This Row],[Profit]]/ProductionData[[#This Row],[Good Units]]</f>
        <v>30.982658959537574</v>
      </c>
      <c r="W1218" s="11">
        <f>ProductionData[[#This Row],[Good Units]]/ProductionData[[#This Row],[Operating Minutes]]</f>
        <v>0.76718403547671843</v>
      </c>
    </row>
    <row r="1219" spans="1:23">
      <c r="A1219" s="7">
        <v>46339</v>
      </c>
      <c r="B1219" s="8" t="s">
        <v>32</v>
      </c>
      <c r="C1219" s="8" t="s">
        <v>20</v>
      </c>
      <c r="D1219" s="8" t="s">
        <v>25</v>
      </c>
      <c r="E1219" s="8" t="s">
        <v>26</v>
      </c>
      <c r="F1219" s="9">
        <v>520</v>
      </c>
      <c r="G1219" s="9">
        <v>478</v>
      </c>
      <c r="H1219" s="9">
        <v>24</v>
      </c>
      <c r="I1219" s="9">
        <f t="shared" si="171"/>
        <v>454</v>
      </c>
      <c r="J1219" s="9">
        <v>40</v>
      </c>
      <c r="K1219" s="10">
        <f t="shared" si="172"/>
        <v>8.3333333333333329E-2</v>
      </c>
      <c r="L1219" s="17">
        <v>90</v>
      </c>
      <c r="M1219" s="17">
        <v>30800</v>
      </c>
      <c r="N1219" s="17">
        <f t="shared" si="173"/>
        <v>40860</v>
      </c>
      <c r="O1219" s="17">
        <f t="shared" si="174"/>
        <v>10060</v>
      </c>
      <c r="P1219" s="10">
        <f t="shared" si="175"/>
        <v>0.91923076923076918</v>
      </c>
      <c r="Q1219" s="10">
        <f t="shared" si="176"/>
        <v>5.0209205020920501E-2</v>
      </c>
      <c r="R1219" s="10">
        <f t="shared" si="177"/>
        <v>0.24620655898188937</v>
      </c>
      <c r="S1219" s="18">
        <f t="shared" si="178"/>
        <v>67.841409691629963</v>
      </c>
      <c r="T1219" s="8">
        <f>480-ProductionData[[#This Row],[Downtime Minutes]]</f>
        <v>440</v>
      </c>
      <c r="U1219" s="11">
        <f t="shared" si="179"/>
        <v>1.0863636363636364</v>
      </c>
      <c r="V1219" s="18">
        <f>ProductionData[[#This Row],[Profit]]/ProductionData[[#This Row],[Good Units]]</f>
        <v>22.158590308370044</v>
      </c>
      <c r="W1219" s="11">
        <f>ProductionData[[#This Row],[Good Units]]/ProductionData[[#This Row],[Operating Minutes]]</f>
        <v>1.0318181818181817</v>
      </c>
    </row>
    <row r="1220" spans="1:23">
      <c r="A1220" s="7">
        <v>46339</v>
      </c>
      <c r="B1220" s="8" t="s">
        <v>32</v>
      </c>
      <c r="C1220" s="8" t="s">
        <v>27</v>
      </c>
      <c r="D1220" s="8" t="s">
        <v>21</v>
      </c>
      <c r="E1220" s="8" t="s">
        <v>24</v>
      </c>
      <c r="F1220" s="9">
        <v>390</v>
      </c>
      <c r="G1220" s="9">
        <v>353</v>
      </c>
      <c r="H1220" s="9">
        <v>14</v>
      </c>
      <c r="I1220" s="9">
        <f t="shared" si="171"/>
        <v>339</v>
      </c>
      <c r="J1220" s="9">
        <v>51</v>
      </c>
      <c r="K1220" s="10">
        <f t="shared" si="172"/>
        <v>0.10625</v>
      </c>
      <c r="L1220" s="17">
        <v>120</v>
      </c>
      <c r="M1220" s="17">
        <v>30800</v>
      </c>
      <c r="N1220" s="17">
        <f t="shared" si="173"/>
        <v>40680</v>
      </c>
      <c r="O1220" s="17">
        <f t="shared" si="174"/>
        <v>9880</v>
      </c>
      <c r="P1220" s="10">
        <f t="shared" si="175"/>
        <v>0.90512820512820513</v>
      </c>
      <c r="Q1220" s="10">
        <f t="shared" si="176"/>
        <v>3.9660056657223795E-2</v>
      </c>
      <c r="R1220" s="10">
        <f t="shared" si="177"/>
        <v>0.24287118977384464</v>
      </c>
      <c r="S1220" s="18">
        <f t="shared" si="178"/>
        <v>90.855457227138643</v>
      </c>
      <c r="T1220" s="8">
        <f>480-ProductionData[[#This Row],[Downtime Minutes]]</f>
        <v>429</v>
      </c>
      <c r="U1220" s="11">
        <f t="shared" si="179"/>
        <v>0.82284382284382285</v>
      </c>
      <c r="V1220" s="18">
        <f>ProductionData[[#This Row],[Profit]]/ProductionData[[#This Row],[Good Units]]</f>
        <v>29.144542772861357</v>
      </c>
      <c r="W1220" s="11">
        <f>ProductionData[[#This Row],[Good Units]]/ProductionData[[#This Row],[Operating Minutes]]</f>
        <v>0.79020979020979021</v>
      </c>
    </row>
    <row r="1221" spans="1:23">
      <c r="A1221" s="7">
        <v>46339</v>
      </c>
      <c r="B1221" s="8" t="s">
        <v>32</v>
      </c>
      <c r="C1221" s="8" t="s">
        <v>27</v>
      </c>
      <c r="D1221" s="8" t="s">
        <v>23</v>
      </c>
      <c r="E1221" s="8" t="s">
        <v>26</v>
      </c>
      <c r="F1221" s="9">
        <v>510</v>
      </c>
      <c r="G1221" s="9">
        <v>458</v>
      </c>
      <c r="H1221" s="9">
        <v>22</v>
      </c>
      <c r="I1221" s="9">
        <f t="shared" si="171"/>
        <v>436</v>
      </c>
      <c r="J1221" s="9">
        <v>58</v>
      </c>
      <c r="K1221" s="10">
        <f t="shared" si="172"/>
        <v>0.12083333333333333</v>
      </c>
      <c r="L1221" s="17">
        <v>90</v>
      </c>
      <c r="M1221" s="17">
        <v>30800</v>
      </c>
      <c r="N1221" s="17">
        <f t="shared" si="173"/>
        <v>39240</v>
      </c>
      <c r="O1221" s="17">
        <f t="shared" si="174"/>
        <v>8440</v>
      </c>
      <c r="P1221" s="10">
        <f t="shared" si="175"/>
        <v>0.89803921568627454</v>
      </c>
      <c r="Q1221" s="10">
        <f t="shared" si="176"/>
        <v>4.8034934497816595E-2</v>
      </c>
      <c r="R1221" s="10">
        <f t="shared" si="177"/>
        <v>0.21508664627930682</v>
      </c>
      <c r="S1221" s="18">
        <f t="shared" si="178"/>
        <v>70.642201834862391</v>
      </c>
      <c r="T1221" s="8">
        <f>480-ProductionData[[#This Row],[Downtime Minutes]]</f>
        <v>422</v>
      </c>
      <c r="U1221" s="11">
        <f t="shared" si="179"/>
        <v>1.0853080568720379</v>
      </c>
      <c r="V1221" s="18">
        <f>ProductionData[[#This Row],[Profit]]/ProductionData[[#This Row],[Good Units]]</f>
        <v>19.357798165137616</v>
      </c>
      <c r="W1221" s="11">
        <f>ProductionData[[#This Row],[Good Units]]/ProductionData[[#This Row],[Operating Minutes]]</f>
        <v>1.033175355450237</v>
      </c>
    </row>
    <row r="1222" spans="1:23">
      <c r="A1222" s="7">
        <v>46339</v>
      </c>
      <c r="B1222" s="8" t="s">
        <v>32</v>
      </c>
      <c r="C1222" s="8" t="s">
        <v>27</v>
      </c>
      <c r="D1222" s="8" t="s">
        <v>25</v>
      </c>
      <c r="E1222" s="8" t="s">
        <v>22</v>
      </c>
      <c r="F1222" s="9">
        <v>460</v>
      </c>
      <c r="G1222" s="9">
        <v>381</v>
      </c>
      <c r="H1222" s="9">
        <v>26</v>
      </c>
      <c r="I1222" s="9">
        <f t="shared" si="171"/>
        <v>355</v>
      </c>
      <c r="J1222" s="9">
        <v>64</v>
      </c>
      <c r="K1222" s="10">
        <f t="shared" si="172"/>
        <v>0.13333333333333333</v>
      </c>
      <c r="L1222" s="17">
        <v>100</v>
      </c>
      <c r="M1222" s="17">
        <v>30800</v>
      </c>
      <c r="N1222" s="17">
        <f t="shared" si="173"/>
        <v>35500</v>
      </c>
      <c r="O1222" s="17">
        <f t="shared" si="174"/>
        <v>4700</v>
      </c>
      <c r="P1222" s="10">
        <f t="shared" si="175"/>
        <v>0.82826086956521738</v>
      </c>
      <c r="Q1222" s="10">
        <f t="shared" si="176"/>
        <v>6.8241469816272965E-2</v>
      </c>
      <c r="R1222" s="10">
        <f t="shared" si="177"/>
        <v>0.13239436619718309</v>
      </c>
      <c r="S1222" s="18">
        <f t="shared" si="178"/>
        <v>86.760563380281695</v>
      </c>
      <c r="T1222" s="8">
        <f>480-ProductionData[[#This Row],[Downtime Minutes]]</f>
        <v>416</v>
      </c>
      <c r="U1222" s="11">
        <f t="shared" si="179"/>
        <v>0.91586538461538458</v>
      </c>
      <c r="V1222" s="18">
        <f>ProductionData[[#This Row],[Profit]]/ProductionData[[#This Row],[Good Units]]</f>
        <v>13.23943661971831</v>
      </c>
      <c r="W1222" s="11">
        <f>ProductionData[[#This Row],[Good Units]]/ProductionData[[#This Row],[Operating Minutes]]</f>
        <v>0.85336538461538458</v>
      </c>
    </row>
    <row r="1223" spans="1:23">
      <c r="A1223" s="7">
        <v>46339</v>
      </c>
      <c r="B1223" s="8" t="s">
        <v>32</v>
      </c>
      <c r="C1223" s="8" t="s">
        <v>28</v>
      </c>
      <c r="D1223" s="8" t="s">
        <v>21</v>
      </c>
      <c r="E1223" s="8" t="s">
        <v>26</v>
      </c>
      <c r="F1223" s="9">
        <v>510</v>
      </c>
      <c r="G1223" s="9">
        <v>484</v>
      </c>
      <c r="H1223" s="9">
        <v>13</v>
      </c>
      <c r="I1223" s="9">
        <f t="shared" si="171"/>
        <v>471</v>
      </c>
      <c r="J1223" s="9">
        <v>20</v>
      </c>
      <c r="K1223" s="10">
        <f t="shared" si="172"/>
        <v>4.1666666666666664E-2</v>
      </c>
      <c r="L1223" s="17">
        <v>90</v>
      </c>
      <c r="M1223" s="17">
        <v>30800</v>
      </c>
      <c r="N1223" s="17">
        <f t="shared" si="173"/>
        <v>42390</v>
      </c>
      <c r="O1223" s="17">
        <f t="shared" si="174"/>
        <v>11590</v>
      </c>
      <c r="P1223" s="10">
        <f t="shared" si="175"/>
        <v>0.94901960784313721</v>
      </c>
      <c r="Q1223" s="10">
        <f t="shared" si="176"/>
        <v>2.6859504132231406E-2</v>
      </c>
      <c r="R1223" s="10">
        <f t="shared" si="177"/>
        <v>0.27341354092946452</v>
      </c>
      <c r="S1223" s="18">
        <f t="shared" si="178"/>
        <v>65.392781316348191</v>
      </c>
      <c r="T1223" s="8">
        <f>480-ProductionData[[#This Row],[Downtime Minutes]]</f>
        <v>460</v>
      </c>
      <c r="U1223" s="11">
        <f t="shared" si="179"/>
        <v>1.0521739130434782</v>
      </c>
      <c r="V1223" s="18">
        <f>ProductionData[[#This Row],[Profit]]/ProductionData[[#This Row],[Good Units]]</f>
        <v>24.607218683651805</v>
      </c>
      <c r="W1223" s="11">
        <f>ProductionData[[#This Row],[Good Units]]/ProductionData[[#This Row],[Operating Minutes]]</f>
        <v>1.0239130434782608</v>
      </c>
    </row>
    <row r="1224" spans="1:23">
      <c r="A1224" s="7">
        <v>46339</v>
      </c>
      <c r="B1224" s="8" t="s">
        <v>32</v>
      </c>
      <c r="C1224" s="8" t="s">
        <v>28</v>
      </c>
      <c r="D1224" s="8" t="s">
        <v>23</v>
      </c>
      <c r="E1224" s="8" t="s">
        <v>22</v>
      </c>
      <c r="F1224" s="9">
        <v>460</v>
      </c>
      <c r="G1224" s="9">
        <v>430</v>
      </c>
      <c r="H1224" s="9">
        <v>22</v>
      </c>
      <c r="I1224" s="9">
        <f t="shared" si="171"/>
        <v>408</v>
      </c>
      <c r="J1224" s="9">
        <v>31</v>
      </c>
      <c r="K1224" s="10">
        <f t="shared" si="172"/>
        <v>6.458333333333334E-2</v>
      </c>
      <c r="L1224" s="17">
        <v>100</v>
      </c>
      <c r="M1224" s="17">
        <v>30800</v>
      </c>
      <c r="N1224" s="17">
        <f t="shared" si="173"/>
        <v>40800</v>
      </c>
      <c r="O1224" s="17">
        <f t="shared" si="174"/>
        <v>10000</v>
      </c>
      <c r="P1224" s="10">
        <f t="shared" si="175"/>
        <v>0.93478260869565222</v>
      </c>
      <c r="Q1224" s="10">
        <f t="shared" si="176"/>
        <v>5.1162790697674418E-2</v>
      </c>
      <c r="R1224" s="10">
        <f t="shared" si="177"/>
        <v>0.24509803921568626</v>
      </c>
      <c r="S1224" s="18">
        <f t="shared" si="178"/>
        <v>75.490196078431367</v>
      </c>
      <c r="T1224" s="8">
        <f>480-ProductionData[[#This Row],[Downtime Minutes]]</f>
        <v>449</v>
      </c>
      <c r="U1224" s="11">
        <f t="shared" si="179"/>
        <v>0.95768374164810688</v>
      </c>
      <c r="V1224" s="18">
        <f>ProductionData[[#This Row],[Profit]]/ProductionData[[#This Row],[Good Units]]</f>
        <v>24.509803921568629</v>
      </c>
      <c r="W1224" s="11">
        <f>ProductionData[[#This Row],[Good Units]]/ProductionData[[#This Row],[Operating Minutes]]</f>
        <v>0.90868596881959907</v>
      </c>
    </row>
    <row r="1225" spans="1:23">
      <c r="A1225" s="7">
        <v>46339</v>
      </c>
      <c r="B1225" s="8" t="s">
        <v>32</v>
      </c>
      <c r="C1225" s="8" t="s">
        <v>28</v>
      </c>
      <c r="D1225" s="8" t="s">
        <v>25</v>
      </c>
      <c r="E1225" s="8" t="s">
        <v>24</v>
      </c>
      <c r="F1225" s="9">
        <v>390</v>
      </c>
      <c r="G1225" s="9">
        <v>360</v>
      </c>
      <c r="H1225" s="9">
        <v>13</v>
      </c>
      <c r="I1225" s="9">
        <f t="shared" si="171"/>
        <v>347</v>
      </c>
      <c r="J1225" s="9">
        <v>32</v>
      </c>
      <c r="K1225" s="10">
        <f t="shared" si="172"/>
        <v>6.6666666666666666E-2</v>
      </c>
      <c r="L1225" s="17">
        <v>120</v>
      </c>
      <c r="M1225" s="17">
        <v>30800</v>
      </c>
      <c r="N1225" s="17">
        <f t="shared" si="173"/>
        <v>41640</v>
      </c>
      <c r="O1225" s="17">
        <f t="shared" si="174"/>
        <v>10840</v>
      </c>
      <c r="P1225" s="10">
        <f t="shared" si="175"/>
        <v>0.92307692307692313</v>
      </c>
      <c r="Q1225" s="10">
        <f t="shared" si="176"/>
        <v>3.6111111111111108E-2</v>
      </c>
      <c r="R1225" s="10">
        <f t="shared" si="177"/>
        <v>0.26032660902977905</v>
      </c>
      <c r="S1225" s="18">
        <f t="shared" si="178"/>
        <v>88.760806916426517</v>
      </c>
      <c r="T1225" s="8">
        <f>480-ProductionData[[#This Row],[Downtime Minutes]]</f>
        <v>448</v>
      </c>
      <c r="U1225" s="11">
        <f t="shared" si="179"/>
        <v>0.8035714285714286</v>
      </c>
      <c r="V1225" s="18">
        <f>ProductionData[[#This Row],[Profit]]/ProductionData[[#This Row],[Good Units]]</f>
        <v>31.239193083573486</v>
      </c>
      <c r="W1225" s="11">
        <f>ProductionData[[#This Row],[Good Units]]/ProductionData[[#This Row],[Operating Minutes]]</f>
        <v>0.7745535714285714</v>
      </c>
    </row>
    <row r="1226" spans="1:23">
      <c r="A1226" s="7">
        <v>46340</v>
      </c>
      <c r="B1226" s="8" t="s">
        <v>32</v>
      </c>
      <c r="C1226" s="8" t="s">
        <v>20</v>
      </c>
      <c r="D1226" s="8" t="s">
        <v>21</v>
      </c>
      <c r="E1226" s="8" t="s">
        <v>24</v>
      </c>
      <c r="F1226" s="9">
        <v>390</v>
      </c>
      <c r="G1226" s="9">
        <v>366</v>
      </c>
      <c r="H1226" s="9">
        <v>11</v>
      </c>
      <c r="I1226" s="9">
        <f t="shared" si="171"/>
        <v>355</v>
      </c>
      <c r="J1226" s="9">
        <v>36</v>
      </c>
      <c r="K1226" s="10">
        <f t="shared" si="172"/>
        <v>7.4999999999999997E-2</v>
      </c>
      <c r="L1226" s="17">
        <v>120</v>
      </c>
      <c r="M1226" s="17">
        <v>30800</v>
      </c>
      <c r="N1226" s="17">
        <f t="shared" si="173"/>
        <v>42600</v>
      </c>
      <c r="O1226" s="17">
        <f t="shared" si="174"/>
        <v>11800</v>
      </c>
      <c r="P1226" s="10">
        <f t="shared" si="175"/>
        <v>0.93846153846153846</v>
      </c>
      <c r="Q1226" s="10">
        <f t="shared" si="176"/>
        <v>3.0054644808743168E-2</v>
      </c>
      <c r="R1226" s="10">
        <f t="shared" si="177"/>
        <v>0.27699530516431925</v>
      </c>
      <c r="S1226" s="18">
        <f t="shared" si="178"/>
        <v>86.760563380281695</v>
      </c>
      <c r="T1226" s="8">
        <f>480-ProductionData[[#This Row],[Downtime Minutes]]</f>
        <v>444</v>
      </c>
      <c r="U1226" s="11">
        <f t="shared" si="179"/>
        <v>0.82432432432432434</v>
      </c>
      <c r="V1226" s="18">
        <f>ProductionData[[#This Row],[Profit]]/ProductionData[[#This Row],[Good Units]]</f>
        <v>33.239436619718312</v>
      </c>
      <c r="W1226" s="11">
        <f>ProductionData[[#This Row],[Good Units]]/ProductionData[[#This Row],[Operating Minutes]]</f>
        <v>0.7995495495495496</v>
      </c>
    </row>
    <row r="1227" spans="1:23">
      <c r="A1227" s="7">
        <v>46340</v>
      </c>
      <c r="B1227" s="8" t="s">
        <v>32</v>
      </c>
      <c r="C1227" s="8" t="s">
        <v>20</v>
      </c>
      <c r="D1227" s="8" t="s">
        <v>23</v>
      </c>
      <c r="E1227" s="8" t="s">
        <v>26</v>
      </c>
      <c r="F1227" s="9">
        <v>510</v>
      </c>
      <c r="G1227" s="9">
        <v>463</v>
      </c>
      <c r="H1227" s="9">
        <v>19</v>
      </c>
      <c r="I1227" s="9">
        <f t="shared" si="171"/>
        <v>444</v>
      </c>
      <c r="J1227" s="9">
        <v>20</v>
      </c>
      <c r="K1227" s="10">
        <f t="shared" si="172"/>
        <v>4.1666666666666664E-2</v>
      </c>
      <c r="L1227" s="17">
        <v>90</v>
      </c>
      <c r="M1227" s="17">
        <v>30800</v>
      </c>
      <c r="N1227" s="17">
        <f t="shared" si="173"/>
        <v>39960</v>
      </c>
      <c r="O1227" s="17">
        <f t="shared" si="174"/>
        <v>9160</v>
      </c>
      <c r="P1227" s="10">
        <f t="shared" si="175"/>
        <v>0.90784313725490196</v>
      </c>
      <c r="Q1227" s="10">
        <f t="shared" si="176"/>
        <v>4.1036717062634988E-2</v>
      </c>
      <c r="R1227" s="10">
        <f t="shared" si="177"/>
        <v>0.22922922922922923</v>
      </c>
      <c r="S1227" s="18">
        <f t="shared" si="178"/>
        <v>69.369369369369366</v>
      </c>
      <c r="T1227" s="8">
        <f>480-ProductionData[[#This Row],[Downtime Minutes]]</f>
        <v>460</v>
      </c>
      <c r="U1227" s="11">
        <f t="shared" si="179"/>
        <v>1.0065217391304349</v>
      </c>
      <c r="V1227" s="18">
        <f>ProductionData[[#This Row],[Profit]]/ProductionData[[#This Row],[Good Units]]</f>
        <v>20.63063063063063</v>
      </c>
      <c r="W1227" s="11">
        <f>ProductionData[[#This Row],[Good Units]]/ProductionData[[#This Row],[Operating Minutes]]</f>
        <v>0.9652173913043478</v>
      </c>
    </row>
    <row r="1228" spans="1:23">
      <c r="A1228" s="7">
        <v>46340</v>
      </c>
      <c r="B1228" s="8" t="s">
        <v>32</v>
      </c>
      <c r="C1228" s="8" t="s">
        <v>20</v>
      </c>
      <c r="D1228" s="8" t="s">
        <v>25</v>
      </c>
      <c r="E1228" s="8" t="s">
        <v>22</v>
      </c>
      <c r="F1228" s="9">
        <v>450</v>
      </c>
      <c r="G1228" s="9">
        <v>391</v>
      </c>
      <c r="H1228" s="9">
        <v>20</v>
      </c>
      <c r="I1228" s="9">
        <f t="shared" si="171"/>
        <v>371</v>
      </c>
      <c r="J1228" s="9">
        <v>44</v>
      </c>
      <c r="K1228" s="10">
        <f t="shared" si="172"/>
        <v>9.166666666666666E-2</v>
      </c>
      <c r="L1228" s="17">
        <v>100</v>
      </c>
      <c r="M1228" s="17">
        <v>30800</v>
      </c>
      <c r="N1228" s="17">
        <f t="shared" si="173"/>
        <v>37100</v>
      </c>
      <c r="O1228" s="17">
        <f t="shared" si="174"/>
        <v>6300</v>
      </c>
      <c r="P1228" s="10">
        <f t="shared" si="175"/>
        <v>0.86888888888888893</v>
      </c>
      <c r="Q1228" s="10">
        <f t="shared" si="176"/>
        <v>5.1150895140664961E-2</v>
      </c>
      <c r="R1228" s="10">
        <f t="shared" si="177"/>
        <v>0.16981132075471697</v>
      </c>
      <c r="S1228" s="18">
        <f t="shared" si="178"/>
        <v>83.018867924528308</v>
      </c>
      <c r="T1228" s="8">
        <f>480-ProductionData[[#This Row],[Downtime Minutes]]</f>
        <v>436</v>
      </c>
      <c r="U1228" s="11">
        <f t="shared" si="179"/>
        <v>0.89678899082568808</v>
      </c>
      <c r="V1228" s="18">
        <f>ProductionData[[#This Row],[Profit]]/ProductionData[[#This Row],[Good Units]]</f>
        <v>16.981132075471699</v>
      </c>
      <c r="W1228" s="11">
        <f>ProductionData[[#This Row],[Good Units]]/ProductionData[[#This Row],[Operating Minutes]]</f>
        <v>0.8509174311926605</v>
      </c>
    </row>
    <row r="1229" spans="1:23">
      <c r="A1229" s="7">
        <v>46340</v>
      </c>
      <c r="B1229" s="8" t="s">
        <v>32</v>
      </c>
      <c r="C1229" s="8" t="s">
        <v>27</v>
      </c>
      <c r="D1229" s="8" t="s">
        <v>21</v>
      </c>
      <c r="E1229" s="8" t="s">
        <v>26</v>
      </c>
      <c r="F1229" s="9">
        <v>490</v>
      </c>
      <c r="G1229" s="9">
        <v>425</v>
      </c>
      <c r="H1229" s="9">
        <v>24</v>
      </c>
      <c r="I1229" s="9">
        <f t="shared" si="171"/>
        <v>401</v>
      </c>
      <c r="J1229" s="9">
        <v>31</v>
      </c>
      <c r="K1229" s="10">
        <f t="shared" si="172"/>
        <v>6.458333333333334E-2</v>
      </c>
      <c r="L1229" s="17">
        <v>90</v>
      </c>
      <c r="M1229" s="17">
        <v>30800</v>
      </c>
      <c r="N1229" s="17">
        <f t="shared" si="173"/>
        <v>36090</v>
      </c>
      <c r="O1229" s="17">
        <f t="shared" si="174"/>
        <v>5290</v>
      </c>
      <c r="P1229" s="10">
        <f t="shared" si="175"/>
        <v>0.86734693877551017</v>
      </c>
      <c r="Q1229" s="10">
        <f t="shared" si="176"/>
        <v>5.647058823529412E-2</v>
      </c>
      <c r="R1229" s="10">
        <f t="shared" si="177"/>
        <v>0.14657799944582986</v>
      </c>
      <c r="S1229" s="18">
        <f t="shared" si="178"/>
        <v>76.807980049875312</v>
      </c>
      <c r="T1229" s="8">
        <f>480-ProductionData[[#This Row],[Downtime Minutes]]</f>
        <v>449</v>
      </c>
      <c r="U1229" s="11">
        <f t="shared" si="179"/>
        <v>0.94654788418708236</v>
      </c>
      <c r="V1229" s="18">
        <f>ProductionData[[#This Row],[Profit]]/ProductionData[[#This Row],[Good Units]]</f>
        <v>13.192019950124688</v>
      </c>
      <c r="W1229" s="11">
        <f>ProductionData[[#This Row],[Good Units]]/ProductionData[[#This Row],[Operating Minutes]]</f>
        <v>0.89309576837416482</v>
      </c>
    </row>
    <row r="1230" spans="1:23">
      <c r="A1230" s="7">
        <v>46340</v>
      </c>
      <c r="B1230" s="8" t="s">
        <v>32</v>
      </c>
      <c r="C1230" s="8" t="s">
        <v>27</v>
      </c>
      <c r="D1230" s="8" t="s">
        <v>23</v>
      </c>
      <c r="E1230" s="8" t="s">
        <v>22</v>
      </c>
      <c r="F1230" s="9">
        <v>450</v>
      </c>
      <c r="G1230" s="9">
        <v>403</v>
      </c>
      <c r="H1230" s="9">
        <v>29</v>
      </c>
      <c r="I1230" s="9">
        <f t="shared" si="171"/>
        <v>374</v>
      </c>
      <c r="J1230" s="9">
        <v>69</v>
      </c>
      <c r="K1230" s="10">
        <f t="shared" si="172"/>
        <v>0.14374999999999999</v>
      </c>
      <c r="L1230" s="17">
        <v>100</v>
      </c>
      <c r="M1230" s="17">
        <v>30800</v>
      </c>
      <c r="N1230" s="17">
        <f t="shared" si="173"/>
        <v>37400</v>
      </c>
      <c r="O1230" s="17">
        <f t="shared" si="174"/>
        <v>6600</v>
      </c>
      <c r="P1230" s="10">
        <f t="shared" si="175"/>
        <v>0.89555555555555555</v>
      </c>
      <c r="Q1230" s="10">
        <f t="shared" si="176"/>
        <v>7.1960297766749379E-2</v>
      </c>
      <c r="R1230" s="10">
        <f t="shared" si="177"/>
        <v>0.17647058823529413</v>
      </c>
      <c r="S1230" s="18">
        <f t="shared" si="178"/>
        <v>82.352941176470594</v>
      </c>
      <c r="T1230" s="8">
        <f>480-ProductionData[[#This Row],[Downtime Minutes]]</f>
        <v>411</v>
      </c>
      <c r="U1230" s="11">
        <f t="shared" si="179"/>
        <v>0.98053527980535282</v>
      </c>
      <c r="V1230" s="18">
        <f>ProductionData[[#This Row],[Profit]]/ProductionData[[#This Row],[Good Units]]</f>
        <v>17.647058823529413</v>
      </c>
      <c r="W1230" s="11">
        <f>ProductionData[[#This Row],[Good Units]]/ProductionData[[#This Row],[Operating Minutes]]</f>
        <v>0.90997566909975669</v>
      </c>
    </row>
    <row r="1231" spans="1:23">
      <c r="A1231" s="7">
        <v>46340</v>
      </c>
      <c r="B1231" s="8" t="s">
        <v>32</v>
      </c>
      <c r="C1231" s="8" t="s">
        <v>27</v>
      </c>
      <c r="D1231" s="8" t="s">
        <v>25</v>
      </c>
      <c r="E1231" s="8" t="s">
        <v>24</v>
      </c>
      <c r="F1231" s="9">
        <v>400</v>
      </c>
      <c r="G1231" s="9">
        <v>329</v>
      </c>
      <c r="H1231" s="9">
        <v>21</v>
      </c>
      <c r="I1231" s="9">
        <f t="shared" si="171"/>
        <v>308</v>
      </c>
      <c r="J1231" s="9">
        <v>56</v>
      </c>
      <c r="K1231" s="10">
        <f t="shared" si="172"/>
        <v>0.11666666666666667</v>
      </c>
      <c r="L1231" s="17">
        <v>120</v>
      </c>
      <c r="M1231" s="17">
        <v>30800</v>
      </c>
      <c r="N1231" s="17">
        <f t="shared" si="173"/>
        <v>36960</v>
      </c>
      <c r="O1231" s="17">
        <f t="shared" si="174"/>
        <v>6160</v>
      </c>
      <c r="P1231" s="10">
        <f t="shared" si="175"/>
        <v>0.82250000000000001</v>
      </c>
      <c r="Q1231" s="10">
        <f t="shared" si="176"/>
        <v>6.3829787234042548E-2</v>
      </c>
      <c r="R1231" s="10">
        <f t="shared" si="177"/>
        <v>0.16666666666666666</v>
      </c>
      <c r="S1231" s="18">
        <f t="shared" si="178"/>
        <v>100</v>
      </c>
      <c r="T1231" s="8">
        <f>480-ProductionData[[#This Row],[Downtime Minutes]]</f>
        <v>424</v>
      </c>
      <c r="U1231" s="11">
        <f t="shared" si="179"/>
        <v>0.77594339622641506</v>
      </c>
      <c r="V1231" s="18">
        <f>ProductionData[[#This Row],[Profit]]/ProductionData[[#This Row],[Good Units]]</f>
        <v>20</v>
      </c>
      <c r="W1231" s="11">
        <f>ProductionData[[#This Row],[Good Units]]/ProductionData[[#This Row],[Operating Minutes]]</f>
        <v>0.72641509433962259</v>
      </c>
    </row>
    <row r="1232" spans="1:23">
      <c r="A1232" s="7">
        <v>46340</v>
      </c>
      <c r="B1232" s="8" t="s">
        <v>32</v>
      </c>
      <c r="C1232" s="8" t="s">
        <v>28</v>
      </c>
      <c r="D1232" s="8" t="s">
        <v>21</v>
      </c>
      <c r="E1232" s="8" t="s">
        <v>22</v>
      </c>
      <c r="F1232" s="9">
        <v>440</v>
      </c>
      <c r="G1232" s="9">
        <v>419</v>
      </c>
      <c r="H1232" s="9">
        <v>13</v>
      </c>
      <c r="I1232" s="9">
        <f t="shared" si="171"/>
        <v>406</v>
      </c>
      <c r="J1232" s="9">
        <v>17</v>
      </c>
      <c r="K1232" s="10">
        <f t="shared" si="172"/>
        <v>3.5416666666666666E-2</v>
      </c>
      <c r="L1232" s="17">
        <v>100</v>
      </c>
      <c r="M1232" s="17">
        <v>30800</v>
      </c>
      <c r="N1232" s="17">
        <f t="shared" si="173"/>
        <v>40600</v>
      </c>
      <c r="O1232" s="17">
        <f t="shared" si="174"/>
        <v>9800</v>
      </c>
      <c r="P1232" s="10">
        <f t="shared" si="175"/>
        <v>0.95227272727272727</v>
      </c>
      <c r="Q1232" s="10">
        <f t="shared" si="176"/>
        <v>3.1026252983293555E-2</v>
      </c>
      <c r="R1232" s="10">
        <f t="shared" si="177"/>
        <v>0.2413793103448276</v>
      </c>
      <c r="S1232" s="18">
        <f t="shared" si="178"/>
        <v>75.862068965517238</v>
      </c>
      <c r="T1232" s="8">
        <f>480-ProductionData[[#This Row],[Downtime Minutes]]</f>
        <v>463</v>
      </c>
      <c r="U1232" s="11">
        <f t="shared" si="179"/>
        <v>0.90496760259179265</v>
      </c>
      <c r="V1232" s="18">
        <f>ProductionData[[#This Row],[Profit]]/ProductionData[[#This Row],[Good Units]]</f>
        <v>24.137931034482758</v>
      </c>
      <c r="W1232" s="11">
        <f>ProductionData[[#This Row],[Good Units]]/ProductionData[[#This Row],[Operating Minutes]]</f>
        <v>0.87688984881209509</v>
      </c>
    </row>
    <row r="1233" spans="1:23">
      <c r="A1233" s="7">
        <v>46340</v>
      </c>
      <c r="B1233" s="8" t="s">
        <v>32</v>
      </c>
      <c r="C1233" s="8" t="s">
        <v>28</v>
      </c>
      <c r="D1233" s="8" t="s">
        <v>23</v>
      </c>
      <c r="E1233" s="8" t="s">
        <v>24</v>
      </c>
      <c r="F1233" s="9">
        <v>400</v>
      </c>
      <c r="G1233" s="9">
        <v>384</v>
      </c>
      <c r="H1233" s="9">
        <v>12</v>
      </c>
      <c r="I1233" s="9">
        <f t="shared" si="171"/>
        <v>372</v>
      </c>
      <c r="J1233" s="9">
        <v>41</v>
      </c>
      <c r="K1233" s="10">
        <f t="shared" si="172"/>
        <v>8.5416666666666669E-2</v>
      </c>
      <c r="L1233" s="17">
        <v>120</v>
      </c>
      <c r="M1233" s="17">
        <v>30800</v>
      </c>
      <c r="N1233" s="17">
        <f t="shared" si="173"/>
        <v>44640</v>
      </c>
      <c r="O1233" s="17">
        <f t="shared" si="174"/>
        <v>13840</v>
      </c>
      <c r="P1233" s="10">
        <f t="shared" si="175"/>
        <v>0.96</v>
      </c>
      <c r="Q1233" s="10">
        <f t="shared" si="176"/>
        <v>3.125E-2</v>
      </c>
      <c r="R1233" s="10">
        <f t="shared" si="177"/>
        <v>0.31003584229390679</v>
      </c>
      <c r="S1233" s="18">
        <f t="shared" si="178"/>
        <v>82.795698924731184</v>
      </c>
      <c r="T1233" s="8">
        <f>480-ProductionData[[#This Row],[Downtime Minutes]]</f>
        <v>439</v>
      </c>
      <c r="U1233" s="11">
        <f t="shared" si="179"/>
        <v>0.87471526195899774</v>
      </c>
      <c r="V1233" s="18">
        <f>ProductionData[[#This Row],[Profit]]/ProductionData[[#This Row],[Good Units]]</f>
        <v>37.204301075268816</v>
      </c>
      <c r="W1233" s="11">
        <f>ProductionData[[#This Row],[Good Units]]/ProductionData[[#This Row],[Operating Minutes]]</f>
        <v>0.84738041002277908</v>
      </c>
    </row>
    <row r="1234" spans="1:23">
      <c r="A1234" s="7">
        <v>46340</v>
      </c>
      <c r="B1234" s="8" t="s">
        <v>32</v>
      </c>
      <c r="C1234" s="8" t="s">
        <v>28</v>
      </c>
      <c r="D1234" s="8" t="s">
        <v>25</v>
      </c>
      <c r="E1234" s="8" t="s">
        <v>26</v>
      </c>
      <c r="F1234" s="9">
        <v>510</v>
      </c>
      <c r="G1234" s="9">
        <v>457</v>
      </c>
      <c r="H1234" s="9">
        <v>17</v>
      </c>
      <c r="I1234" s="9">
        <f t="shared" si="171"/>
        <v>440</v>
      </c>
      <c r="J1234" s="9">
        <v>38</v>
      </c>
      <c r="K1234" s="10">
        <f t="shared" si="172"/>
        <v>7.9166666666666663E-2</v>
      </c>
      <c r="L1234" s="17">
        <v>90</v>
      </c>
      <c r="M1234" s="17">
        <v>30800</v>
      </c>
      <c r="N1234" s="17">
        <f t="shared" si="173"/>
        <v>39600</v>
      </c>
      <c r="O1234" s="17">
        <f t="shared" si="174"/>
        <v>8800</v>
      </c>
      <c r="P1234" s="10">
        <f t="shared" si="175"/>
        <v>0.89607843137254906</v>
      </c>
      <c r="Q1234" s="10">
        <f t="shared" si="176"/>
        <v>3.7199124726477024E-2</v>
      </c>
      <c r="R1234" s="10">
        <f t="shared" si="177"/>
        <v>0.22222222222222221</v>
      </c>
      <c r="S1234" s="18">
        <f t="shared" si="178"/>
        <v>70</v>
      </c>
      <c r="T1234" s="8">
        <f>480-ProductionData[[#This Row],[Downtime Minutes]]</f>
        <v>442</v>
      </c>
      <c r="U1234" s="11">
        <f t="shared" si="179"/>
        <v>1.0339366515837105</v>
      </c>
      <c r="V1234" s="18">
        <f>ProductionData[[#This Row],[Profit]]/ProductionData[[#This Row],[Good Units]]</f>
        <v>20</v>
      </c>
      <c r="W1234" s="11">
        <f>ProductionData[[#This Row],[Good Units]]/ProductionData[[#This Row],[Operating Minutes]]</f>
        <v>0.99547511312217196</v>
      </c>
    </row>
    <row r="1235" spans="1:23">
      <c r="A1235" s="7">
        <v>46341</v>
      </c>
      <c r="B1235" s="8" t="s">
        <v>32</v>
      </c>
      <c r="C1235" s="8" t="s">
        <v>20</v>
      </c>
      <c r="D1235" s="8" t="s">
        <v>21</v>
      </c>
      <c r="E1235" s="8" t="s">
        <v>26</v>
      </c>
      <c r="F1235" s="9">
        <v>490</v>
      </c>
      <c r="G1235" s="9">
        <v>463</v>
      </c>
      <c r="H1235" s="9">
        <v>14</v>
      </c>
      <c r="I1235" s="9">
        <f t="shared" si="171"/>
        <v>449</v>
      </c>
      <c r="J1235" s="9">
        <v>33</v>
      </c>
      <c r="K1235" s="10">
        <f t="shared" si="172"/>
        <v>6.8750000000000006E-2</v>
      </c>
      <c r="L1235" s="17">
        <v>90</v>
      </c>
      <c r="M1235" s="17">
        <v>30800</v>
      </c>
      <c r="N1235" s="17">
        <f t="shared" si="173"/>
        <v>40410</v>
      </c>
      <c r="O1235" s="17">
        <f t="shared" si="174"/>
        <v>9610</v>
      </c>
      <c r="P1235" s="10">
        <f t="shared" si="175"/>
        <v>0.94489795918367347</v>
      </c>
      <c r="Q1235" s="10">
        <f t="shared" si="176"/>
        <v>3.0237580993520519E-2</v>
      </c>
      <c r="R1235" s="10">
        <f t="shared" si="177"/>
        <v>0.23781242266765651</v>
      </c>
      <c r="S1235" s="18">
        <f t="shared" si="178"/>
        <v>68.596881959910917</v>
      </c>
      <c r="T1235" s="8">
        <f>480-ProductionData[[#This Row],[Downtime Minutes]]</f>
        <v>447</v>
      </c>
      <c r="U1235" s="11">
        <f t="shared" si="179"/>
        <v>1.0357941834451903</v>
      </c>
      <c r="V1235" s="18">
        <f>ProductionData[[#This Row],[Profit]]/ProductionData[[#This Row],[Good Units]]</f>
        <v>21.403118040089087</v>
      </c>
      <c r="W1235" s="11">
        <f>ProductionData[[#This Row],[Good Units]]/ProductionData[[#This Row],[Operating Minutes]]</f>
        <v>1.0044742729306488</v>
      </c>
    </row>
    <row r="1236" spans="1:23">
      <c r="A1236" s="7">
        <v>46341</v>
      </c>
      <c r="B1236" s="8" t="s">
        <v>32</v>
      </c>
      <c r="C1236" s="8" t="s">
        <v>20</v>
      </c>
      <c r="D1236" s="8" t="s">
        <v>23</v>
      </c>
      <c r="E1236" s="8" t="s">
        <v>22</v>
      </c>
      <c r="F1236" s="9">
        <v>460</v>
      </c>
      <c r="G1236" s="9">
        <v>413</v>
      </c>
      <c r="H1236" s="9">
        <v>18</v>
      </c>
      <c r="I1236" s="9">
        <f t="shared" si="171"/>
        <v>395</v>
      </c>
      <c r="J1236" s="9">
        <v>42</v>
      </c>
      <c r="K1236" s="10">
        <f t="shared" si="172"/>
        <v>8.7499999999999994E-2</v>
      </c>
      <c r="L1236" s="17">
        <v>100</v>
      </c>
      <c r="M1236" s="17">
        <v>30800</v>
      </c>
      <c r="N1236" s="17">
        <f t="shared" si="173"/>
        <v>39500</v>
      </c>
      <c r="O1236" s="17">
        <f t="shared" si="174"/>
        <v>8700</v>
      </c>
      <c r="P1236" s="10">
        <f t="shared" si="175"/>
        <v>0.89782608695652177</v>
      </c>
      <c r="Q1236" s="10">
        <f t="shared" si="176"/>
        <v>4.3583535108958835E-2</v>
      </c>
      <c r="R1236" s="10">
        <f t="shared" si="177"/>
        <v>0.22025316455696203</v>
      </c>
      <c r="S1236" s="18">
        <f t="shared" si="178"/>
        <v>77.974683544303801</v>
      </c>
      <c r="T1236" s="8">
        <f>480-ProductionData[[#This Row],[Downtime Minutes]]</f>
        <v>438</v>
      </c>
      <c r="U1236" s="11">
        <f t="shared" si="179"/>
        <v>0.94292237442922378</v>
      </c>
      <c r="V1236" s="18">
        <f>ProductionData[[#This Row],[Profit]]/ProductionData[[#This Row],[Good Units]]</f>
        <v>22.025316455696203</v>
      </c>
      <c r="W1236" s="11">
        <f>ProductionData[[#This Row],[Good Units]]/ProductionData[[#This Row],[Operating Minutes]]</f>
        <v>0.90182648401826482</v>
      </c>
    </row>
    <row r="1237" spans="1:23">
      <c r="A1237" s="7">
        <v>46341</v>
      </c>
      <c r="B1237" s="8" t="s">
        <v>32</v>
      </c>
      <c r="C1237" s="8" t="s">
        <v>20</v>
      </c>
      <c r="D1237" s="8" t="s">
        <v>25</v>
      </c>
      <c r="E1237" s="8" t="s">
        <v>24</v>
      </c>
      <c r="F1237" s="9">
        <v>390</v>
      </c>
      <c r="G1237" s="9">
        <v>353</v>
      </c>
      <c r="H1237" s="9">
        <v>16</v>
      </c>
      <c r="I1237" s="9">
        <f t="shared" si="171"/>
        <v>337</v>
      </c>
      <c r="J1237" s="9">
        <v>48</v>
      </c>
      <c r="K1237" s="10">
        <f t="shared" si="172"/>
        <v>0.1</v>
      </c>
      <c r="L1237" s="17">
        <v>120</v>
      </c>
      <c r="M1237" s="17">
        <v>30800</v>
      </c>
      <c r="N1237" s="17">
        <f t="shared" si="173"/>
        <v>40440</v>
      </c>
      <c r="O1237" s="17">
        <f t="shared" si="174"/>
        <v>9640</v>
      </c>
      <c r="P1237" s="10">
        <f t="shared" si="175"/>
        <v>0.90512820512820513</v>
      </c>
      <c r="Q1237" s="10">
        <f t="shared" si="176"/>
        <v>4.5325779036827198E-2</v>
      </c>
      <c r="R1237" s="10">
        <f t="shared" si="177"/>
        <v>0.23837784371909002</v>
      </c>
      <c r="S1237" s="18">
        <f t="shared" si="178"/>
        <v>91.394658753709194</v>
      </c>
      <c r="T1237" s="8">
        <f>480-ProductionData[[#This Row],[Downtime Minutes]]</f>
        <v>432</v>
      </c>
      <c r="U1237" s="11">
        <f t="shared" si="179"/>
        <v>0.81712962962962965</v>
      </c>
      <c r="V1237" s="18">
        <f>ProductionData[[#This Row],[Profit]]/ProductionData[[#This Row],[Good Units]]</f>
        <v>28.605341246290802</v>
      </c>
      <c r="W1237" s="11">
        <f>ProductionData[[#This Row],[Good Units]]/ProductionData[[#This Row],[Operating Minutes]]</f>
        <v>0.78009259259259256</v>
      </c>
    </row>
    <row r="1238" spans="1:23">
      <c r="A1238" s="7">
        <v>46341</v>
      </c>
      <c r="B1238" s="8" t="s">
        <v>32</v>
      </c>
      <c r="C1238" s="8" t="s">
        <v>27</v>
      </c>
      <c r="D1238" s="8" t="s">
        <v>21</v>
      </c>
      <c r="E1238" s="8" t="s">
        <v>22</v>
      </c>
      <c r="F1238" s="9">
        <v>450</v>
      </c>
      <c r="G1238" s="9">
        <v>402</v>
      </c>
      <c r="H1238" s="9">
        <v>25</v>
      </c>
      <c r="I1238" s="9">
        <f t="shared" si="171"/>
        <v>377</v>
      </c>
      <c r="J1238" s="9">
        <v>45</v>
      </c>
      <c r="K1238" s="10">
        <f t="shared" si="172"/>
        <v>9.375E-2</v>
      </c>
      <c r="L1238" s="17">
        <v>100</v>
      </c>
      <c r="M1238" s="17">
        <v>30800</v>
      </c>
      <c r="N1238" s="17">
        <f t="shared" si="173"/>
        <v>37700</v>
      </c>
      <c r="O1238" s="17">
        <f t="shared" si="174"/>
        <v>6900</v>
      </c>
      <c r="P1238" s="10">
        <f t="shared" si="175"/>
        <v>0.89333333333333331</v>
      </c>
      <c r="Q1238" s="10">
        <f t="shared" si="176"/>
        <v>6.2189054726368161E-2</v>
      </c>
      <c r="R1238" s="10">
        <f t="shared" si="177"/>
        <v>0.1830238726790451</v>
      </c>
      <c r="S1238" s="18">
        <f t="shared" si="178"/>
        <v>81.697612732095493</v>
      </c>
      <c r="T1238" s="8">
        <f>480-ProductionData[[#This Row],[Downtime Minutes]]</f>
        <v>435</v>
      </c>
      <c r="U1238" s="11">
        <f t="shared" si="179"/>
        <v>0.92413793103448272</v>
      </c>
      <c r="V1238" s="18">
        <f>ProductionData[[#This Row],[Profit]]/ProductionData[[#This Row],[Good Units]]</f>
        <v>18.302387267904511</v>
      </c>
      <c r="W1238" s="11">
        <f>ProductionData[[#This Row],[Good Units]]/ProductionData[[#This Row],[Operating Minutes]]</f>
        <v>0.8666666666666667</v>
      </c>
    </row>
    <row r="1239" spans="1:23">
      <c r="A1239" s="7">
        <v>46341</v>
      </c>
      <c r="B1239" s="8" t="s">
        <v>32</v>
      </c>
      <c r="C1239" s="8" t="s">
        <v>27</v>
      </c>
      <c r="D1239" s="8" t="s">
        <v>23</v>
      </c>
      <c r="E1239" s="8" t="s">
        <v>24</v>
      </c>
      <c r="F1239" s="9">
        <v>410</v>
      </c>
      <c r="G1239" s="9">
        <v>345</v>
      </c>
      <c r="H1239" s="9">
        <v>20</v>
      </c>
      <c r="I1239" s="9">
        <f t="shared" si="171"/>
        <v>325</v>
      </c>
      <c r="J1239" s="9">
        <v>57</v>
      </c>
      <c r="K1239" s="10">
        <f t="shared" si="172"/>
        <v>0.11874999999999999</v>
      </c>
      <c r="L1239" s="17">
        <v>120</v>
      </c>
      <c r="M1239" s="17">
        <v>30800</v>
      </c>
      <c r="N1239" s="17">
        <f t="shared" si="173"/>
        <v>39000</v>
      </c>
      <c r="O1239" s="17">
        <f t="shared" si="174"/>
        <v>8200</v>
      </c>
      <c r="P1239" s="10">
        <f t="shared" si="175"/>
        <v>0.84146341463414631</v>
      </c>
      <c r="Q1239" s="10">
        <f t="shared" si="176"/>
        <v>5.7971014492753624E-2</v>
      </c>
      <c r="R1239" s="10">
        <f t="shared" si="177"/>
        <v>0.21025641025641026</v>
      </c>
      <c r="S1239" s="18">
        <f t="shared" si="178"/>
        <v>94.769230769230774</v>
      </c>
      <c r="T1239" s="8">
        <f>480-ProductionData[[#This Row],[Downtime Minutes]]</f>
        <v>423</v>
      </c>
      <c r="U1239" s="11">
        <f t="shared" si="179"/>
        <v>0.81560283687943258</v>
      </c>
      <c r="V1239" s="18">
        <f>ProductionData[[#This Row],[Profit]]/ProductionData[[#This Row],[Good Units]]</f>
        <v>25.23076923076923</v>
      </c>
      <c r="W1239" s="11">
        <f>ProductionData[[#This Row],[Good Units]]/ProductionData[[#This Row],[Operating Minutes]]</f>
        <v>0.76832151300236406</v>
      </c>
    </row>
    <row r="1240" spans="1:23">
      <c r="A1240" s="7">
        <v>46341</v>
      </c>
      <c r="B1240" s="8" t="s">
        <v>32</v>
      </c>
      <c r="C1240" s="8" t="s">
        <v>27</v>
      </c>
      <c r="D1240" s="8" t="s">
        <v>25</v>
      </c>
      <c r="E1240" s="8" t="s">
        <v>26</v>
      </c>
      <c r="F1240" s="9">
        <v>510</v>
      </c>
      <c r="G1240" s="9">
        <v>443</v>
      </c>
      <c r="H1240" s="9">
        <v>29</v>
      </c>
      <c r="I1240" s="9">
        <f t="shared" si="171"/>
        <v>414</v>
      </c>
      <c r="J1240" s="9">
        <v>45</v>
      </c>
      <c r="K1240" s="10">
        <f t="shared" si="172"/>
        <v>9.375E-2</v>
      </c>
      <c r="L1240" s="17">
        <v>90</v>
      </c>
      <c r="M1240" s="17">
        <v>30800</v>
      </c>
      <c r="N1240" s="17">
        <f t="shared" si="173"/>
        <v>37260</v>
      </c>
      <c r="O1240" s="17">
        <f t="shared" si="174"/>
        <v>6460</v>
      </c>
      <c r="P1240" s="10">
        <f t="shared" si="175"/>
        <v>0.86862745098039218</v>
      </c>
      <c r="Q1240" s="10">
        <f t="shared" si="176"/>
        <v>6.5462753950338598E-2</v>
      </c>
      <c r="R1240" s="10">
        <f t="shared" si="177"/>
        <v>0.17337627482555018</v>
      </c>
      <c r="S1240" s="18">
        <f t="shared" si="178"/>
        <v>74.39613526570048</v>
      </c>
      <c r="T1240" s="8">
        <f>480-ProductionData[[#This Row],[Downtime Minutes]]</f>
        <v>435</v>
      </c>
      <c r="U1240" s="11">
        <f t="shared" si="179"/>
        <v>1.0183908045977013</v>
      </c>
      <c r="V1240" s="18">
        <f>ProductionData[[#This Row],[Profit]]/ProductionData[[#This Row],[Good Units]]</f>
        <v>15.603864734299517</v>
      </c>
      <c r="W1240" s="11">
        <f>ProductionData[[#This Row],[Good Units]]/ProductionData[[#This Row],[Operating Minutes]]</f>
        <v>0.9517241379310345</v>
      </c>
    </row>
    <row r="1241" spans="1:23">
      <c r="A1241" s="7">
        <v>46341</v>
      </c>
      <c r="B1241" s="8" t="s">
        <v>32</v>
      </c>
      <c r="C1241" s="8" t="s">
        <v>28</v>
      </c>
      <c r="D1241" s="8" t="s">
        <v>21</v>
      </c>
      <c r="E1241" s="8" t="s">
        <v>24</v>
      </c>
      <c r="F1241" s="9">
        <v>410</v>
      </c>
      <c r="G1241" s="9">
        <v>393</v>
      </c>
      <c r="H1241" s="9">
        <v>12</v>
      </c>
      <c r="I1241" s="9">
        <f t="shared" si="171"/>
        <v>381</v>
      </c>
      <c r="J1241" s="9">
        <v>23</v>
      </c>
      <c r="K1241" s="10">
        <f t="shared" si="172"/>
        <v>4.791666666666667E-2</v>
      </c>
      <c r="L1241" s="17">
        <v>120</v>
      </c>
      <c r="M1241" s="17">
        <v>30800</v>
      </c>
      <c r="N1241" s="17">
        <f t="shared" si="173"/>
        <v>45720</v>
      </c>
      <c r="O1241" s="17">
        <f t="shared" si="174"/>
        <v>14920</v>
      </c>
      <c r="P1241" s="10">
        <f t="shared" si="175"/>
        <v>0.95853658536585362</v>
      </c>
      <c r="Q1241" s="10">
        <f t="shared" si="176"/>
        <v>3.0534351145038167E-2</v>
      </c>
      <c r="R1241" s="10">
        <f t="shared" si="177"/>
        <v>0.32633420822397202</v>
      </c>
      <c r="S1241" s="18">
        <f t="shared" si="178"/>
        <v>80.839895013123353</v>
      </c>
      <c r="T1241" s="8">
        <f>480-ProductionData[[#This Row],[Downtime Minutes]]</f>
        <v>457</v>
      </c>
      <c r="U1241" s="11">
        <f t="shared" si="179"/>
        <v>0.85995623632385121</v>
      </c>
      <c r="V1241" s="18">
        <f>ProductionData[[#This Row],[Profit]]/ProductionData[[#This Row],[Good Units]]</f>
        <v>39.16010498687664</v>
      </c>
      <c r="W1241" s="11">
        <f>ProductionData[[#This Row],[Good Units]]/ProductionData[[#This Row],[Operating Minutes]]</f>
        <v>0.83369803063457326</v>
      </c>
    </row>
    <row r="1242" spans="1:23">
      <c r="A1242" s="7">
        <v>46341</v>
      </c>
      <c r="B1242" s="8" t="s">
        <v>32</v>
      </c>
      <c r="C1242" s="8" t="s">
        <v>28</v>
      </c>
      <c r="D1242" s="8" t="s">
        <v>23</v>
      </c>
      <c r="E1242" s="8" t="s">
        <v>26</v>
      </c>
      <c r="F1242" s="9">
        <v>520</v>
      </c>
      <c r="G1242" s="9">
        <v>501</v>
      </c>
      <c r="H1242" s="9">
        <v>14</v>
      </c>
      <c r="I1242" s="9">
        <f t="shared" si="171"/>
        <v>487</v>
      </c>
      <c r="J1242" s="9">
        <v>20</v>
      </c>
      <c r="K1242" s="10">
        <f t="shared" si="172"/>
        <v>4.1666666666666664E-2</v>
      </c>
      <c r="L1242" s="17">
        <v>90</v>
      </c>
      <c r="M1242" s="17">
        <v>30800</v>
      </c>
      <c r="N1242" s="17">
        <f t="shared" si="173"/>
        <v>43830</v>
      </c>
      <c r="O1242" s="17">
        <f t="shared" si="174"/>
        <v>13030</v>
      </c>
      <c r="P1242" s="10">
        <f t="shared" si="175"/>
        <v>0.96346153846153848</v>
      </c>
      <c r="Q1242" s="10">
        <f t="shared" si="176"/>
        <v>2.7944111776447105E-2</v>
      </c>
      <c r="R1242" s="10">
        <f t="shared" si="177"/>
        <v>0.297284964636094</v>
      </c>
      <c r="S1242" s="18">
        <f t="shared" si="178"/>
        <v>63.244353182751539</v>
      </c>
      <c r="T1242" s="8">
        <f>480-ProductionData[[#This Row],[Downtime Minutes]]</f>
        <v>460</v>
      </c>
      <c r="U1242" s="11">
        <f t="shared" si="179"/>
        <v>1.0891304347826087</v>
      </c>
      <c r="V1242" s="18">
        <f>ProductionData[[#This Row],[Profit]]/ProductionData[[#This Row],[Good Units]]</f>
        <v>26.755646817248461</v>
      </c>
      <c r="W1242" s="11">
        <f>ProductionData[[#This Row],[Good Units]]/ProductionData[[#This Row],[Operating Minutes]]</f>
        <v>1.058695652173913</v>
      </c>
    </row>
    <row r="1243" spans="1:23">
      <c r="A1243" s="7">
        <v>46341</v>
      </c>
      <c r="B1243" s="8" t="s">
        <v>32</v>
      </c>
      <c r="C1243" s="8" t="s">
        <v>28</v>
      </c>
      <c r="D1243" s="8" t="s">
        <v>25</v>
      </c>
      <c r="E1243" s="8" t="s">
        <v>22</v>
      </c>
      <c r="F1243" s="9">
        <v>440</v>
      </c>
      <c r="G1243" s="9">
        <v>403</v>
      </c>
      <c r="H1243" s="9">
        <v>20</v>
      </c>
      <c r="I1243" s="9">
        <f t="shared" si="171"/>
        <v>383</v>
      </c>
      <c r="J1243" s="9">
        <v>49</v>
      </c>
      <c r="K1243" s="10">
        <f t="shared" si="172"/>
        <v>0.10208333333333333</v>
      </c>
      <c r="L1243" s="17">
        <v>100</v>
      </c>
      <c r="M1243" s="17">
        <v>30800</v>
      </c>
      <c r="N1243" s="17">
        <f t="shared" si="173"/>
        <v>38300</v>
      </c>
      <c r="O1243" s="17">
        <f t="shared" si="174"/>
        <v>7500</v>
      </c>
      <c r="P1243" s="10">
        <f t="shared" si="175"/>
        <v>0.91590909090909089</v>
      </c>
      <c r="Q1243" s="10">
        <f t="shared" si="176"/>
        <v>4.9627791563275438E-2</v>
      </c>
      <c r="R1243" s="10">
        <f t="shared" si="177"/>
        <v>0.195822454308094</v>
      </c>
      <c r="S1243" s="18">
        <f t="shared" si="178"/>
        <v>80.417754569190606</v>
      </c>
      <c r="T1243" s="8">
        <f>480-ProductionData[[#This Row],[Downtime Minutes]]</f>
        <v>431</v>
      </c>
      <c r="U1243" s="11">
        <f t="shared" si="179"/>
        <v>0.93503480278422269</v>
      </c>
      <c r="V1243" s="18">
        <f>ProductionData[[#This Row],[Profit]]/ProductionData[[#This Row],[Good Units]]</f>
        <v>19.582245430809401</v>
      </c>
      <c r="W1243" s="11">
        <f>ProductionData[[#This Row],[Good Units]]/ProductionData[[#This Row],[Operating Minutes]]</f>
        <v>0.88863109048723898</v>
      </c>
    </row>
    <row r="1244" spans="1:23">
      <c r="A1244" s="7">
        <v>46342</v>
      </c>
      <c r="B1244" s="8" t="s">
        <v>32</v>
      </c>
      <c r="C1244" s="8" t="s">
        <v>20</v>
      </c>
      <c r="D1244" s="8" t="s">
        <v>21</v>
      </c>
      <c r="E1244" s="8" t="s">
        <v>22</v>
      </c>
      <c r="F1244" s="9">
        <v>460</v>
      </c>
      <c r="G1244" s="9">
        <v>431</v>
      </c>
      <c r="H1244" s="9">
        <v>17</v>
      </c>
      <c r="I1244" s="9">
        <f t="shared" si="171"/>
        <v>414</v>
      </c>
      <c r="J1244" s="9">
        <v>33</v>
      </c>
      <c r="K1244" s="10">
        <f t="shared" si="172"/>
        <v>6.8750000000000006E-2</v>
      </c>
      <c r="L1244" s="17">
        <v>100</v>
      </c>
      <c r="M1244" s="17">
        <v>30800</v>
      </c>
      <c r="N1244" s="17">
        <f t="shared" si="173"/>
        <v>41400</v>
      </c>
      <c r="O1244" s="17">
        <f t="shared" si="174"/>
        <v>10600</v>
      </c>
      <c r="P1244" s="10">
        <f t="shared" si="175"/>
        <v>0.93695652173913047</v>
      </c>
      <c r="Q1244" s="10">
        <f t="shared" si="176"/>
        <v>3.9443155452436193E-2</v>
      </c>
      <c r="R1244" s="10">
        <f t="shared" si="177"/>
        <v>0.2560386473429952</v>
      </c>
      <c r="S1244" s="18">
        <f t="shared" si="178"/>
        <v>74.39613526570048</v>
      </c>
      <c r="T1244" s="8">
        <f>480-ProductionData[[#This Row],[Downtime Minutes]]</f>
        <v>447</v>
      </c>
      <c r="U1244" s="11">
        <f t="shared" si="179"/>
        <v>0.96420581655480986</v>
      </c>
      <c r="V1244" s="18">
        <f>ProductionData[[#This Row],[Profit]]/ProductionData[[#This Row],[Good Units]]</f>
        <v>25.603864734299517</v>
      </c>
      <c r="W1244" s="11">
        <f>ProductionData[[#This Row],[Good Units]]/ProductionData[[#This Row],[Operating Minutes]]</f>
        <v>0.9261744966442953</v>
      </c>
    </row>
    <row r="1245" spans="1:23">
      <c r="A1245" s="7">
        <v>46342</v>
      </c>
      <c r="B1245" s="8" t="s">
        <v>32</v>
      </c>
      <c r="C1245" s="8" t="s">
        <v>20</v>
      </c>
      <c r="D1245" s="8" t="s">
        <v>23</v>
      </c>
      <c r="E1245" s="8" t="s">
        <v>24</v>
      </c>
      <c r="F1245" s="9">
        <v>410</v>
      </c>
      <c r="G1245" s="9">
        <v>370</v>
      </c>
      <c r="H1245" s="9">
        <v>12</v>
      </c>
      <c r="I1245" s="9">
        <f t="shared" si="171"/>
        <v>358</v>
      </c>
      <c r="J1245" s="9">
        <v>46</v>
      </c>
      <c r="K1245" s="10">
        <f t="shared" si="172"/>
        <v>9.583333333333334E-2</v>
      </c>
      <c r="L1245" s="17">
        <v>120</v>
      </c>
      <c r="M1245" s="17">
        <v>30800</v>
      </c>
      <c r="N1245" s="17">
        <f t="shared" si="173"/>
        <v>42960</v>
      </c>
      <c r="O1245" s="17">
        <f t="shared" si="174"/>
        <v>12160</v>
      </c>
      <c r="P1245" s="10">
        <f t="shared" si="175"/>
        <v>0.90243902439024393</v>
      </c>
      <c r="Q1245" s="10">
        <f t="shared" si="176"/>
        <v>3.2432432432432434E-2</v>
      </c>
      <c r="R1245" s="10">
        <f t="shared" si="177"/>
        <v>0.28305400372439476</v>
      </c>
      <c r="S1245" s="18">
        <f t="shared" si="178"/>
        <v>86.033519553072622</v>
      </c>
      <c r="T1245" s="8">
        <f>480-ProductionData[[#This Row],[Downtime Minutes]]</f>
        <v>434</v>
      </c>
      <c r="U1245" s="11">
        <f t="shared" si="179"/>
        <v>0.85253456221198154</v>
      </c>
      <c r="V1245" s="18">
        <f>ProductionData[[#This Row],[Profit]]/ProductionData[[#This Row],[Good Units]]</f>
        <v>33.966480446927378</v>
      </c>
      <c r="W1245" s="11">
        <f>ProductionData[[#This Row],[Good Units]]/ProductionData[[#This Row],[Operating Minutes]]</f>
        <v>0.82488479262672809</v>
      </c>
    </row>
    <row r="1246" spans="1:23">
      <c r="A1246" s="7">
        <v>46342</v>
      </c>
      <c r="B1246" s="8" t="s">
        <v>32</v>
      </c>
      <c r="C1246" s="8" t="s">
        <v>20</v>
      </c>
      <c r="D1246" s="8" t="s">
        <v>25</v>
      </c>
      <c r="E1246" s="8" t="s">
        <v>26</v>
      </c>
      <c r="F1246" s="9">
        <v>510</v>
      </c>
      <c r="G1246" s="9">
        <v>440</v>
      </c>
      <c r="H1246" s="9">
        <v>17</v>
      </c>
      <c r="I1246" s="9">
        <f t="shared" si="171"/>
        <v>423</v>
      </c>
      <c r="J1246" s="9">
        <v>29</v>
      </c>
      <c r="K1246" s="10">
        <f t="shared" si="172"/>
        <v>6.0416666666666667E-2</v>
      </c>
      <c r="L1246" s="17">
        <v>90</v>
      </c>
      <c r="M1246" s="17">
        <v>30800</v>
      </c>
      <c r="N1246" s="17">
        <f t="shared" si="173"/>
        <v>38070</v>
      </c>
      <c r="O1246" s="17">
        <f t="shared" si="174"/>
        <v>7270</v>
      </c>
      <c r="P1246" s="10">
        <f t="shared" si="175"/>
        <v>0.86274509803921573</v>
      </c>
      <c r="Q1246" s="10">
        <f t="shared" si="176"/>
        <v>3.8636363636363635E-2</v>
      </c>
      <c r="R1246" s="10">
        <f t="shared" si="177"/>
        <v>0.19096401365904911</v>
      </c>
      <c r="S1246" s="18">
        <f t="shared" si="178"/>
        <v>72.813238770685572</v>
      </c>
      <c r="T1246" s="8">
        <f>480-ProductionData[[#This Row],[Downtime Minutes]]</f>
        <v>451</v>
      </c>
      <c r="U1246" s="11">
        <f t="shared" si="179"/>
        <v>0.97560975609756095</v>
      </c>
      <c r="V1246" s="18">
        <f>ProductionData[[#This Row],[Profit]]/ProductionData[[#This Row],[Good Units]]</f>
        <v>17.186761229314421</v>
      </c>
      <c r="W1246" s="11">
        <f>ProductionData[[#This Row],[Good Units]]/ProductionData[[#This Row],[Operating Minutes]]</f>
        <v>0.93791574279379153</v>
      </c>
    </row>
    <row r="1247" spans="1:23">
      <c r="A1247" s="7">
        <v>46342</v>
      </c>
      <c r="B1247" s="8" t="s">
        <v>32</v>
      </c>
      <c r="C1247" s="8" t="s">
        <v>27</v>
      </c>
      <c r="D1247" s="8" t="s">
        <v>21</v>
      </c>
      <c r="E1247" s="8" t="s">
        <v>24</v>
      </c>
      <c r="F1247" s="9">
        <v>400</v>
      </c>
      <c r="G1247" s="9">
        <v>358</v>
      </c>
      <c r="H1247" s="9">
        <v>15</v>
      </c>
      <c r="I1247" s="9">
        <f t="shared" si="171"/>
        <v>343</v>
      </c>
      <c r="J1247" s="9">
        <v>37</v>
      </c>
      <c r="K1247" s="10">
        <f t="shared" si="172"/>
        <v>7.7083333333333337E-2</v>
      </c>
      <c r="L1247" s="17">
        <v>120</v>
      </c>
      <c r="M1247" s="17">
        <v>30800</v>
      </c>
      <c r="N1247" s="17">
        <f t="shared" si="173"/>
        <v>41160</v>
      </c>
      <c r="O1247" s="17">
        <f t="shared" si="174"/>
        <v>10360</v>
      </c>
      <c r="P1247" s="10">
        <f t="shared" si="175"/>
        <v>0.89500000000000002</v>
      </c>
      <c r="Q1247" s="10">
        <f t="shared" si="176"/>
        <v>4.189944134078212E-2</v>
      </c>
      <c r="R1247" s="10">
        <f t="shared" si="177"/>
        <v>0.25170068027210885</v>
      </c>
      <c r="S1247" s="18">
        <f t="shared" si="178"/>
        <v>89.795918367346943</v>
      </c>
      <c r="T1247" s="8">
        <f>480-ProductionData[[#This Row],[Downtime Minutes]]</f>
        <v>443</v>
      </c>
      <c r="U1247" s="11">
        <f t="shared" si="179"/>
        <v>0.80812641083521441</v>
      </c>
      <c r="V1247" s="18">
        <f>ProductionData[[#This Row],[Profit]]/ProductionData[[#This Row],[Good Units]]</f>
        <v>30.204081632653061</v>
      </c>
      <c r="W1247" s="11">
        <f>ProductionData[[#This Row],[Good Units]]/ProductionData[[#This Row],[Operating Minutes]]</f>
        <v>0.77426636568848761</v>
      </c>
    </row>
    <row r="1248" spans="1:23">
      <c r="A1248" s="7">
        <v>46342</v>
      </c>
      <c r="B1248" s="8" t="s">
        <v>32</v>
      </c>
      <c r="C1248" s="8" t="s">
        <v>27</v>
      </c>
      <c r="D1248" s="8" t="s">
        <v>23</v>
      </c>
      <c r="E1248" s="8" t="s">
        <v>26</v>
      </c>
      <c r="F1248" s="9">
        <v>500</v>
      </c>
      <c r="G1248" s="9">
        <v>423</v>
      </c>
      <c r="H1248" s="9">
        <v>24</v>
      </c>
      <c r="I1248" s="9">
        <f t="shared" si="171"/>
        <v>399</v>
      </c>
      <c r="J1248" s="9">
        <v>44</v>
      </c>
      <c r="K1248" s="10">
        <f t="shared" si="172"/>
        <v>9.166666666666666E-2</v>
      </c>
      <c r="L1248" s="17">
        <v>90</v>
      </c>
      <c r="M1248" s="17">
        <v>30800</v>
      </c>
      <c r="N1248" s="17">
        <f t="shared" si="173"/>
        <v>35910</v>
      </c>
      <c r="O1248" s="17">
        <f t="shared" si="174"/>
        <v>5110</v>
      </c>
      <c r="P1248" s="10">
        <f t="shared" si="175"/>
        <v>0.84599999999999997</v>
      </c>
      <c r="Q1248" s="10">
        <f t="shared" si="176"/>
        <v>5.6737588652482268E-2</v>
      </c>
      <c r="R1248" s="10">
        <f t="shared" si="177"/>
        <v>0.14230019493177387</v>
      </c>
      <c r="S1248" s="18">
        <f t="shared" si="178"/>
        <v>77.192982456140356</v>
      </c>
      <c r="T1248" s="8">
        <f>480-ProductionData[[#This Row],[Downtime Minutes]]</f>
        <v>436</v>
      </c>
      <c r="U1248" s="11">
        <f t="shared" si="179"/>
        <v>0.97018348623853212</v>
      </c>
      <c r="V1248" s="18">
        <f>ProductionData[[#This Row],[Profit]]/ProductionData[[#This Row],[Good Units]]</f>
        <v>12.807017543859649</v>
      </c>
      <c r="W1248" s="11">
        <f>ProductionData[[#This Row],[Good Units]]/ProductionData[[#This Row],[Operating Minutes]]</f>
        <v>0.91513761467889909</v>
      </c>
    </row>
    <row r="1249" spans="1:23">
      <c r="A1249" s="7">
        <v>46342</v>
      </c>
      <c r="B1249" s="8" t="s">
        <v>32</v>
      </c>
      <c r="C1249" s="8" t="s">
        <v>27</v>
      </c>
      <c r="D1249" s="8" t="s">
        <v>25</v>
      </c>
      <c r="E1249" s="8" t="s">
        <v>22</v>
      </c>
      <c r="F1249" s="9">
        <v>450</v>
      </c>
      <c r="G1249" s="9">
        <v>384</v>
      </c>
      <c r="H1249" s="9">
        <v>26</v>
      </c>
      <c r="I1249" s="9">
        <f t="shared" si="171"/>
        <v>358</v>
      </c>
      <c r="J1249" s="9">
        <v>73</v>
      </c>
      <c r="K1249" s="10">
        <f t="shared" si="172"/>
        <v>0.15208333333333332</v>
      </c>
      <c r="L1249" s="17">
        <v>100</v>
      </c>
      <c r="M1249" s="17">
        <v>30800</v>
      </c>
      <c r="N1249" s="17">
        <f t="shared" si="173"/>
        <v>35800</v>
      </c>
      <c r="O1249" s="17">
        <f t="shared" si="174"/>
        <v>5000</v>
      </c>
      <c r="P1249" s="10">
        <f t="shared" si="175"/>
        <v>0.85333333333333339</v>
      </c>
      <c r="Q1249" s="10">
        <f t="shared" si="176"/>
        <v>6.7708333333333329E-2</v>
      </c>
      <c r="R1249" s="10">
        <f t="shared" si="177"/>
        <v>0.13966480446927373</v>
      </c>
      <c r="S1249" s="18">
        <f t="shared" si="178"/>
        <v>86.033519553072622</v>
      </c>
      <c r="T1249" s="8">
        <f>480-ProductionData[[#This Row],[Downtime Minutes]]</f>
        <v>407</v>
      </c>
      <c r="U1249" s="11">
        <f t="shared" si="179"/>
        <v>0.94348894348894352</v>
      </c>
      <c r="V1249" s="18">
        <f>ProductionData[[#This Row],[Profit]]/ProductionData[[#This Row],[Good Units]]</f>
        <v>13.966480446927374</v>
      </c>
      <c r="W1249" s="11">
        <f>ProductionData[[#This Row],[Good Units]]/ProductionData[[#This Row],[Operating Minutes]]</f>
        <v>0.87960687960687955</v>
      </c>
    </row>
    <row r="1250" spans="1:23">
      <c r="A1250" s="7">
        <v>46342</v>
      </c>
      <c r="B1250" s="8" t="s">
        <v>32</v>
      </c>
      <c r="C1250" s="8" t="s">
        <v>28</v>
      </c>
      <c r="D1250" s="8" t="s">
        <v>21</v>
      </c>
      <c r="E1250" s="8" t="s">
        <v>26</v>
      </c>
      <c r="F1250" s="9">
        <v>500</v>
      </c>
      <c r="G1250" s="9">
        <v>484</v>
      </c>
      <c r="H1250" s="9">
        <v>14</v>
      </c>
      <c r="I1250" s="9">
        <f t="shared" si="171"/>
        <v>470</v>
      </c>
      <c r="J1250" s="9">
        <v>10</v>
      </c>
      <c r="K1250" s="10">
        <f t="shared" si="172"/>
        <v>2.0833333333333332E-2</v>
      </c>
      <c r="L1250" s="17">
        <v>90</v>
      </c>
      <c r="M1250" s="17">
        <v>30800</v>
      </c>
      <c r="N1250" s="17">
        <f t="shared" si="173"/>
        <v>42300</v>
      </c>
      <c r="O1250" s="17">
        <f t="shared" si="174"/>
        <v>11500</v>
      </c>
      <c r="P1250" s="10">
        <f t="shared" si="175"/>
        <v>0.96799999999999997</v>
      </c>
      <c r="Q1250" s="10">
        <f t="shared" si="176"/>
        <v>2.8925619834710745E-2</v>
      </c>
      <c r="R1250" s="10">
        <f t="shared" si="177"/>
        <v>0.27186761229314421</v>
      </c>
      <c r="S1250" s="18">
        <f t="shared" si="178"/>
        <v>65.531914893617028</v>
      </c>
      <c r="T1250" s="8">
        <f>480-ProductionData[[#This Row],[Downtime Minutes]]</f>
        <v>470</v>
      </c>
      <c r="U1250" s="11">
        <f t="shared" si="179"/>
        <v>1.0297872340425531</v>
      </c>
      <c r="V1250" s="18">
        <f>ProductionData[[#This Row],[Profit]]/ProductionData[[#This Row],[Good Units]]</f>
        <v>24.468085106382979</v>
      </c>
      <c r="W1250" s="11">
        <f>ProductionData[[#This Row],[Good Units]]/ProductionData[[#This Row],[Operating Minutes]]</f>
        <v>1</v>
      </c>
    </row>
    <row r="1251" spans="1:23">
      <c r="A1251" s="7">
        <v>46342</v>
      </c>
      <c r="B1251" s="8" t="s">
        <v>32</v>
      </c>
      <c r="C1251" s="8" t="s">
        <v>28</v>
      </c>
      <c r="D1251" s="8" t="s">
        <v>23</v>
      </c>
      <c r="E1251" s="8" t="s">
        <v>22</v>
      </c>
      <c r="F1251" s="9">
        <v>460</v>
      </c>
      <c r="G1251" s="9">
        <v>426</v>
      </c>
      <c r="H1251" s="9">
        <v>18</v>
      </c>
      <c r="I1251" s="9">
        <f t="shared" si="171"/>
        <v>408</v>
      </c>
      <c r="J1251" s="9">
        <v>24</v>
      </c>
      <c r="K1251" s="10">
        <f t="shared" si="172"/>
        <v>0.05</v>
      </c>
      <c r="L1251" s="17">
        <v>100</v>
      </c>
      <c r="M1251" s="17">
        <v>30800</v>
      </c>
      <c r="N1251" s="17">
        <f t="shared" si="173"/>
        <v>40800</v>
      </c>
      <c r="O1251" s="17">
        <f t="shared" si="174"/>
        <v>10000</v>
      </c>
      <c r="P1251" s="10">
        <f t="shared" si="175"/>
        <v>0.92608695652173911</v>
      </c>
      <c r="Q1251" s="10">
        <f t="shared" si="176"/>
        <v>4.2253521126760563E-2</v>
      </c>
      <c r="R1251" s="10">
        <f t="shared" si="177"/>
        <v>0.24509803921568626</v>
      </c>
      <c r="S1251" s="18">
        <f t="shared" si="178"/>
        <v>75.490196078431367</v>
      </c>
      <c r="T1251" s="8">
        <f>480-ProductionData[[#This Row],[Downtime Minutes]]</f>
        <v>456</v>
      </c>
      <c r="U1251" s="11">
        <f t="shared" si="179"/>
        <v>0.93421052631578949</v>
      </c>
      <c r="V1251" s="18">
        <f>ProductionData[[#This Row],[Profit]]/ProductionData[[#This Row],[Good Units]]</f>
        <v>24.509803921568629</v>
      </c>
      <c r="W1251" s="11">
        <f>ProductionData[[#This Row],[Good Units]]/ProductionData[[#This Row],[Operating Minutes]]</f>
        <v>0.89473684210526316</v>
      </c>
    </row>
    <row r="1252" spans="1:23">
      <c r="A1252" s="7">
        <v>46342</v>
      </c>
      <c r="B1252" s="8" t="s">
        <v>32</v>
      </c>
      <c r="C1252" s="8" t="s">
        <v>28</v>
      </c>
      <c r="D1252" s="8" t="s">
        <v>25</v>
      </c>
      <c r="E1252" s="8" t="s">
        <v>24</v>
      </c>
      <c r="F1252" s="9">
        <v>400</v>
      </c>
      <c r="G1252" s="9">
        <v>377</v>
      </c>
      <c r="H1252" s="9">
        <v>15</v>
      </c>
      <c r="I1252" s="9">
        <f t="shared" si="171"/>
        <v>362</v>
      </c>
      <c r="J1252" s="9">
        <v>45</v>
      </c>
      <c r="K1252" s="10">
        <f t="shared" si="172"/>
        <v>9.375E-2</v>
      </c>
      <c r="L1252" s="17">
        <v>120</v>
      </c>
      <c r="M1252" s="17">
        <v>30800</v>
      </c>
      <c r="N1252" s="17">
        <f t="shared" si="173"/>
        <v>43440</v>
      </c>
      <c r="O1252" s="17">
        <f t="shared" si="174"/>
        <v>12640</v>
      </c>
      <c r="P1252" s="10">
        <f t="shared" si="175"/>
        <v>0.9425</v>
      </c>
      <c r="Q1252" s="10">
        <f t="shared" si="176"/>
        <v>3.9787798408488062E-2</v>
      </c>
      <c r="R1252" s="10">
        <f t="shared" si="177"/>
        <v>0.29097605893186002</v>
      </c>
      <c r="S1252" s="18">
        <f t="shared" si="178"/>
        <v>85.082872928176798</v>
      </c>
      <c r="T1252" s="8">
        <f>480-ProductionData[[#This Row],[Downtime Minutes]]</f>
        <v>435</v>
      </c>
      <c r="U1252" s="11">
        <f t="shared" si="179"/>
        <v>0.8666666666666667</v>
      </c>
      <c r="V1252" s="18">
        <f>ProductionData[[#This Row],[Profit]]/ProductionData[[#This Row],[Good Units]]</f>
        <v>34.917127071823202</v>
      </c>
      <c r="W1252" s="11">
        <f>ProductionData[[#This Row],[Good Units]]/ProductionData[[#This Row],[Operating Minutes]]</f>
        <v>0.83218390804597697</v>
      </c>
    </row>
    <row r="1253" spans="1:23">
      <c r="A1253" s="7">
        <v>46343</v>
      </c>
      <c r="B1253" s="8" t="s">
        <v>32</v>
      </c>
      <c r="C1253" s="8" t="s">
        <v>20</v>
      </c>
      <c r="D1253" s="8" t="s">
        <v>21</v>
      </c>
      <c r="E1253" s="8" t="s">
        <v>24</v>
      </c>
      <c r="F1253" s="9">
        <v>410</v>
      </c>
      <c r="G1253" s="9">
        <v>378</v>
      </c>
      <c r="H1253" s="9">
        <v>9</v>
      </c>
      <c r="I1253" s="9">
        <f t="shared" si="171"/>
        <v>369</v>
      </c>
      <c r="J1253" s="9">
        <v>20</v>
      </c>
      <c r="K1253" s="10">
        <f t="shared" si="172"/>
        <v>4.1666666666666664E-2</v>
      </c>
      <c r="L1253" s="17">
        <v>120</v>
      </c>
      <c r="M1253" s="17">
        <v>30800</v>
      </c>
      <c r="N1253" s="17">
        <f t="shared" si="173"/>
        <v>44280</v>
      </c>
      <c r="O1253" s="17">
        <f t="shared" si="174"/>
        <v>13480</v>
      </c>
      <c r="P1253" s="10">
        <f t="shared" si="175"/>
        <v>0.92195121951219516</v>
      </c>
      <c r="Q1253" s="10">
        <f t="shared" si="176"/>
        <v>2.3809523809523808E-2</v>
      </c>
      <c r="R1253" s="10">
        <f t="shared" si="177"/>
        <v>0.30442637759710928</v>
      </c>
      <c r="S1253" s="18">
        <f t="shared" si="178"/>
        <v>83.468834688346888</v>
      </c>
      <c r="T1253" s="8">
        <f>480-ProductionData[[#This Row],[Downtime Minutes]]</f>
        <v>460</v>
      </c>
      <c r="U1253" s="11">
        <f t="shared" si="179"/>
        <v>0.82173913043478264</v>
      </c>
      <c r="V1253" s="18">
        <f>ProductionData[[#This Row],[Profit]]/ProductionData[[#This Row],[Good Units]]</f>
        <v>36.531165311653119</v>
      </c>
      <c r="W1253" s="11">
        <f>ProductionData[[#This Row],[Good Units]]/ProductionData[[#This Row],[Operating Minutes]]</f>
        <v>0.80217391304347829</v>
      </c>
    </row>
    <row r="1254" spans="1:23">
      <c r="A1254" s="7">
        <v>46343</v>
      </c>
      <c r="B1254" s="8" t="s">
        <v>32</v>
      </c>
      <c r="C1254" s="8" t="s">
        <v>20</v>
      </c>
      <c r="D1254" s="8" t="s">
        <v>23</v>
      </c>
      <c r="E1254" s="8" t="s">
        <v>26</v>
      </c>
      <c r="F1254" s="9">
        <v>510</v>
      </c>
      <c r="G1254" s="9">
        <v>467</v>
      </c>
      <c r="H1254" s="9">
        <v>16</v>
      </c>
      <c r="I1254" s="9">
        <f t="shared" si="171"/>
        <v>451</v>
      </c>
      <c r="J1254" s="9">
        <v>21</v>
      </c>
      <c r="K1254" s="10">
        <f t="shared" si="172"/>
        <v>4.3749999999999997E-2</v>
      </c>
      <c r="L1254" s="17">
        <v>90</v>
      </c>
      <c r="M1254" s="17">
        <v>30800</v>
      </c>
      <c r="N1254" s="17">
        <f t="shared" si="173"/>
        <v>40590</v>
      </c>
      <c r="O1254" s="17">
        <f t="shared" si="174"/>
        <v>9790</v>
      </c>
      <c r="P1254" s="10">
        <f t="shared" si="175"/>
        <v>0.91568627450980389</v>
      </c>
      <c r="Q1254" s="10">
        <f t="shared" si="176"/>
        <v>3.4261241970021415E-2</v>
      </c>
      <c r="R1254" s="10">
        <f t="shared" si="177"/>
        <v>0.24119241192411925</v>
      </c>
      <c r="S1254" s="18">
        <f t="shared" si="178"/>
        <v>68.292682926829272</v>
      </c>
      <c r="T1254" s="8">
        <f>480-ProductionData[[#This Row],[Downtime Minutes]]</f>
        <v>459</v>
      </c>
      <c r="U1254" s="11">
        <f t="shared" si="179"/>
        <v>1.0174291938997821</v>
      </c>
      <c r="V1254" s="18">
        <f>ProductionData[[#This Row],[Profit]]/ProductionData[[#This Row],[Good Units]]</f>
        <v>21.707317073170731</v>
      </c>
      <c r="W1254" s="11">
        <f>ProductionData[[#This Row],[Good Units]]/ProductionData[[#This Row],[Operating Minutes]]</f>
        <v>0.98257080610021785</v>
      </c>
    </row>
    <row r="1255" spans="1:23">
      <c r="A1255" s="7">
        <v>46343</v>
      </c>
      <c r="B1255" s="8" t="s">
        <v>32</v>
      </c>
      <c r="C1255" s="8" t="s">
        <v>20</v>
      </c>
      <c r="D1255" s="8" t="s">
        <v>25</v>
      </c>
      <c r="E1255" s="8" t="s">
        <v>22</v>
      </c>
      <c r="F1255" s="9">
        <v>470</v>
      </c>
      <c r="G1255" s="9">
        <v>413</v>
      </c>
      <c r="H1255" s="9">
        <v>23</v>
      </c>
      <c r="I1255" s="9">
        <f t="shared" si="171"/>
        <v>390</v>
      </c>
      <c r="J1255" s="9">
        <v>51</v>
      </c>
      <c r="K1255" s="10">
        <f t="shared" si="172"/>
        <v>0.10625</v>
      </c>
      <c r="L1255" s="17">
        <v>100</v>
      </c>
      <c r="M1255" s="17">
        <v>30800</v>
      </c>
      <c r="N1255" s="17">
        <f t="shared" si="173"/>
        <v>39000</v>
      </c>
      <c r="O1255" s="17">
        <f t="shared" si="174"/>
        <v>8200</v>
      </c>
      <c r="P1255" s="10">
        <f t="shared" si="175"/>
        <v>0.87872340425531914</v>
      </c>
      <c r="Q1255" s="10">
        <f t="shared" si="176"/>
        <v>5.569007263922518E-2</v>
      </c>
      <c r="R1255" s="10">
        <f t="shared" si="177"/>
        <v>0.21025641025641026</v>
      </c>
      <c r="S1255" s="18">
        <f t="shared" si="178"/>
        <v>78.974358974358978</v>
      </c>
      <c r="T1255" s="8">
        <f>480-ProductionData[[#This Row],[Downtime Minutes]]</f>
        <v>429</v>
      </c>
      <c r="U1255" s="11">
        <f t="shared" si="179"/>
        <v>0.96270396270396275</v>
      </c>
      <c r="V1255" s="18">
        <f>ProductionData[[#This Row],[Profit]]/ProductionData[[#This Row],[Good Units]]</f>
        <v>21.025641025641026</v>
      </c>
      <c r="W1255" s="11">
        <f>ProductionData[[#This Row],[Good Units]]/ProductionData[[#This Row],[Operating Minutes]]</f>
        <v>0.90909090909090906</v>
      </c>
    </row>
    <row r="1256" spans="1:23">
      <c r="A1256" s="7">
        <v>46343</v>
      </c>
      <c r="B1256" s="8" t="s">
        <v>32</v>
      </c>
      <c r="C1256" s="8" t="s">
        <v>27</v>
      </c>
      <c r="D1256" s="8" t="s">
        <v>21</v>
      </c>
      <c r="E1256" s="8" t="s">
        <v>26</v>
      </c>
      <c r="F1256" s="9">
        <v>500</v>
      </c>
      <c r="G1256" s="9">
        <v>432</v>
      </c>
      <c r="H1256" s="9">
        <v>22</v>
      </c>
      <c r="I1256" s="9">
        <f t="shared" si="171"/>
        <v>410</v>
      </c>
      <c r="J1256" s="9">
        <v>35</v>
      </c>
      <c r="K1256" s="10">
        <f t="shared" si="172"/>
        <v>7.2916666666666671E-2</v>
      </c>
      <c r="L1256" s="17">
        <v>90</v>
      </c>
      <c r="M1256" s="17">
        <v>30800</v>
      </c>
      <c r="N1256" s="17">
        <f t="shared" si="173"/>
        <v>36900</v>
      </c>
      <c r="O1256" s="17">
        <f t="shared" si="174"/>
        <v>6100</v>
      </c>
      <c r="P1256" s="10">
        <f t="shared" si="175"/>
        <v>0.86399999999999999</v>
      </c>
      <c r="Q1256" s="10">
        <f t="shared" si="176"/>
        <v>5.0925925925925923E-2</v>
      </c>
      <c r="R1256" s="10">
        <f t="shared" si="177"/>
        <v>0.16531165311653118</v>
      </c>
      <c r="S1256" s="18">
        <f t="shared" si="178"/>
        <v>75.121951219512198</v>
      </c>
      <c r="T1256" s="8">
        <f>480-ProductionData[[#This Row],[Downtime Minutes]]</f>
        <v>445</v>
      </c>
      <c r="U1256" s="11">
        <f t="shared" si="179"/>
        <v>0.97078651685393258</v>
      </c>
      <c r="V1256" s="18">
        <f>ProductionData[[#This Row],[Profit]]/ProductionData[[#This Row],[Good Units]]</f>
        <v>14.878048780487806</v>
      </c>
      <c r="W1256" s="11">
        <f>ProductionData[[#This Row],[Good Units]]/ProductionData[[#This Row],[Operating Minutes]]</f>
        <v>0.9213483146067416</v>
      </c>
    </row>
    <row r="1257" spans="1:23">
      <c r="A1257" s="7">
        <v>46343</v>
      </c>
      <c r="B1257" s="8" t="s">
        <v>32</v>
      </c>
      <c r="C1257" s="8" t="s">
        <v>27</v>
      </c>
      <c r="D1257" s="8" t="s">
        <v>23</v>
      </c>
      <c r="E1257" s="8" t="s">
        <v>22</v>
      </c>
      <c r="F1257" s="9">
        <v>460</v>
      </c>
      <c r="G1257" s="9">
        <v>394</v>
      </c>
      <c r="H1257" s="9">
        <v>27</v>
      </c>
      <c r="I1257" s="9">
        <f t="shared" si="171"/>
        <v>367</v>
      </c>
      <c r="J1257" s="9">
        <v>62</v>
      </c>
      <c r="K1257" s="10">
        <f t="shared" si="172"/>
        <v>0.12916666666666668</v>
      </c>
      <c r="L1257" s="17">
        <v>100</v>
      </c>
      <c r="M1257" s="17">
        <v>30800</v>
      </c>
      <c r="N1257" s="17">
        <f t="shared" si="173"/>
        <v>36700</v>
      </c>
      <c r="O1257" s="17">
        <f t="shared" si="174"/>
        <v>5900</v>
      </c>
      <c r="P1257" s="10">
        <f t="shared" si="175"/>
        <v>0.85652173913043483</v>
      </c>
      <c r="Q1257" s="10">
        <f t="shared" si="176"/>
        <v>6.8527918781725886E-2</v>
      </c>
      <c r="R1257" s="10">
        <f t="shared" si="177"/>
        <v>0.16076294277929154</v>
      </c>
      <c r="S1257" s="18">
        <f t="shared" si="178"/>
        <v>83.923705722070849</v>
      </c>
      <c r="T1257" s="8">
        <f>480-ProductionData[[#This Row],[Downtime Minutes]]</f>
        <v>418</v>
      </c>
      <c r="U1257" s="11">
        <f t="shared" si="179"/>
        <v>0.9425837320574163</v>
      </c>
      <c r="V1257" s="18">
        <f>ProductionData[[#This Row],[Profit]]/ProductionData[[#This Row],[Good Units]]</f>
        <v>16.076294277929154</v>
      </c>
      <c r="W1257" s="11">
        <f>ProductionData[[#This Row],[Good Units]]/ProductionData[[#This Row],[Operating Minutes]]</f>
        <v>0.87799043062200954</v>
      </c>
    </row>
    <row r="1258" spans="1:23">
      <c r="A1258" s="7">
        <v>46343</v>
      </c>
      <c r="B1258" s="8" t="s">
        <v>32</v>
      </c>
      <c r="C1258" s="8" t="s">
        <v>27</v>
      </c>
      <c r="D1258" s="8" t="s">
        <v>25</v>
      </c>
      <c r="E1258" s="8" t="s">
        <v>24</v>
      </c>
      <c r="F1258" s="9">
        <v>390</v>
      </c>
      <c r="G1258" s="9">
        <v>319</v>
      </c>
      <c r="H1258" s="9">
        <v>19</v>
      </c>
      <c r="I1258" s="9">
        <f t="shared" si="171"/>
        <v>300</v>
      </c>
      <c r="J1258" s="9">
        <v>57</v>
      </c>
      <c r="K1258" s="10">
        <f t="shared" si="172"/>
        <v>0.11874999999999999</v>
      </c>
      <c r="L1258" s="17">
        <v>120</v>
      </c>
      <c r="M1258" s="17">
        <v>30800</v>
      </c>
      <c r="N1258" s="17">
        <f t="shared" si="173"/>
        <v>36000</v>
      </c>
      <c r="O1258" s="17">
        <f t="shared" si="174"/>
        <v>5200</v>
      </c>
      <c r="P1258" s="10">
        <f t="shared" si="175"/>
        <v>0.81794871794871793</v>
      </c>
      <c r="Q1258" s="10">
        <f t="shared" si="176"/>
        <v>5.9561128526645767E-2</v>
      </c>
      <c r="R1258" s="10">
        <f t="shared" si="177"/>
        <v>0.14444444444444443</v>
      </c>
      <c r="S1258" s="18">
        <f t="shared" si="178"/>
        <v>102.66666666666667</v>
      </c>
      <c r="T1258" s="8">
        <f>480-ProductionData[[#This Row],[Downtime Minutes]]</f>
        <v>423</v>
      </c>
      <c r="U1258" s="11">
        <f t="shared" si="179"/>
        <v>0.75413711583924348</v>
      </c>
      <c r="V1258" s="18">
        <f>ProductionData[[#This Row],[Profit]]/ProductionData[[#This Row],[Good Units]]</f>
        <v>17.333333333333332</v>
      </c>
      <c r="W1258" s="11">
        <f>ProductionData[[#This Row],[Good Units]]/ProductionData[[#This Row],[Operating Minutes]]</f>
        <v>0.70921985815602839</v>
      </c>
    </row>
    <row r="1259" spans="1:23">
      <c r="A1259" s="7">
        <v>46343</v>
      </c>
      <c r="B1259" s="8" t="s">
        <v>32</v>
      </c>
      <c r="C1259" s="8" t="s">
        <v>28</v>
      </c>
      <c r="D1259" s="8" t="s">
        <v>21</v>
      </c>
      <c r="E1259" s="8" t="s">
        <v>22</v>
      </c>
      <c r="F1259" s="9">
        <v>430</v>
      </c>
      <c r="G1259" s="9">
        <v>410</v>
      </c>
      <c r="H1259" s="9">
        <v>17</v>
      </c>
      <c r="I1259" s="9">
        <f t="shared" si="171"/>
        <v>393</v>
      </c>
      <c r="J1259" s="9">
        <v>15</v>
      </c>
      <c r="K1259" s="10">
        <f t="shared" si="172"/>
        <v>3.125E-2</v>
      </c>
      <c r="L1259" s="17">
        <v>100</v>
      </c>
      <c r="M1259" s="17">
        <v>30800</v>
      </c>
      <c r="N1259" s="17">
        <f t="shared" si="173"/>
        <v>39300</v>
      </c>
      <c r="O1259" s="17">
        <f t="shared" si="174"/>
        <v>8500</v>
      </c>
      <c r="P1259" s="10">
        <f t="shared" si="175"/>
        <v>0.95348837209302328</v>
      </c>
      <c r="Q1259" s="10">
        <f t="shared" si="176"/>
        <v>4.1463414634146344E-2</v>
      </c>
      <c r="R1259" s="10">
        <f t="shared" si="177"/>
        <v>0.21628498727735368</v>
      </c>
      <c r="S1259" s="18">
        <f t="shared" si="178"/>
        <v>78.371501272264638</v>
      </c>
      <c r="T1259" s="8">
        <f>480-ProductionData[[#This Row],[Downtime Minutes]]</f>
        <v>465</v>
      </c>
      <c r="U1259" s="11">
        <f t="shared" si="179"/>
        <v>0.88172043010752688</v>
      </c>
      <c r="V1259" s="18">
        <f>ProductionData[[#This Row],[Profit]]/ProductionData[[#This Row],[Good Units]]</f>
        <v>21.628498727735369</v>
      </c>
      <c r="W1259" s="11">
        <f>ProductionData[[#This Row],[Good Units]]/ProductionData[[#This Row],[Operating Minutes]]</f>
        <v>0.84516129032258069</v>
      </c>
    </row>
    <row r="1260" spans="1:23">
      <c r="A1260" s="7">
        <v>46343</v>
      </c>
      <c r="B1260" s="8" t="s">
        <v>32</v>
      </c>
      <c r="C1260" s="8" t="s">
        <v>28</v>
      </c>
      <c r="D1260" s="8" t="s">
        <v>23</v>
      </c>
      <c r="E1260" s="8" t="s">
        <v>24</v>
      </c>
      <c r="F1260" s="9">
        <v>410</v>
      </c>
      <c r="G1260" s="9">
        <v>381</v>
      </c>
      <c r="H1260" s="9">
        <v>12</v>
      </c>
      <c r="I1260" s="9">
        <f t="shared" si="171"/>
        <v>369</v>
      </c>
      <c r="J1260" s="9">
        <v>29</v>
      </c>
      <c r="K1260" s="10">
        <f t="shared" si="172"/>
        <v>6.0416666666666667E-2</v>
      </c>
      <c r="L1260" s="17">
        <v>120</v>
      </c>
      <c r="M1260" s="17">
        <v>30800</v>
      </c>
      <c r="N1260" s="17">
        <f t="shared" si="173"/>
        <v>44280</v>
      </c>
      <c r="O1260" s="17">
        <f t="shared" si="174"/>
        <v>13480</v>
      </c>
      <c r="P1260" s="10">
        <f t="shared" si="175"/>
        <v>0.92926829268292688</v>
      </c>
      <c r="Q1260" s="10">
        <f t="shared" si="176"/>
        <v>3.1496062992125984E-2</v>
      </c>
      <c r="R1260" s="10">
        <f t="shared" si="177"/>
        <v>0.30442637759710928</v>
      </c>
      <c r="S1260" s="18">
        <f t="shared" si="178"/>
        <v>83.468834688346888</v>
      </c>
      <c r="T1260" s="8">
        <f>480-ProductionData[[#This Row],[Downtime Minutes]]</f>
        <v>451</v>
      </c>
      <c r="U1260" s="11">
        <f t="shared" si="179"/>
        <v>0.84478935698447899</v>
      </c>
      <c r="V1260" s="18">
        <f>ProductionData[[#This Row],[Profit]]/ProductionData[[#This Row],[Good Units]]</f>
        <v>36.531165311653119</v>
      </c>
      <c r="W1260" s="11">
        <f>ProductionData[[#This Row],[Good Units]]/ProductionData[[#This Row],[Operating Minutes]]</f>
        <v>0.81818181818181823</v>
      </c>
    </row>
    <row r="1261" spans="1:23">
      <c r="A1261" s="7">
        <v>46343</v>
      </c>
      <c r="B1261" s="8" t="s">
        <v>32</v>
      </c>
      <c r="C1261" s="8" t="s">
        <v>28</v>
      </c>
      <c r="D1261" s="8" t="s">
        <v>25</v>
      </c>
      <c r="E1261" s="8" t="s">
        <v>26</v>
      </c>
      <c r="F1261" s="9">
        <v>480</v>
      </c>
      <c r="G1261" s="9">
        <v>444</v>
      </c>
      <c r="H1261" s="9">
        <v>19</v>
      </c>
      <c r="I1261" s="9">
        <f t="shared" si="171"/>
        <v>425</v>
      </c>
      <c r="J1261" s="9">
        <v>33</v>
      </c>
      <c r="K1261" s="10">
        <f t="shared" si="172"/>
        <v>6.8750000000000006E-2</v>
      </c>
      <c r="L1261" s="17">
        <v>90</v>
      </c>
      <c r="M1261" s="17">
        <v>30800</v>
      </c>
      <c r="N1261" s="17">
        <f t="shared" si="173"/>
        <v>38250</v>
      </c>
      <c r="O1261" s="17">
        <f t="shared" si="174"/>
        <v>7450</v>
      </c>
      <c r="P1261" s="10">
        <f t="shared" si="175"/>
        <v>0.92500000000000004</v>
      </c>
      <c r="Q1261" s="10">
        <f t="shared" si="176"/>
        <v>4.2792792792792793E-2</v>
      </c>
      <c r="R1261" s="10">
        <f t="shared" si="177"/>
        <v>0.19477124183006536</v>
      </c>
      <c r="S1261" s="18">
        <f t="shared" si="178"/>
        <v>72.470588235294116</v>
      </c>
      <c r="T1261" s="8">
        <f>480-ProductionData[[#This Row],[Downtime Minutes]]</f>
        <v>447</v>
      </c>
      <c r="U1261" s="11">
        <f t="shared" si="179"/>
        <v>0.99328859060402686</v>
      </c>
      <c r="V1261" s="18">
        <f>ProductionData[[#This Row],[Profit]]/ProductionData[[#This Row],[Good Units]]</f>
        <v>17.529411764705884</v>
      </c>
      <c r="W1261" s="11">
        <f>ProductionData[[#This Row],[Good Units]]/ProductionData[[#This Row],[Operating Minutes]]</f>
        <v>0.95078299776286357</v>
      </c>
    </row>
    <row r="1262" spans="1:23">
      <c r="A1262" s="7">
        <v>46344</v>
      </c>
      <c r="B1262" s="8" t="s">
        <v>32</v>
      </c>
      <c r="C1262" s="8" t="s">
        <v>20</v>
      </c>
      <c r="D1262" s="8" t="s">
        <v>21</v>
      </c>
      <c r="E1262" s="8" t="s">
        <v>26</v>
      </c>
      <c r="F1262" s="9">
        <v>500</v>
      </c>
      <c r="G1262" s="9">
        <v>473</v>
      </c>
      <c r="H1262" s="9">
        <v>17</v>
      </c>
      <c r="I1262" s="9">
        <f t="shared" si="171"/>
        <v>456</v>
      </c>
      <c r="J1262" s="9">
        <v>15</v>
      </c>
      <c r="K1262" s="10">
        <f t="shared" si="172"/>
        <v>3.125E-2</v>
      </c>
      <c r="L1262" s="17">
        <v>90</v>
      </c>
      <c r="M1262" s="17">
        <v>30800</v>
      </c>
      <c r="N1262" s="17">
        <f t="shared" si="173"/>
        <v>41040</v>
      </c>
      <c r="O1262" s="17">
        <f t="shared" si="174"/>
        <v>10240</v>
      </c>
      <c r="P1262" s="10">
        <f t="shared" si="175"/>
        <v>0.94599999999999995</v>
      </c>
      <c r="Q1262" s="10">
        <f t="shared" si="176"/>
        <v>3.5940803382663845E-2</v>
      </c>
      <c r="R1262" s="10">
        <f t="shared" si="177"/>
        <v>0.24951267056530213</v>
      </c>
      <c r="S1262" s="18">
        <f t="shared" si="178"/>
        <v>67.543859649122808</v>
      </c>
      <c r="T1262" s="8">
        <f>480-ProductionData[[#This Row],[Downtime Minutes]]</f>
        <v>465</v>
      </c>
      <c r="U1262" s="11">
        <f t="shared" si="179"/>
        <v>1.0172043010752687</v>
      </c>
      <c r="V1262" s="18">
        <f>ProductionData[[#This Row],[Profit]]/ProductionData[[#This Row],[Good Units]]</f>
        <v>22.456140350877192</v>
      </c>
      <c r="W1262" s="11">
        <f>ProductionData[[#This Row],[Good Units]]/ProductionData[[#This Row],[Operating Minutes]]</f>
        <v>0.98064516129032253</v>
      </c>
    </row>
    <row r="1263" spans="1:23">
      <c r="A1263" s="7">
        <v>46344</v>
      </c>
      <c r="B1263" s="8" t="s">
        <v>32</v>
      </c>
      <c r="C1263" s="8" t="s">
        <v>20</v>
      </c>
      <c r="D1263" s="8" t="s">
        <v>23</v>
      </c>
      <c r="E1263" s="8" t="s">
        <v>22</v>
      </c>
      <c r="F1263" s="9">
        <v>440</v>
      </c>
      <c r="G1263" s="9">
        <v>403</v>
      </c>
      <c r="H1263" s="9">
        <v>21</v>
      </c>
      <c r="I1263" s="9">
        <f t="shared" si="171"/>
        <v>382</v>
      </c>
      <c r="J1263" s="9">
        <v>54</v>
      </c>
      <c r="K1263" s="10">
        <f t="shared" si="172"/>
        <v>0.1125</v>
      </c>
      <c r="L1263" s="17">
        <v>100</v>
      </c>
      <c r="M1263" s="17">
        <v>30800</v>
      </c>
      <c r="N1263" s="17">
        <f t="shared" si="173"/>
        <v>38200</v>
      </c>
      <c r="O1263" s="17">
        <f t="shared" si="174"/>
        <v>7400</v>
      </c>
      <c r="P1263" s="10">
        <f t="shared" si="175"/>
        <v>0.91590909090909089</v>
      </c>
      <c r="Q1263" s="10">
        <f t="shared" si="176"/>
        <v>5.2109181141439205E-2</v>
      </c>
      <c r="R1263" s="10">
        <f t="shared" si="177"/>
        <v>0.193717277486911</v>
      </c>
      <c r="S1263" s="18">
        <f t="shared" si="178"/>
        <v>80.6282722513089</v>
      </c>
      <c r="T1263" s="8">
        <f>480-ProductionData[[#This Row],[Downtime Minutes]]</f>
        <v>426</v>
      </c>
      <c r="U1263" s="11">
        <f t="shared" si="179"/>
        <v>0.9460093896713615</v>
      </c>
      <c r="V1263" s="18">
        <f>ProductionData[[#This Row],[Profit]]/ProductionData[[#This Row],[Good Units]]</f>
        <v>19.3717277486911</v>
      </c>
      <c r="W1263" s="11">
        <f>ProductionData[[#This Row],[Good Units]]/ProductionData[[#This Row],[Operating Minutes]]</f>
        <v>0.89671361502347413</v>
      </c>
    </row>
    <row r="1264" spans="1:23">
      <c r="A1264" s="7">
        <v>46344</v>
      </c>
      <c r="B1264" s="8" t="s">
        <v>32</v>
      </c>
      <c r="C1264" s="8" t="s">
        <v>20</v>
      </c>
      <c r="D1264" s="8" t="s">
        <v>25</v>
      </c>
      <c r="E1264" s="8" t="s">
        <v>24</v>
      </c>
      <c r="F1264" s="9">
        <v>390</v>
      </c>
      <c r="G1264" s="9">
        <v>349</v>
      </c>
      <c r="H1264" s="9">
        <v>17</v>
      </c>
      <c r="I1264" s="9">
        <f t="shared" si="171"/>
        <v>332</v>
      </c>
      <c r="J1264" s="9">
        <v>41</v>
      </c>
      <c r="K1264" s="10">
        <f t="shared" si="172"/>
        <v>8.5416666666666669E-2</v>
      </c>
      <c r="L1264" s="17">
        <v>120</v>
      </c>
      <c r="M1264" s="17">
        <v>30800</v>
      </c>
      <c r="N1264" s="17">
        <f t="shared" si="173"/>
        <v>39840</v>
      </c>
      <c r="O1264" s="17">
        <f t="shared" si="174"/>
        <v>9040</v>
      </c>
      <c r="P1264" s="10">
        <f t="shared" si="175"/>
        <v>0.89487179487179491</v>
      </c>
      <c r="Q1264" s="10">
        <f t="shared" si="176"/>
        <v>4.8710601719197708E-2</v>
      </c>
      <c r="R1264" s="10">
        <f t="shared" si="177"/>
        <v>0.22690763052208834</v>
      </c>
      <c r="S1264" s="18">
        <f t="shared" si="178"/>
        <v>92.771084337349393</v>
      </c>
      <c r="T1264" s="8">
        <f>480-ProductionData[[#This Row],[Downtime Minutes]]</f>
        <v>439</v>
      </c>
      <c r="U1264" s="11">
        <f t="shared" si="179"/>
        <v>0.79498861047835989</v>
      </c>
      <c r="V1264" s="18">
        <f>ProductionData[[#This Row],[Profit]]/ProductionData[[#This Row],[Good Units]]</f>
        <v>27.228915662650603</v>
      </c>
      <c r="W1264" s="11">
        <f>ProductionData[[#This Row],[Good Units]]/ProductionData[[#This Row],[Operating Minutes]]</f>
        <v>0.75626423690205014</v>
      </c>
    </row>
    <row r="1265" spans="1:23">
      <c r="A1265" s="7">
        <v>46344</v>
      </c>
      <c r="B1265" s="8" t="s">
        <v>32</v>
      </c>
      <c r="C1265" s="8" t="s">
        <v>27</v>
      </c>
      <c r="D1265" s="8" t="s">
        <v>21</v>
      </c>
      <c r="E1265" s="8" t="s">
        <v>22</v>
      </c>
      <c r="F1265" s="9">
        <v>440</v>
      </c>
      <c r="G1265" s="9">
        <v>377</v>
      </c>
      <c r="H1265" s="9">
        <v>26</v>
      </c>
      <c r="I1265" s="9">
        <f t="shared" si="171"/>
        <v>351</v>
      </c>
      <c r="J1265" s="9">
        <v>61</v>
      </c>
      <c r="K1265" s="10">
        <f t="shared" si="172"/>
        <v>0.12708333333333333</v>
      </c>
      <c r="L1265" s="17">
        <v>100</v>
      </c>
      <c r="M1265" s="17">
        <v>30800</v>
      </c>
      <c r="N1265" s="17">
        <f t="shared" si="173"/>
        <v>35100</v>
      </c>
      <c r="O1265" s="17">
        <f t="shared" si="174"/>
        <v>4300</v>
      </c>
      <c r="P1265" s="10">
        <f t="shared" si="175"/>
        <v>0.85681818181818181</v>
      </c>
      <c r="Q1265" s="10">
        <f t="shared" si="176"/>
        <v>6.8965517241379309E-2</v>
      </c>
      <c r="R1265" s="10">
        <f t="shared" si="177"/>
        <v>0.12250712250712251</v>
      </c>
      <c r="S1265" s="18">
        <f t="shared" si="178"/>
        <v>87.749287749287745</v>
      </c>
      <c r="T1265" s="8">
        <f>480-ProductionData[[#This Row],[Downtime Minutes]]</f>
        <v>419</v>
      </c>
      <c r="U1265" s="11">
        <f t="shared" si="179"/>
        <v>0.89976133651551315</v>
      </c>
      <c r="V1265" s="18">
        <f>ProductionData[[#This Row],[Profit]]/ProductionData[[#This Row],[Good Units]]</f>
        <v>12.250712250712251</v>
      </c>
      <c r="W1265" s="11">
        <f>ProductionData[[#This Row],[Good Units]]/ProductionData[[#This Row],[Operating Minutes]]</f>
        <v>0.83770883054892598</v>
      </c>
    </row>
    <row r="1266" spans="1:23">
      <c r="A1266" s="7">
        <v>46344</v>
      </c>
      <c r="B1266" s="8" t="s">
        <v>32</v>
      </c>
      <c r="C1266" s="8" t="s">
        <v>27</v>
      </c>
      <c r="D1266" s="8" t="s">
        <v>23</v>
      </c>
      <c r="E1266" s="8" t="s">
        <v>24</v>
      </c>
      <c r="F1266" s="9">
        <v>400</v>
      </c>
      <c r="G1266" s="9">
        <v>358</v>
      </c>
      <c r="H1266" s="9">
        <v>17</v>
      </c>
      <c r="I1266" s="9">
        <f t="shared" si="171"/>
        <v>341</v>
      </c>
      <c r="J1266" s="9">
        <v>57</v>
      </c>
      <c r="K1266" s="10">
        <f t="shared" si="172"/>
        <v>0.11874999999999999</v>
      </c>
      <c r="L1266" s="17">
        <v>120</v>
      </c>
      <c r="M1266" s="17">
        <v>30800</v>
      </c>
      <c r="N1266" s="17">
        <f t="shared" si="173"/>
        <v>40920</v>
      </c>
      <c r="O1266" s="17">
        <f t="shared" si="174"/>
        <v>10120</v>
      </c>
      <c r="P1266" s="10">
        <f t="shared" si="175"/>
        <v>0.89500000000000002</v>
      </c>
      <c r="Q1266" s="10">
        <f t="shared" si="176"/>
        <v>4.7486033519553071E-2</v>
      </c>
      <c r="R1266" s="10">
        <f t="shared" si="177"/>
        <v>0.24731182795698925</v>
      </c>
      <c r="S1266" s="18">
        <f t="shared" si="178"/>
        <v>90.322580645161295</v>
      </c>
      <c r="T1266" s="8">
        <f>480-ProductionData[[#This Row],[Downtime Minutes]]</f>
        <v>423</v>
      </c>
      <c r="U1266" s="11">
        <f t="shared" si="179"/>
        <v>0.84633569739952719</v>
      </c>
      <c r="V1266" s="18">
        <f>ProductionData[[#This Row],[Profit]]/ProductionData[[#This Row],[Good Units]]</f>
        <v>29.677419354838708</v>
      </c>
      <c r="W1266" s="11">
        <f>ProductionData[[#This Row],[Good Units]]/ProductionData[[#This Row],[Operating Minutes]]</f>
        <v>0.80614657210401897</v>
      </c>
    </row>
    <row r="1267" spans="1:23">
      <c r="A1267" s="7">
        <v>46344</v>
      </c>
      <c r="B1267" s="8" t="s">
        <v>32</v>
      </c>
      <c r="C1267" s="8" t="s">
        <v>27</v>
      </c>
      <c r="D1267" s="8" t="s">
        <v>25</v>
      </c>
      <c r="E1267" s="8" t="s">
        <v>26</v>
      </c>
      <c r="F1267" s="9">
        <v>510</v>
      </c>
      <c r="G1267" s="9">
        <v>420</v>
      </c>
      <c r="H1267" s="9">
        <v>23</v>
      </c>
      <c r="I1267" s="9">
        <f t="shared" si="171"/>
        <v>397</v>
      </c>
      <c r="J1267" s="9">
        <v>56</v>
      </c>
      <c r="K1267" s="10">
        <f t="shared" si="172"/>
        <v>0.11666666666666667</v>
      </c>
      <c r="L1267" s="17">
        <v>90</v>
      </c>
      <c r="M1267" s="17">
        <v>30800</v>
      </c>
      <c r="N1267" s="17">
        <f t="shared" si="173"/>
        <v>35730</v>
      </c>
      <c r="O1267" s="17">
        <f t="shared" si="174"/>
        <v>4930</v>
      </c>
      <c r="P1267" s="10">
        <f t="shared" si="175"/>
        <v>0.82352941176470584</v>
      </c>
      <c r="Q1267" s="10">
        <f t="shared" si="176"/>
        <v>5.4761904761904762E-2</v>
      </c>
      <c r="R1267" s="10">
        <f t="shared" si="177"/>
        <v>0.13797928911279037</v>
      </c>
      <c r="S1267" s="18">
        <f t="shared" si="178"/>
        <v>77.581863979848862</v>
      </c>
      <c r="T1267" s="8">
        <f>480-ProductionData[[#This Row],[Downtime Minutes]]</f>
        <v>424</v>
      </c>
      <c r="U1267" s="11">
        <f t="shared" si="179"/>
        <v>0.99056603773584906</v>
      </c>
      <c r="V1267" s="18">
        <f>ProductionData[[#This Row],[Profit]]/ProductionData[[#This Row],[Good Units]]</f>
        <v>12.418136020151133</v>
      </c>
      <c r="W1267" s="11">
        <f>ProductionData[[#This Row],[Good Units]]/ProductionData[[#This Row],[Operating Minutes]]</f>
        <v>0.93632075471698117</v>
      </c>
    </row>
    <row r="1268" spans="1:23">
      <c r="A1268" s="7">
        <v>46344</v>
      </c>
      <c r="B1268" s="8" t="s">
        <v>32</v>
      </c>
      <c r="C1268" s="8" t="s">
        <v>28</v>
      </c>
      <c r="D1268" s="8" t="s">
        <v>21</v>
      </c>
      <c r="E1268" s="8" t="s">
        <v>24</v>
      </c>
      <c r="F1268" s="9">
        <v>390</v>
      </c>
      <c r="G1268" s="9">
        <v>376</v>
      </c>
      <c r="H1268" s="9">
        <v>11</v>
      </c>
      <c r="I1268" s="9">
        <f t="shared" si="171"/>
        <v>365</v>
      </c>
      <c r="J1268" s="9">
        <v>30</v>
      </c>
      <c r="K1268" s="10">
        <f t="shared" si="172"/>
        <v>6.25E-2</v>
      </c>
      <c r="L1268" s="17">
        <v>120</v>
      </c>
      <c r="M1268" s="17">
        <v>30800</v>
      </c>
      <c r="N1268" s="17">
        <f t="shared" si="173"/>
        <v>43800</v>
      </c>
      <c r="O1268" s="17">
        <f t="shared" si="174"/>
        <v>13000</v>
      </c>
      <c r="P1268" s="10">
        <f t="shared" si="175"/>
        <v>0.96410256410256412</v>
      </c>
      <c r="Q1268" s="10">
        <f t="shared" si="176"/>
        <v>2.9255319148936171E-2</v>
      </c>
      <c r="R1268" s="10">
        <f t="shared" si="177"/>
        <v>0.29680365296803651</v>
      </c>
      <c r="S1268" s="18">
        <f t="shared" si="178"/>
        <v>84.38356164383562</v>
      </c>
      <c r="T1268" s="8">
        <f>480-ProductionData[[#This Row],[Downtime Minutes]]</f>
        <v>450</v>
      </c>
      <c r="U1268" s="11">
        <f t="shared" si="179"/>
        <v>0.83555555555555561</v>
      </c>
      <c r="V1268" s="18">
        <f>ProductionData[[#This Row],[Profit]]/ProductionData[[#This Row],[Good Units]]</f>
        <v>35.61643835616438</v>
      </c>
      <c r="W1268" s="11">
        <f>ProductionData[[#This Row],[Good Units]]/ProductionData[[#This Row],[Operating Minutes]]</f>
        <v>0.81111111111111112</v>
      </c>
    </row>
    <row r="1269" spans="1:23">
      <c r="A1269" s="7">
        <v>46344</v>
      </c>
      <c r="B1269" s="8" t="s">
        <v>32</v>
      </c>
      <c r="C1269" s="8" t="s">
        <v>28</v>
      </c>
      <c r="D1269" s="8" t="s">
        <v>23</v>
      </c>
      <c r="E1269" s="8" t="s">
        <v>26</v>
      </c>
      <c r="F1269" s="9">
        <v>500</v>
      </c>
      <c r="G1269" s="9">
        <v>483</v>
      </c>
      <c r="H1269" s="9">
        <v>14</v>
      </c>
      <c r="I1269" s="9">
        <f t="shared" si="171"/>
        <v>469</v>
      </c>
      <c r="J1269" s="9">
        <v>18</v>
      </c>
      <c r="K1269" s="10">
        <f t="shared" si="172"/>
        <v>3.7499999999999999E-2</v>
      </c>
      <c r="L1269" s="17">
        <v>90</v>
      </c>
      <c r="M1269" s="17">
        <v>30800</v>
      </c>
      <c r="N1269" s="17">
        <f t="shared" si="173"/>
        <v>42210</v>
      </c>
      <c r="O1269" s="17">
        <f t="shared" si="174"/>
        <v>11410</v>
      </c>
      <c r="P1269" s="10">
        <f t="shared" si="175"/>
        <v>0.96599999999999997</v>
      </c>
      <c r="Q1269" s="10">
        <f t="shared" si="176"/>
        <v>2.8985507246376812E-2</v>
      </c>
      <c r="R1269" s="10">
        <f t="shared" si="177"/>
        <v>0.27031509121061359</v>
      </c>
      <c r="S1269" s="18">
        <f t="shared" si="178"/>
        <v>65.671641791044777</v>
      </c>
      <c r="T1269" s="8">
        <f>480-ProductionData[[#This Row],[Downtime Minutes]]</f>
        <v>462</v>
      </c>
      <c r="U1269" s="11">
        <f t="shared" si="179"/>
        <v>1.0454545454545454</v>
      </c>
      <c r="V1269" s="18">
        <f>ProductionData[[#This Row],[Profit]]/ProductionData[[#This Row],[Good Units]]</f>
        <v>24.328358208955223</v>
      </c>
      <c r="W1269" s="11">
        <f>ProductionData[[#This Row],[Good Units]]/ProductionData[[#This Row],[Operating Minutes]]</f>
        <v>1.0151515151515151</v>
      </c>
    </row>
    <row r="1270" spans="1:23">
      <c r="A1270" s="7">
        <v>46344</v>
      </c>
      <c r="B1270" s="8" t="s">
        <v>32</v>
      </c>
      <c r="C1270" s="8" t="s">
        <v>28</v>
      </c>
      <c r="D1270" s="8" t="s">
        <v>25</v>
      </c>
      <c r="E1270" s="8" t="s">
        <v>22</v>
      </c>
      <c r="F1270" s="9">
        <v>430</v>
      </c>
      <c r="G1270" s="9">
        <v>380</v>
      </c>
      <c r="H1270" s="9">
        <v>22</v>
      </c>
      <c r="I1270" s="9">
        <f t="shared" si="171"/>
        <v>358</v>
      </c>
      <c r="J1270" s="9">
        <v>35</v>
      </c>
      <c r="K1270" s="10">
        <f t="shared" si="172"/>
        <v>7.2916666666666671E-2</v>
      </c>
      <c r="L1270" s="17">
        <v>100</v>
      </c>
      <c r="M1270" s="17">
        <v>30800</v>
      </c>
      <c r="N1270" s="17">
        <f t="shared" si="173"/>
        <v>35800</v>
      </c>
      <c r="O1270" s="17">
        <f t="shared" si="174"/>
        <v>5000</v>
      </c>
      <c r="P1270" s="10">
        <f t="shared" si="175"/>
        <v>0.88372093023255816</v>
      </c>
      <c r="Q1270" s="10">
        <f t="shared" si="176"/>
        <v>5.7894736842105263E-2</v>
      </c>
      <c r="R1270" s="10">
        <f t="shared" si="177"/>
        <v>0.13966480446927373</v>
      </c>
      <c r="S1270" s="18">
        <f t="shared" si="178"/>
        <v>86.033519553072622</v>
      </c>
      <c r="T1270" s="8">
        <f>480-ProductionData[[#This Row],[Downtime Minutes]]</f>
        <v>445</v>
      </c>
      <c r="U1270" s="11">
        <f t="shared" si="179"/>
        <v>0.8539325842696629</v>
      </c>
      <c r="V1270" s="18">
        <f>ProductionData[[#This Row],[Profit]]/ProductionData[[#This Row],[Good Units]]</f>
        <v>13.966480446927374</v>
      </c>
      <c r="W1270" s="11">
        <f>ProductionData[[#This Row],[Good Units]]/ProductionData[[#This Row],[Operating Minutes]]</f>
        <v>0.80449438202247192</v>
      </c>
    </row>
    <row r="1271" spans="1:23">
      <c r="A1271" s="7">
        <v>46345</v>
      </c>
      <c r="B1271" s="8" t="s">
        <v>32</v>
      </c>
      <c r="C1271" s="8" t="s">
        <v>20</v>
      </c>
      <c r="D1271" s="8" t="s">
        <v>21</v>
      </c>
      <c r="E1271" s="8" t="s">
        <v>22</v>
      </c>
      <c r="F1271" s="9">
        <v>450</v>
      </c>
      <c r="G1271" s="9">
        <v>428</v>
      </c>
      <c r="H1271" s="9">
        <v>20</v>
      </c>
      <c r="I1271" s="9">
        <f t="shared" si="171"/>
        <v>408</v>
      </c>
      <c r="J1271" s="9">
        <v>38</v>
      </c>
      <c r="K1271" s="10">
        <f t="shared" si="172"/>
        <v>7.9166666666666663E-2</v>
      </c>
      <c r="L1271" s="17">
        <v>100</v>
      </c>
      <c r="M1271" s="17">
        <v>30800</v>
      </c>
      <c r="N1271" s="17">
        <f t="shared" si="173"/>
        <v>40800</v>
      </c>
      <c r="O1271" s="17">
        <f t="shared" si="174"/>
        <v>10000</v>
      </c>
      <c r="P1271" s="10">
        <f t="shared" si="175"/>
        <v>0.95111111111111113</v>
      </c>
      <c r="Q1271" s="10">
        <f t="shared" si="176"/>
        <v>4.6728971962616821E-2</v>
      </c>
      <c r="R1271" s="10">
        <f t="shared" si="177"/>
        <v>0.24509803921568626</v>
      </c>
      <c r="S1271" s="18">
        <f t="shared" si="178"/>
        <v>75.490196078431367</v>
      </c>
      <c r="T1271" s="8">
        <f>480-ProductionData[[#This Row],[Downtime Minutes]]</f>
        <v>442</v>
      </c>
      <c r="U1271" s="11">
        <f t="shared" si="179"/>
        <v>0.96832579185520362</v>
      </c>
      <c r="V1271" s="18">
        <f>ProductionData[[#This Row],[Profit]]/ProductionData[[#This Row],[Good Units]]</f>
        <v>24.509803921568629</v>
      </c>
      <c r="W1271" s="11">
        <f>ProductionData[[#This Row],[Good Units]]/ProductionData[[#This Row],[Operating Minutes]]</f>
        <v>0.92307692307692313</v>
      </c>
    </row>
    <row r="1272" spans="1:23">
      <c r="A1272" s="7">
        <v>46345</v>
      </c>
      <c r="B1272" s="8" t="s">
        <v>32</v>
      </c>
      <c r="C1272" s="8" t="s">
        <v>20</v>
      </c>
      <c r="D1272" s="8" t="s">
        <v>23</v>
      </c>
      <c r="E1272" s="8" t="s">
        <v>24</v>
      </c>
      <c r="F1272" s="9">
        <v>410</v>
      </c>
      <c r="G1272" s="9">
        <v>387</v>
      </c>
      <c r="H1272" s="9">
        <v>16</v>
      </c>
      <c r="I1272" s="9">
        <f t="shared" si="171"/>
        <v>371</v>
      </c>
      <c r="J1272" s="9">
        <v>25</v>
      </c>
      <c r="K1272" s="10">
        <f t="shared" si="172"/>
        <v>5.2083333333333336E-2</v>
      </c>
      <c r="L1272" s="17">
        <v>120</v>
      </c>
      <c r="M1272" s="17">
        <v>30800</v>
      </c>
      <c r="N1272" s="17">
        <f t="shared" si="173"/>
        <v>44520</v>
      </c>
      <c r="O1272" s="17">
        <f t="shared" si="174"/>
        <v>13720</v>
      </c>
      <c r="P1272" s="10">
        <f t="shared" si="175"/>
        <v>0.94390243902439019</v>
      </c>
      <c r="Q1272" s="10">
        <f t="shared" si="176"/>
        <v>4.1343669250645997E-2</v>
      </c>
      <c r="R1272" s="10">
        <f t="shared" si="177"/>
        <v>0.3081761006289308</v>
      </c>
      <c r="S1272" s="18">
        <f t="shared" si="178"/>
        <v>83.018867924528308</v>
      </c>
      <c r="T1272" s="8">
        <f>480-ProductionData[[#This Row],[Downtime Minutes]]</f>
        <v>455</v>
      </c>
      <c r="U1272" s="11">
        <f t="shared" si="179"/>
        <v>0.85054945054945053</v>
      </c>
      <c r="V1272" s="18">
        <f>ProductionData[[#This Row],[Profit]]/ProductionData[[#This Row],[Good Units]]</f>
        <v>36.981132075471699</v>
      </c>
      <c r="W1272" s="11">
        <f>ProductionData[[#This Row],[Good Units]]/ProductionData[[#This Row],[Operating Minutes]]</f>
        <v>0.81538461538461537</v>
      </c>
    </row>
    <row r="1273" spans="1:23">
      <c r="A1273" s="7">
        <v>46345</v>
      </c>
      <c r="B1273" s="8" t="s">
        <v>32</v>
      </c>
      <c r="C1273" s="8" t="s">
        <v>20</v>
      </c>
      <c r="D1273" s="8" t="s">
        <v>25</v>
      </c>
      <c r="E1273" s="8" t="s">
        <v>26</v>
      </c>
      <c r="F1273" s="9">
        <v>490</v>
      </c>
      <c r="G1273" s="9">
        <v>433</v>
      </c>
      <c r="H1273" s="9">
        <v>21</v>
      </c>
      <c r="I1273" s="9">
        <f t="shared" si="171"/>
        <v>412</v>
      </c>
      <c r="J1273" s="9">
        <v>38</v>
      </c>
      <c r="K1273" s="10">
        <f t="shared" si="172"/>
        <v>7.9166666666666663E-2</v>
      </c>
      <c r="L1273" s="17">
        <v>90</v>
      </c>
      <c r="M1273" s="17">
        <v>30800</v>
      </c>
      <c r="N1273" s="17">
        <f t="shared" si="173"/>
        <v>37080</v>
      </c>
      <c r="O1273" s="17">
        <f t="shared" si="174"/>
        <v>6280</v>
      </c>
      <c r="P1273" s="10">
        <f t="shared" si="175"/>
        <v>0.88367346938775515</v>
      </c>
      <c r="Q1273" s="10">
        <f t="shared" si="176"/>
        <v>4.8498845265588918E-2</v>
      </c>
      <c r="R1273" s="10">
        <f t="shared" si="177"/>
        <v>0.16936353829557713</v>
      </c>
      <c r="S1273" s="18">
        <f t="shared" si="178"/>
        <v>74.757281553398059</v>
      </c>
      <c r="T1273" s="8">
        <f>480-ProductionData[[#This Row],[Downtime Minutes]]</f>
        <v>442</v>
      </c>
      <c r="U1273" s="11">
        <f t="shared" si="179"/>
        <v>0.97963800904977372</v>
      </c>
      <c r="V1273" s="18">
        <f>ProductionData[[#This Row],[Profit]]/ProductionData[[#This Row],[Good Units]]</f>
        <v>15.242718446601941</v>
      </c>
      <c r="W1273" s="11">
        <f>ProductionData[[#This Row],[Good Units]]/ProductionData[[#This Row],[Operating Minutes]]</f>
        <v>0.9321266968325792</v>
      </c>
    </row>
    <row r="1274" spans="1:23">
      <c r="A1274" s="7">
        <v>46345</v>
      </c>
      <c r="B1274" s="8" t="s">
        <v>32</v>
      </c>
      <c r="C1274" s="8" t="s">
        <v>27</v>
      </c>
      <c r="D1274" s="8" t="s">
        <v>21</v>
      </c>
      <c r="E1274" s="8" t="s">
        <v>24</v>
      </c>
      <c r="F1274" s="9">
        <v>390</v>
      </c>
      <c r="G1274" s="9">
        <v>348</v>
      </c>
      <c r="H1274" s="9">
        <v>16</v>
      </c>
      <c r="I1274" s="9">
        <f t="shared" si="171"/>
        <v>332</v>
      </c>
      <c r="J1274" s="9">
        <v>57</v>
      </c>
      <c r="K1274" s="10">
        <f t="shared" si="172"/>
        <v>0.11874999999999999</v>
      </c>
      <c r="L1274" s="17">
        <v>120</v>
      </c>
      <c r="M1274" s="17">
        <v>30800</v>
      </c>
      <c r="N1274" s="17">
        <f t="shared" si="173"/>
        <v>39840</v>
      </c>
      <c r="O1274" s="17">
        <f t="shared" si="174"/>
        <v>9040</v>
      </c>
      <c r="P1274" s="10">
        <f t="shared" si="175"/>
        <v>0.89230769230769236</v>
      </c>
      <c r="Q1274" s="10">
        <f t="shared" si="176"/>
        <v>4.5977011494252873E-2</v>
      </c>
      <c r="R1274" s="10">
        <f t="shared" si="177"/>
        <v>0.22690763052208834</v>
      </c>
      <c r="S1274" s="18">
        <f t="shared" si="178"/>
        <v>92.771084337349393</v>
      </c>
      <c r="T1274" s="8">
        <f>480-ProductionData[[#This Row],[Downtime Minutes]]</f>
        <v>423</v>
      </c>
      <c r="U1274" s="11">
        <f t="shared" si="179"/>
        <v>0.82269503546099287</v>
      </c>
      <c r="V1274" s="18">
        <f>ProductionData[[#This Row],[Profit]]/ProductionData[[#This Row],[Good Units]]</f>
        <v>27.228915662650603</v>
      </c>
      <c r="W1274" s="11">
        <f>ProductionData[[#This Row],[Good Units]]/ProductionData[[#This Row],[Operating Minutes]]</f>
        <v>0.78486997635933808</v>
      </c>
    </row>
    <row r="1275" spans="1:23">
      <c r="A1275" s="7">
        <v>46345</v>
      </c>
      <c r="B1275" s="8" t="s">
        <v>32</v>
      </c>
      <c r="C1275" s="8" t="s">
        <v>27</v>
      </c>
      <c r="D1275" s="8" t="s">
        <v>23</v>
      </c>
      <c r="E1275" s="8" t="s">
        <v>26</v>
      </c>
      <c r="F1275" s="9">
        <v>490</v>
      </c>
      <c r="G1275" s="9">
        <v>431</v>
      </c>
      <c r="H1275" s="9">
        <v>27</v>
      </c>
      <c r="I1275" s="9">
        <f t="shared" si="171"/>
        <v>404</v>
      </c>
      <c r="J1275" s="9">
        <v>39</v>
      </c>
      <c r="K1275" s="10">
        <f t="shared" si="172"/>
        <v>8.1250000000000003E-2</v>
      </c>
      <c r="L1275" s="17">
        <v>90</v>
      </c>
      <c r="M1275" s="17">
        <v>30800</v>
      </c>
      <c r="N1275" s="17">
        <f t="shared" si="173"/>
        <v>36360</v>
      </c>
      <c r="O1275" s="17">
        <f t="shared" si="174"/>
        <v>5560</v>
      </c>
      <c r="P1275" s="10">
        <f t="shared" si="175"/>
        <v>0.87959183673469388</v>
      </c>
      <c r="Q1275" s="10">
        <f t="shared" si="176"/>
        <v>6.2645011600928072E-2</v>
      </c>
      <c r="R1275" s="10">
        <f t="shared" si="177"/>
        <v>0.15291529152915292</v>
      </c>
      <c r="S1275" s="18">
        <f t="shared" si="178"/>
        <v>76.237623762376231</v>
      </c>
      <c r="T1275" s="8">
        <f>480-ProductionData[[#This Row],[Downtime Minutes]]</f>
        <v>441</v>
      </c>
      <c r="U1275" s="11">
        <f t="shared" si="179"/>
        <v>0.9773242630385488</v>
      </c>
      <c r="V1275" s="18">
        <f>ProductionData[[#This Row],[Profit]]/ProductionData[[#This Row],[Good Units]]</f>
        <v>13.762376237623762</v>
      </c>
      <c r="W1275" s="11">
        <f>ProductionData[[#This Row],[Good Units]]/ProductionData[[#This Row],[Operating Minutes]]</f>
        <v>0.91609977324263037</v>
      </c>
    </row>
    <row r="1276" spans="1:23">
      <c r="A1276" s="7">
        <v>46345</v>
      </c>
      <c r="B1276" s="8" t="s">
        <v>32</v>
      </c>
      <c r="C1276" s="8" t="s">
        <v>27</v>
      </c>
      <c r="D1276" s="8" t="s">
        <v>25</v>
      </c>
      <c r="E1276" s="8" t="s">
        <v>22</v>
      </c>
      <c r="F1276" s="9">
        <v>450</v>
      </c>
      <c r="G1276" s="9">
        <v>367</v>
      </c>
      <c r="H1276" s="9">
        <v>30</v>
      </c>
      <c r="I1276" s="9">
        <f t="shared" si="171"/>
        <v>337</v>
      </c>
      <c r="J1276" s="9">
        <v>73</v>
      </c>
      <c r="K1276" s="10">
        <f t="shared" si="172"/>
        <v>0.15208333333333332</v>
      </c>
      <c r="L1276" s="17">
        <v>100</v>
      </c>
      <c r="M1276" s="17">
        <v>30800</v>
      </c>
      <c r="N1276" s="17">
        <f t="shared" si="173"/>
        <v>33700</v>
      </c>
      <c r="O1276" s="17">
        <f t="shared" si="174"/>
        <v>2900</v>
      </c>
      <c r="P1276" s="10">
        <f t="shared" si="175"/>
        <v>0.81555555555555559</v>
      </c>
      <c r="Q1276" s="10">
        <f t="shared" si="176"/>
        <v>8.1743869209809264E-2</v>
      </c>
      <c r="R1276" s="10">
        <f t="shared" si="177"/>
        <v>8.6053412462908013E-2</v>
      </c>
      <c r="S1276" s="18">
        <f t="shared" si="178"/>
        <v>91.394658753709194</v>
      </c>
      <c r="T1276" s="8">
        <f>480-ProductionData[[#This Row],[Downtime Minutes]]</f>
        <v>407</v>
      </c>
      <c r="U1276" s="11">
        <f t="shared" si="179"/>
        <v>0.90171990171990168</v>
      </c>
      <c r="V1276" s="18">
        <f>ProductionData[[#This Row],[Profit]]/ProductionData[[#This Row],[Good Units]]</f>
        <v>8.6053412462908003</v>
      </c>
      <c r="W1276" s="11">
        <f>ProductionData[[#This Row],[Good Units]]/ProductionData[[#This Row],[Operating Minutes]]</f>
        <v>0.82800982800982803</v>
      </c>
    </row>
    <row r="1277" spans="1:23">
      <c r="A1277" s="7">
        <v>46345</v>
      </c>
      <c r="B1277" s="8" t="s">
        <v>32</v>
      </c>
      <c r="C1277" s="8" t="s">
        <v>28</v>
      </c>
      <c r="D1277" s="8" t="s">
        <v>21</v>
      </c>
      <c r="E1277" s="8" t="s">
        <v>26</v>
      </c>
      <c r="F1277" s="9">
        <v>490</v>
      </c>
      <c r="G1277" s="9">
        <v>472</v>
      </c>
      <c r="H1277" s="9">
        <v>9</v>
      </c>
      <c r="I1277" s="9">
        <f t="shared" si="171"/>
        <v>463</v>
      </c>
      <c r="J1277" s="9">
        <v>25</v>
      </c>
      <c r="K1277" s="10">
        <f t="shared" si="172"/>
        <v>5.2083333333333336E-2</v>
      </c>
      <c r="L1277" s="17">
        <v>90</v>
      </c>
      <c r="M1277" s="17">
        <v>30800</v>
      </c>
      <c r="N1277" s="17">
        <f t="shared" si="173"/>
        <v>41670</v>
      </c>
      <c r="O1277" s="17">
        <f t="shared" si="174"/>
        <v>10870</v>
      </c>
      <c r="P1277" s="10">
        <f t="shared" si="175"/>
        <v>0.96326530612244898</v>
      </c>
      <c r="Q1277" s="10">
        <f t="shared" si="176"/>
        <v>1.9067796610169493E-2</v>
      </c>
      <c r="R1277" s="10">
        <f t="shared" si="177"/>
        <v>0.26085913126949845</v>
      </c>
      <c r="S1277" s="18">
        <f t="shared" si="178"/>
        <v>66.522678185745136</v>
      </c>
      <c r="T1277" s="8">
        <f>480-ProductionData[[#This Row],[Downtime Minutes]]</f>
        <v>455</v>
      </c>
      <c r="U1277" s="11">
        <f t="shared" si="179"/>
        <v>1.0373626373626375</v>
      </c>
      <c r="V1277" s="18">
        <f>ProductionData[[#This Row],[Profit]]/ProductionData[[#This Row],[Good Units]]</f>
        <v>23.477321814254861</v>
      </c>
      <c r="W1277" s="11">
        <f>ProductionData[[#This Row],[Good Units]]/ProductionData[[#This Row],[Operating Minutes]]</f>
        <v>1.0175824175824175</v>
      </c>
    </row>
    <row r="1278" spans="1:23">
      <c r="A1278" s="7">
        <v>46345</v>
      </c>
      <c r="B1278" s="8" t="s">
        <v>32</v>
      </c>
      <c r="C1278" s="8" t="s">
        <v>28</v>
      </c>
      <c r="D1278" s="8" t="s">
        <v>23</v>
      </c>
      <c r="E1278" s="8" t="s">
        <v>22</v>
      </c>
      <c r="F1278" s="9">
        <v>460</v>
      </c>
      <c r="G1278" s="9">
        <v>443</v>
      </c>
      <c r="H1278" s="9">
        <v>16</v>
      </c>
      <c r="I1278" s="9">
        <f t="shared" si="171"/>
        <v>427</v>
      </c>
      <c r="J1278" s="9">
        <v>41</v>
      </c>
      <c r="K1278" s="10">
        <f t="shared" si="172"/>
        <v>8.5416666666666669E-2</v>
      </c>
      <c r="L1278" s="17">
        <v>100</v>
      </c>
      <c r="M1278" s="17">
        <v>30800</v>
      </c>
      <c r="N1278" s="17">
        <f t="shared" si="173"/>
        <v>42700</v>
      </c>
      <c r="O1278" s="17">
        <f t="shared" si="174"/>
        <v>11900</v>
      </c>
      <c r="P1278" s="10">
        <f t="shared" si="175"/>
        <v>0.96304347826086956</v>
      </c>
      <c r="Q1278" s="10">
        <f t="shared" si="176"/>
        <v>3.6117381489841983E-2</v>
      </c>
      <c r="R1278" s="10">
        <f t="shared" si="177"/>
        <v>0.27868852459016391</v>
      </c>
      <c r="S1278" s="18">
        <f t="shared" si="178"/>
        <v>72.131147540983605</v>
      </c>
      <c r="T1278" s="8">
        <f>480-ProductionData[[#This Row],[Downtime Minutes]]</f>
        <v>439</v>
      </c>
      <c r="U1278" s="11">
        <f t="shared" si="179"/>
        <v>1.0091116173120729</v>
      </c>
      <c r="V1278" s="18">
        <f>ProductionData[[#This Row],[Profit]]/ProductionData[[#This Row],[Good Units]]</f>
        <v>27.868852459016395</v>
      </c>
      <c r="W1278" s="11">
        <f>ProductionData[[#This Row],[Good Units]]/ProductionData[[#This Row],[Operating Minutes]]</f>
        <v>0.97266514806378135</v>
      </c>
    </row>
    <row r="1279" spans="1:23">
      <c r="A1279" s="7">
        <v>46345</v>
      </c>
      <c r="B1279" s="8" t="s">
        <v>32</v>
      </c>
      <c r="C1279" s="8" t="s">
        <v>28</v>
      </c>
      <c r="D1279" s="8" t="s">
        <v>25</v>
      </c>
      <c r="E1279" s="8" t="s">
        <v>24</v>
      </c>
      <c r="F1279" s="9">
        <v>410</v>
      </c>
      <c r="G1279" s="9">
        <v>364</v>
      </c>
      <c r="H1279" s="9">
        <v>15</v>
      </c>
      <c r="I1279" s="9">
        <f t="shared" si="171"/>
        <v>349</v>
      </c>
      <c r="J1279" s="9">
        <v>26</v>
      </c>
      <c r="K1279" s="10">
        <f t="shared" si="172"/>
        <v>5.4166666666666669E-2</v>
      </c>
      <c r="L1279" s="17">
        <v>120</v>
      </c>
      <c r="M1279" s="17">
        <v>30800</v>
      </c>
      <c r="N1279" s="17">
        <f t="shared" si="173"/>
        <v>41880</v>
      </c>
      <c r="O1279" s="17">
        <f t="shared" si="174"/>
        <v>11080</v>
      </c>
      <c r="P1279" s="10">
        <f t="shared" si="175"/>
        <v>0.8878048780487805</v>
      </c>
      <c r="Q1279" s="10">
        <f t="shared" si="176"/>
        <v>4.1208791208791208E-2</v>
      </c>
      <c r="R1279" s="10">
        <f t="shared" si="177"/>
        <v>0.26456542502387775</v>
      </c>
      <c r="S1279" s="18">
        <f t="shared" si="178"/>
        <v>88.252148997134668</v>
      </c>
      <c r="T1279" s="8">
        <f>480-ProductionData[[#This Row],[Downtime Minutes]]</f>
        <v>454</v>
      </c>
      <c r="U1279" s="11">
        <f t="shared" si="179"/>
        <v>0.80176211453744495</v>
      </c>
      <c r="V1279" s="18">
        <f>ProductionData[[#This Row],[Profit]]/ProductionData[[#This Row],[Good Units]]</f>
        <v>31.747851002865328</v>
      </c>
      <c r="W1279" s="11">
        <f>ProductionData[[#This Row],[Good Units]]/ProductionData[[#This Row],[Operating Minutes]]</f>
        <v>0.7687224669603524</v>
      </c>
    </row>
    <row r="1280" spans="1:23">
      <c r="A1280" s="7">
        <v>46346</v>
      </c>
      <c r="B1280" s="8" t="s">
        <v>32</v>
      </c>
      <c r="C1280" s="8" t="s">
        <v>20</v>
      </c>
      <c r="D1280" s="8" t="s">
        <v>21</v>
      </c>
      <c r="E1280" s="8" t="s">
        <v>24</v>
      </c>
      <c r="F1280" s="9">
        <v>400</v>
      </c>
      <c r="G1280" s="9">
        <v>377</v>
      </c>
      <c r="H1280" s="9">
        <v>8</v>
      </c>
      <c r="I1280" s="9">
        <f t="shared" si="171"/>
        <v>369</v>
      </c>
      <c r="J1280" s="9">
        <v>24</v>
      </c>
      <c r="K1280" s="10">
        <f t="shared" si="172"/>
        <v>0.05</v>
      </c>
      <c r="L1280" s="17">
        <v>120</v>
      </c>
      <c r="M1280" s="17">
        <v>30800</v>
      </c>
      <c r="N1280" s="17">
        <f t="shared" si="173"/>
        <v>44280</v>
      </c>
      <c r="O1280" s="17">
        <f t="shared" si="174"/>
        <v>13480</v>
      </c>
      <c r="P1280" s="10">
        <f t="shared" si="175"/>
        <v>0.9425</v>
      </c>
      <c r="Q1280" s="10">
        <f t="shared" si="176"/>
        <v>2.1220159151193633E-2</v>
      </c>
      <c r="R1280" s="10">
        <f t="shared" si="177"/>
        <v>0.30442637759710928</v>
      </c>
      <c r="S1280" s="18">
        <f t="shared" si="178"/>
        <v>83.468834688346888</v>
      </c>
      <c r="T1280" s="8">
        <f>480-ProductionData[[#This Row],[Downtime Minutes]]</f>
        <v>456</v>
      </c>
      <c r="U1280" s="11">
        <f t="shared" si="179"/>
        <v>0.82675438596491224</v>
      </c>
      <c r="V1280" s="18">
        <f>ProductionData[[#This Row],[Profit]]/ProductionData[[#This Row],[Good Units]]</f>
        <v>36.531165311653119</v>
      </c>
      <c r="W1280" s="11">
        <f>ProductionData[[#This Row],[Good Units]]/ProductionData[[#This Row],[Operating Minutes]]</f>
        <v>0.80921052631578949</v>
      </c>
    </row>
    <row r="1281" spans="1:23">
      <c r="A1281" s="7">
        <v>46346</v>
      </c>
      <c r="B1281" s="8" t="s">
        <v>32</v>
      </c>
      <c r="C1281" s="8" t="s">
        <v>20</v>
      </c>
      <c r="D1281" s="8" t="s">
        <v>23</v>
      </c>
      <c r="E1281" s="8" t="s">
        <v>26</v>
      </c>
      <c r="F1281" s="9">
        <v>490</v>
      </c>
      <c r="G1281" s="9">
        <v>463</v>
      </c>
      <c r="H1281" s="9">
        <v>19</v>
      </c>
      <c r="I1281" s="9">
        <f t="shared" si="171"/>
        <v>444</v>
      </c>
      <c r="J1281" s="9">
        <v>32</v>
      </c>
      <c r="K1281" s="10">
        <f t="shared" si="172"/>
        <v>6.6666666666666666E-2</v>
      </c>
      <c r="L1281" s="17">
        <v>90</v>
      </c>
      <c r="M1281" s="17">
        <v>30800</v>
      </c>
      <c r="N1281" s="17">
        <f t="shared" si="173"/>
        <v>39960</v>
      </c>
      <c r="O1281" s="17">
        <f t="shared" si="174"/>
        <v>9160</v>
      </c>
      <c r="P1281" s="10">
        <f t="shared" si="175"/>
        <v>0.94489795918367347</v>
      </c>
      <c r="Q1281" s="10">
        <f t="shared" si="176"/>
        <v>4.1036717062634988E-2</v>
      </c>
      <c r="R1281" s="10">
        <f t="shared" si="177"/>
        <v>0.22922922922922923</v>
      </c>
      <c r="S1281" s="18">
        <f t="shared" si="178"/>
        <v>69.369369369369366</v>
      </c>
      <c r="T1281" s="8">
        <f>480-ProductionData[[#This Row],[Downtime Minutes]]</f>
        <v>448</v>
      </c>
      <c r="U1281" s="11">
        <f t="shared" si="179"/>
        <v>1.0334821428571428</v>
      </c>
      <c r="V1281" s="18">
        <f>ProductionData[[#This Row],[Profit]]/ProductionData[[#This Row],[Good Units]]</f>
        <v>20.63063063063063</v>
      </c>
      <c r="W1281" s="11">
        <f>ProductionData[[#This Row],[Good Units]]/ProductionData[[#This Row],[Operating Minutes]]</f>
        <v>0.9910714285714286</v>
      </c>
    </row>
    <row r="1282" spans="1:23">
      <c r="A1282" s="7">
        <v>46346</v>
      </c>
      <c r="B1282" s="8" t="s">
        <v>32</v>
      </c>
      <c r="C1282" s="8" t="s">
        <v>20</v>
      </c>
      <c r="D1282" s="8" t="s">
        <v>25</v>
      </c>
      <c r="E1282" s="8" t="s">
        <v>22</v>
      </c>
      <c r="F1282" s="9">
        <v>440</v>
      </c>
      <c r="G1282" s="9">
        <v>399</v>
      </c>
      <c r="H1282" s="9">
        <v>23</v>
      </c>
      <c r="I1282" s="9">
        <f t="shared" ref="I1282:I1345" si="180">G1282-H1282</f>
        <v>376</v>
      </c>
      <c r="J1282" s="9">
        <v>46</v>
      </c>
      <c r="K1282" s="10">
        <f t="shared" ref="K1282:K1345" si="181">J1282/480</f>
        <v>9.583333333333334E-2</v>
      </c>
      <c r="L1282" s="17">
        <v>100</v>
      </c>
      <c r="M1282" s="17">
        <v>30800</v>
      </c>
      <c r="N1282" s="17">
        <f t="shared" ref="N1282:N1345" si="182">I1282*L1282</f>
        <v>37600</v>
      </c>
      <c r="O1282" s="17">
        <f t="shared" ref="O1282:O1345" si="183">N1282-M1282</f>
        <v>6800</v>
      </c>
      <c r="P1282" s="10">
        <f t="shared" ref="P1282:P1345" si="184">G1282/F1282</f>
        <v>0.90681818181818186</v>
      </c>
      <c r="Q1282" s="10">
        <f t="shared" ref="Q1282:Q1345" si="185">H1282/G1282</f>
        <v>5.764411027568922E-2</v>
      </c>
      <c r="R1282" s="10">
        <f t="shared" ref="R1282:R1345" si="186">O1282/N1282</f>
        <v>0.18085106382978725</v>
      </c>
      <c r="S1282" s="18">
        <f t="shared" ref="S1282:S1345" si="187">M1282/I1282</f>
        <v>81.914893617021278</v>
      </c>
      <c r="T1282" s="8">
        <f>480-ProductionData[[#This Row],[Downtime Minutes]]</f>
        <v>434</v>
      </c>
      <c r="U1282" s="11">
        <f t="shared" ref="U1282:U1345" si="188">G1282/T1282</f>
        <v>0.91935483870967738</v>
      </c>
      <c r="V1282" s="18">
        <f>ProductionData[[#This Row],[Profit]]/ProductionData[[#This Row],[Good Units]]</f>
        <v>18.085106382978722</v>
      </c>
      <c r="W1282" s="11">
        <f>ProductionData[[#This Row],[Good Units]]/ProductionData[[#This Row],[Operating Minutes]]</f>
        <v>0.86635944700460832</v>
      </c>
    </row>
    <row r="1283" spans="1:23">
      <c r="A1283" s="7">
        <v>46346</v>
      </c>
      <c r="B1283" s="8" t="s">
        <v>32</v>
      </c>
      <c r="C1283" s="8" t="s">
        <v>27</v>
      </c>
      <c r="D1283" s="8" t="s">
        <v>21</v>
      </c>
      <c r="E1283" s="8" t="s">
        <v>26</v>
      </c>
      <c r="F1283" s="9">
        <v>510</v>
      </c>
      <c r="G1283" s="9">
        <v>454</v>
      </c>
      <c r="H1283" s="9">
        <v>22</v>
      </c>
      <c r="I1283" s="9">
        <f t="shared" si="180"/>
        <v>432</v>
      </c>
      <c r="J1283" s="9">
        <v>34</v>
      </c>
      <c r="K1283" s="10">
        <f t="shared" si="181"/>
        <v>7.0833333333333331E-2</v>
      </c>
      <c r="L1283" s="17">
        <v>90</v>
      </c>
      <c r="M1283" s="17">
        <v>30800</v>
      </c>
      <c r="N1283" s="17">
        <f t="shared" si="182"/>
        <v>38880</v>
      </c>
      <c r="O1283" s="17">
        <f t="shared" si="183"/>
        <v>8080</v>
      </c>
      <c r="P1283" s="10">
        <f t="shared" si="184"/>
        <v>0.8901960784313725</v>
      </c>
      <c r="Q1283" s="10">
        <f t="shared" si="185"/>
        <v>4.8458149779735685E-2</v>
      </c>
      <c r="R1283" s="10">
        <f t="shared" si="186"/>
        <v>0.20781893004115226</v>
      </c>
      <c r="S1283" s="18">
        <f t="shared" si="187"/>
        <v>71.296296296296291</v>
      </c>
      <c r="T1283" s="8">
        <f>480-ProductionData[[#This Row],[Downtime Minutes]]</f>
        <v>446</v>
      </c>
      <c r="U1283" s="11">
        <f t="shared" si="188"/>
        <v>1.0179372197309418</v>
      </c>
      <c r="V1283" s="18">
        <f>ProductionData[[#This Row],[Profit]]/ProductionData[[#This Row],[Good Units]]</f>
        <v>18.703703703703702</v>
      </c>
      <c r="W1283" s="11">
        <f>ProductionData[[#This Row],[Good Units]]/ProductionData[[#This Row],[Operating Minutes]]</f>
        <v>0.96860986547085204</v>
      </c>
    </row>
    <row r="1284" spans="1:23">
      <c r="A1284" s="7">
        <v>46346</v>
      </c>
      <c r="B1284" s="8" t="s">
        <v>32</v>
      </c>
      <c r="C1284" s="8" t="s">
        <v>27</v>
      </c>
      <c r="D1284" s="8" t="s">
        <v>23</v>
      </c>
      <c r="E1284" s="8" t="s">
        <v>22</v>
      </c>
      <c r="F1284" s="9">
        <v>440</v>
      </c>
      <c r="G1284" s="9">
        <v>383</v>
      </c>
      <c r="H1284" s="9">
        <v>27</v>
      </c>
      <c r="I1284" s="9">
        <f t="shared" si="180"/>
        <v>356</v>
      </c>
      <c r="J1284" s="9">
        <v>65</v>
      </c>
      <c r="K1284" s="10">
        <f t="shared" si="181"/>
        <v>0.13541666666666666</v>
      </c>
      <c r="L1284" s="17">
        <v>100</v>
      </c>
      <c r="M1284" s="17">
        <v>30800</v>
      </c>
      <c r="N1284" s="17">
        <f t="shared" si="182"/>
        <v>35600</v>
      </c>
      <c r="O1284" s="17">
        <f t="shared" si="183"/>
        <v>4800</v>
      </c>
      <c r="P1284" s="10">
        <f t="shared" si="184"/>
        <v>0.87045454545454548</v>
      </c>
      <c r="Q1284" s="10">
        <f t="shared" si="185"/>
        <v>7.0496083550913843E-2</v>
      </c>
      <c r="R1284" s="10">
        <f t="shared" si="186"/>
        <v>0.1348314606741573</v>
      </c>
      <c r="S1284" s="18">
        <f t="shared" si="187"/>
        <v>86.516853932584269</v>
      </c>
      <c r="T1284" s="8">
        <f>480-ProductionData[[#This Row],[Downtime Minutes]]</f>
        <v>415</v>
      </c>
      <c r="U1284" s="11">
        <f t="shared" si="188"/>
        <v>0.92289156626506019</v>
      </c>
      <c r="V1284" s="18">
        <f>ProductionData[[#This Row],[Profit]]/ProductionData[[#This Row],[Good Units]]</f>
        <v>13.48314606741573</v>
      </c>
      <c r="W1284" s="11">
        <f>ProductionData[[#This Row],[Good Units]]/ProductionData[[#This Row],[Operating Minutes]]</f>
        <v>0.85783132530120487</v>
      </c>
    </row>
    <row r="1285" spans="1:23">
      <c r="A1285" s="7">
        <v>46346</v>
      </c>
      <c r="B1285" s="8" t="s">
        <v>32</v>
      </c>
      <c r="C1285" s="8" t="s">
        <v>27</v>
      </c>
      <c r="D1285" s="8" t="s">
        <v>25</v>
      </c>
      <c r="E1285" s="8" t="s">
        <v>24</v>
      </c>
      <c r="F1285" s="9">
        <v>400</v>
      </c>
      <c r="G1285" s="9">
        <v>348</v>
      </c>
      <c r="H1285" s="9">
        <v>18</v>
      </c>
      <c r="I1285" s="9">
        <f t="shared" si="180"/>
        <v>330</v>
      </c>
      <c r="J1285" s="9">
        <v>52</v>
      </c>
      <c r="K1285" s="10">
        <f t="shared" si="181"/>
        <v>0.10833333333333334</v>
      </c>
      <c r="L1285" s="17">
        <v>120</v>
      </c>
      <c r="M1285" s="17">
        <v>30800</v>
      </c>
      <c r="N1285" s="17">
        <f t="shared" si="182"/>
        <v>39600</v>
      </c>
      <c r="O1285" s="17">
        <f t="shared" si="183"/>
        <v>8800</v>
      </c>
      <c r="P1285" s="10">
        <f t="shared" si="184"/>
        <v>0.87</v>
      </c>
      <c r="Q1285" s="10">
        <f t="shared" si="185"/>
        <v>5.1724137931034482E-2</v>
      </c>
      <c r="R1285" s="10">
        <f t="shared" si="186"/>
        <v>0.22222222222222221</v>
      </c>
      <c r="S1285" s="18">
        <f t="shared" si="187"/>
        <v>93.333333333333329</v>
      </c>
      <c r="T1285" s="8">
        <f>480-ProductionData[[#This Row],[Downtime Minutes]]</f>
        <v>428</v>
      </c>
      <c r="U1285" s="11">
        <f t="shared" si="188"/>
        <v>0.81308411214953269</v>
      </c>
      <c r="V1285" s="18">
        <f>ProductionData[[#This Row],[Profit]]/ProductionData[[#This Row],[Good Units]]</f>
        <v>26.666666666666668</v>
      </c>
      <c r="W1285" s="11">
        <f>ProductionData[[#This Row],[Good Units]]/ProductionData[[#This Row],[Operating Minutes]]</f>
        <v>0.7710280373831776</v>
      </c>
    </row>
    <row r="1286" spans="1:23">
      <c r="A1286" s="7">
        <v>46346</v>
      </c>
      <c r="B1286" s="8" t="s">
        <v>32</v>
      </c>
      <c r="C1286" s="8" t="s">
        <v>28</v>
      </c>
      <c r="D1286" s="8" t="s">
        <v>21</v>
      </c>
      <c r="E1286" s="8" t="s">
        <v>22</v>
      </c>
      <c r="F1286" s="9">
        <v>450</v>
      </c>
      <c r="G1286" s="9">
        <v>437</v>
      </c>
      <c r="H1286" s="9">
        <v>13</v>
      </c>
      <c r="I1286" s="9">
        <f t="shared" si="180"/>
        <v>424</v>
      </c>
      <c r="J1286" s="9">
        <v>30</v>
      </c>
      <c r="K1286" s="10">
        <f t="shared" si="181"/>
        <v>6.25E-2</v>
      </c>
      <c r="L1286" s="17">
        <v>100</v>
      </c>
      <c r="M1286" s="17">
        <v>30800</v>
      </c>
      <c r="N1286" s="17">
        <f t="shared" si="182"/>
        <v>42400</v>
      </c>
      <c r="O1286" s="17">
        <f t="shared" si="183"/>
        <v>11600</v>
      </c>
      <c r="P1286" s="10">
        <f t="shared" si="184"/>
        <v>0.97111111111111115</v>
      </c>
      <c r="Q1286" s="10">
        <f t="shared" si="185"/>
        <v>2.9748283752860413E-2</v>
      </c>
      <c r="R1286" s="10">
        <f t="shared" si="186"/>
        <v>0.27358490566037735</v>
      </c>
      <c r="S1286" s="18">
        <f t="shared" si="187"/>
        <v>72.64150943396227</v>
      </c>
      <c r="T1286" s="8">
        <f>480-ProductionData[[#This Row],[Downtime Minutes]]</f>
        <v>450</v>
      </c>
      <c r="U1286" s="11">
        <f t="shared" si="188"/>
        <v>0.97111111111111115</v>
      </c>
      <c r="V1286" s="18">
        <f>ProductionData[[#This Row],[Profit]]/ProductionData[[#This Row],[Good Units]]</f>
        <v>27.358490566037737</v>
      </c>
      <c r="W1286" s="11">
        <f>ProductionData[[#This Row],[Good Units]]/ProductionData[[#This Row],[Operating Minutes]]</f>
        <v>0.94222222222222218</v>
      </c>
    </row>
    <row r="1287" spans="1:23">
      <c r="A1287" s="7">
        <v>46346</v>
      </c>
      <c r="B1287" s="8" t="s">
        <v>32</v>
      </c>
      <c r="C1287" s="8" t="s">
        <v>28</v>
      </c>
      <c r="D1287" s="8" t="s">
        <v>23</v>
      </c>
      <c r="E1287" s="8" t="s">
        <v>24</v>
      </c>
      <c r="F1287" s="9">
        <v>380</v>
      </c>
      <c r="G1287" s="9">
        <v>352</v>
      </c>
      <c r="H1287" s="9">
        <v>7</v>
      </c>
      <c r="I1287" s="9">
        <f t="shared" si="180"/>
        <v>345</v>
      </c>
      <c r="J1287" s="9">
        <v>37</v>
      </c>
      <c r="K1287" s="10">
        <f t="shared" si="181"/>
        <v>7.7083333333333337E-2</v>
      </c>
      <c r="L1287" s="17">
        <v>120</v>
      </c>
      <c r="M1287" s="17">
        <v>30800</v>
      </c>
      <c r="N1287" s="17">
        <f t="shared" si="182"/>
        <v>41400</v>
      </c>
      <c r="O1287" s="17">
        <f t="shared" si="183"/>
        <v>10600</v>
      </c>
      <c r="P1287" s="10">
        <f t="shared" si="184"/>
        <v>0.9263157894736842</v>
      </c>
      <c r="Q1287" s="10">
        <f t="shared" si="185"/>
        <v>1.9886363636363636E-2</v>
      </c>
      <c r="R1287" s="10">
        <f t="shared" si="186"/>
        <v>0.2560386473429952</v>
      </c>
      <c r="S1287" s="18">
        <f t="shared" si="187"/>
        <v>89.275362318840578</v>
      </c>
      <c r="T1287" s="8">
        <f>480-ProductionData[[#This Row],[Downtime Minutes]]</f>
        <v>443</v>
      </c>
      <c r="U1287" s="11">
        <f t="shared" si="188"/>
        <v>0.79458239277652365</v>
      </c>
      <c r="V1287" s="18">
        <f>ProductionData[[#This Row],[Profit]]/ProductionData[[#This Row],[Good Units]]</f>
        <v>30.724637681159422</v>
      </c>
      <c r="W1287" s="11">
        <f>ProductionData[[#This Row],[Good Units]]/ProductionData[[#This Row],[Operating Minutes]]</f>
        <v>0.77878103837471779</v>
      </c>
    </row>
    <row r="1288" spans="1:23">
      <c r="A1288" s="7">
        <v>46346</v>
      </c>
      <c r="B1288" s="8" t="s">
        <v>32</v>
      </c>
      <c r="C1288" s="8" t="s">
        <v>28</v>
      </c>
      <c r="D1288" s="8" t="s">
        <v>25</v>
      </c>
      <c r="E1288" s="8" t="s">
        <v>26</v>
      </c>
      <c r="F1288" s="9">
        <v>520</v>
      </c>
      <c r="G1288" s="9">
        <v>473</v>
      </c>
      <c r="H1288" s="9">
        <v>21</v>
      </c>
      <c r="I1288" s="9">
        <f t="shared" si="180"/>
        <v>452</v>
      </c>
      <c r="J1288" s="9">
        <v>42</v>
      </c>
      <c r="K1288" s="10">
        <f t="shared" si="181"/>
        <v>8.7499999999999994E-2</v>
      </c>
      <c r="L1288" s="17">
        <v>90</v>
      </c>
      <c r="M1288" s="17">
        <v>30800</v>
      </c>
      <c r="N1288" s="17">
        <f t="shared" si="182"/>
        <v>40680</v>
      </c>
      <c r="O1288" s="17">
        <f t="shared" si="183"/>
        <v>9880</v>
      </c>
      <c r="P1288" s="10">
        <f t="shared" si="184"/>
        <v>0.9096153846153846</v>
      </c>
      <c r="Q1288" s="10">
        <f t="shared" si="185"/>
        <v>4.4397463002114168E-2</v>
      </c>
      <c r="R1288" s="10">
        <f t="shared" si="186"/>
        <v>0.24287118977384464</v>
      </c>
      <c r="S1288" s="18">
        <f t="shared" si="187"/>
        <v>68.141592920353986</v>
      </c>
      <c r="T1288" s="8">
        <f>480-ProductionData[[#This Row],[Downtime Minutes]]</f>
        <v>438</v>
      </c>
      <c r="U1288" s="11">
        <f t="shared" si="188"/>
        <v>1.0799086757990868</v>
      </c>
      <c r="V1288" s="18">
        <f>ProductionData[[#This Row],[Profit]]/ProductionData[[#This Row],[Good Units]]</f>
        <v>21.858407079646017</v>
      </c>
      <c r="W1288" s="11">
        <f>ProductionData[[#This Row],[Good Units]]/ProductionData[[#This Row],[Operating Minutes]]</f>
        <v>1.0319634703196348</v>
      </c>
    </row>
    <row r="1289" spans="1:23">
      <c r="A1289" s="7">
        <v>46347</v>
      </c>
      <c r="B1289" s="8" t="s">
        <v>32</v>
      </c>
      <c r="C1289" s="8" t="s">
        <v>20</v>
      </c>
      <c r="D1289" s="8" t="s">
        <v>21</v>
      </c>
      <c r="E1289" s="8" t="s">
        <v>26</v>
      </c>
      <c r="F1289" s="9">
        <v>510</v>
      </c>
      <c r="G1289" s="9">
        <v>468</v>
      </c>
      <c r="H1289" s="9">
        <v>16</v>
      </c>
      <c r="I1289" s="9">
        <f t="shared" si="180"/>
        <v>452</v>
      </c>
      <c r="J1289" s="9">
        <v>29</v>
      </c>
      <c r="K1289" s="10">
        <f t="shared" si="181"/>
        <v>6.0416666666666667E-2</v>
      </c>
      <c r="L1289" s="17">
        <v>90</v>
      </c>
      <c r="M1289" s="17">
        <v>30800</v>
      </c>
      <c r="N1289" s="17">
        <f t="shared" si="182"/>
        <v>40680</v>
      </c>
      <c r="O1289" s="17">
        <f t="shared" si="183"/>
        <v>9880</v>
      </c>
      <c r="P1289" s="10">
        <f t="shared" si="184"/>
        <v>0.91764705882352937</v>
      </c>
      <c r="Q1289" s="10">
        <f t="shared" si="185"/>
        <v>3.4188034188034191E-2</v>
      </c>
      <c r="R1289" s="10">
        <f t="shared" si="186"/>
        <v>0.24287118977384464</v>
      </c>
      <c r="S1289" s="18">
        <f t="shared" si="187"/>
        <v>68.141592920353986</v>
      </c>
      <c r="T1289" s="8">
        <f>480-ProductionData[[#This Row],[Downtime Minutes]]</f>
        <v>451</v>
      </c>
      <c r="U1289" s="11">
        <f t="shared" si="188"/>
        <v>1.0376940133037693</v>
      </c>
      <c r="V1289" s="18">
        <f>ProductionData[[#This Row],[Profit]]/ProductionData[[#This Row],[Good Units]]</f>
        <v>21.858407079646017</v>
      </c>
      <c r="W1289" s="11">
        <f>ProductionData[[#This Row],[Good Units]]/ProductionData[[#This Row],[Operating Minutes]]</f>
        <v>1.0022172949002217</v>
      </c>
    </row>
    <row r="1290" spans="1:23">
      <c r="A1290" s="7">
        <v>46347</v>
      </c>
      <c r="B1290" s="8" t="s">
        <v>32</v>
      </c>
      <c r="C1290" s="8" t="s">
        <v>20</v>
      </c>
      <c r="D1290" s="8" t="s">
        <v>23</v>
      </c>
      <c r="E1290" s="8" t="s">
        <v>22</v>
      </c>
      <c r="F1290" s="9">
        <v>450</v>
      </c>
      <c r="G1290" s="9">
        <v>428</v>
      </c>
      <c r="H1290" s="9">
        <v>22</v>
      </c>
      <c r="I1290" s="9">
        <f t="shared" si="180"/>
        <v>406</v>
      </c>
      <c r="J1290" s="9">
        <v>31</v>
      </c>
      <c r="K1290" s="10">
        <f t="shared" si="181"/>
        <v>6.458333333333334E-2</v>
      </c>
      <c r="L1290" s="17">
        <v>100</v>
      </c>
      <c r="M1290" s="17">
        <v>30800</v>
      </c>
      <c r="N1290" s="17">
        <f t="shared" si="182"/>
        <v>40600</v>
      </c>
      <c r="O1290" s="17">
        <f t="shared" si="183"/>
        <v>9800</v>
      </c>
      <c r="P1290" s="10">
        <f t="shared" si="184"/>
        <v>0.95111111111111113</v>
      </c>
      <c r="Q1290" s="10">
        <f t="shared" si="185"/>
        <v>5.1401869158878503E-2</v>
      </c>
      <c r="R1290" s="10">
        <f t="shared" si="186"/>
        <v>0.2413793103448276</v>
      </c>
      <c r="S1290" s="18">
        <f t="shared" si="187"/>
        <v>75.862068965517238</v>
      </c>
      <c r="T1290" s="8">
        <f>480-ProductionData[[#This Row],[Downtime Minutes]]</f>
        <v>449</v>
      </c>
      <c r="U1290" s="11">
        <f t="shared" si="188"/>
        <v>0.95322939866369716</v>
      </c>
      <c r="V1290" s="18">
        <f>ProductionData[[#This Row],[Profit]]/ProductionData[[#This Row],[Good Units]]</f>
        <v>24.137931034482758</v>
      </c>
      <c r="W1290" s="11">
        <f>ProductionData[[#This Row],[Good Units]]/ProductionData[[#This Row],[Operating Minutes]]</f>
        <v>0.90423162583518935</v>
      </c>
    </row>
    <row r="1291" spans="1:23">
      <c r="A1291" s="7">
        <v>46347</v>
      </c>
      <c r="B1291" s="8" t="s">
        <v>32</v>
      </c>
      <c r="C1291" s="8" t="s">
        <v>20</v>
      </c>
      <c r="D1291" s="8" t="s">
        <v>25</v>
      </c>
      <c r="E1291" s="8" t="s">
        <v>24</v>
      </c>
      <c r="F1291" s="9">
        <v>390</v>
      </c>
      <c r="G1291" s="9">
        <v>349</v>
      </c>
      <c r="H1291" s="9">
        <v>17</v>
      </c>
      <c r="I1291" s="9">
        <f t="shared" si="180"/>
        <v>332</v>
      </c>
      <c r="J1291" s="9">
        <v>51</v>
      </c>
      <c r="K1291" s="10">
        <f t="shared" si="181"/>
        <v>0.10625</v>
      </c>
      <c r="L1291" s="17">
        <v>120</v>
      </c>
      <c r="M1291" s="17">
        <v>30800</v>
      </c>
      <c r="N1291" s="17">
        <f t="shared" si="182"/>
        <v>39840</v>
      </c>
      <c r="O1291" s="17">
        <f t="shared" si="183"/>
        <v>9040</v>
      </c>
      <c r="P1291" s="10">
        <f t="shared" si="184"/>
        <v>0.89487179487179491</v>
      </c>
      <c r="Q1291" s="10">
        <f t="shared" si="185"/>
        <v>4.8710601719197708E-2</v>
      </c>
      <c r="R1291" s="10">
        <f t="shared" si="186"/>
        <v>0.22690763052208834</v>
      </c>
      <c r="S1291" s="18">
        <f t="shared" si="187"/>
        <v>92.771084337349393</v>
      </c>
      <c r="T1291" s="8">
        <f>480-ProductionData[[#This Row],[Downtime Minutes]]</f>
        <v>429</v>
      </c>
      <c r="U1291" s="11">
        <f t="shared" si="188"/>
        <v>0.81351981351981351</v>
      </c>
      <c r="V1291" s="18">
        <f>ProductionData[[#This Row],[Profit]]/ProductionData[[#This Row],[Good Units]]</f>
        <v>27.228915662650603</v>
      </c>
      <c r="W1291" s="11">
        <f>ProductionData[[#This Row],[Good Units]]/ProductionData[[#This Row],[Operating Minutes]]</f>
        <v>0.77389277389277389</v>
      </c>
    </row>
    <row r="1292" spans="1:23">
      <c r="A1292" s="7">
        <v>46347</v>
      </c>
      <c r="B1292" s="8" t="s">
        <v>32</v>
      </c>
      <c r="C1292" s="8" t="s">
        <v>27</v>
      </c>
      <c r="D1292" s="8" t="s">
        <v>21</v>
      </c>
      <c r="E1292" s="8" t="s">
        <v>22</v>
      </c>
      <c r="F1292" s="9">
        <v>440</v>
      </c>
      <c r="G1292" s="9">
        <v>377</v>
      </c>
      <c r="H1292" s="9">
        <v>22</v>
      </c>
      <c r="I1292" s="9">
        <f t="shared" si="180"/>
        <v>355</v>
      </c>
      <c r="J1292" s="9">
        <v>44</v>
      </c>
      <c r="K1292" s="10">
        <f t="shared" si="181"/>
        <v>9.166666666666666E-2</v>
      </c>
      <c r="L1292" s="17">
        <v>100</v>
      </c>
      <c r="M1292" s="17">
        <v>30800</v>
      </c>
      <c r="N1292" s="17">
        <f t="shared" si="182"/>
        <v>35500</v>
      </c>
      <c r="O1292" s="17">
        <f t="shared" si="183"/>
        <v>4700</v>
      </c>
      <c r="P1292" s="10">
        <f t="shared" si="184"/>
        <v>0.85681818181818181</v>
      </c>
      <c r="Q1292" s="10">
        <f t="shared" si="185"/>
        <v>5.8355437665782495E-2</v>
      </c>
      <c r="R1292" s="10">
        <f t="shared" si="186"/>
        <v>0.13239436619718309</v>
      </c>
      <c r="S1292" s="18">
        <f t="shared" si="187"/>
        <v>86.760563380281695</v>
      </c>
      <c r="T1292" s="8">
        <f>480-ProductionData[[#This Row],[Downtime Minutes]]</f>
        <v>436</v>
      </c>
      <c r="U1292" s="11">
        <f t="shared" si="188"/>
        <v>0.86467889908256879</v>
      </c>
      <c r="V1292" s="18">
        <f>ProductionData[[#This Row],[Profit]]/ProductionData[[#This Row],[Good Units]]</f>
        <v>13.23943661971831</v>
      </c>
      <c r="W1292" s="11">
        <f>ProductionData[[#This Row],[Good Units]]/ProductionData[[#This Row],[Operating Minutes]]</f>
        <v>0.81422018348623848</v>
      </c>
    </row>
    <row r="1293" spans="1:23">
      <c r="A1293" s="7">
        <v>46347</v>
      </c>
      <c r="B1293" s="8" t="s">
        <v>32</v>
      </c>
      <c r="C1293" s="8" t="s">
        <v>27</v>
      </c>
      <c r="D1293" s="8" t="s">
        <v>23</v>
      </c>
      <c r="E1293" s="8" t="s">
        <v>24</v>
      </c>
      <c r="F1293" s="9">
        <v>420</v>
      </c>
      <c r="G1293" s="9">
        <v>371</v>
      </c>
      <c r="H1293" s="9">
        <v>21</v>
      </c>
      <c r="I1293" s="9">
        <f t="shared" si="180"/>
        <v>350</v>
      </c>
      <c r="J1293" s="9">
        <v>60</v>
      </c>
      <c r="K1293" s="10">
        <f t="shared" si="181"/>
        <v>0.125</v>
      </c>
      <c r="L1293" s="17">
        <v>120</v>
      </c>
      <c r="M1293" s="17">
        <v>30800</v>
      </c>
      <c r="N1293" s="17">
        <f t="shared" si="182"/>
        <v>42000</v>
      </c>
      <c r="O1293" s="17">
        <f t="shared" si="183"/>
        <v>11200</v>
      </c>
      <c r="P1293" s="10">
        <f t="shared" si="184"/>
        <v>0.8833333333333333</v>
      </c>
      <c r="Q1293" s="10">
        <f t="shared" si="185"/>
        <v>5.6603773584905662E-2</v>
      </c>
      <c r="R1293" s="10">
        <f t="shared" si="186"/>
        <v>0.26666666666666666</v>
      </c>
      <c r="S1293" s="18">
        <f t="shared" si="187"/>
        <v>88</v>
      </c>
      <c r="T1293" s="8">
        <f>480-ProductionData[[#This Row],[Downtime Minutes]]</f>
        <v>420</v>
      </c>
      <c r="U1293" s="11">
        <f t="shared" si="188"/>
        <v>0.8833333333333333</v>
      </c>
      <c r="V1293" s="18">
        <f>ProductionData[[#This Row],[Profit]]/ProductionData[[#This Row],[Good Units]]</f>
        <v>32</v>
      </c>
      <c r="W1293" s="11">
        <f>ProductionData[[#This Row],[Good Units]]/ProductionData[[#This Row],[Operating Minutes]]</f>
        <v>0.83333333333333337</v>
      </c>
    </row>
    <row r="1294" spans="1:23">
      <c r="A1294" s="7">
        <v>46347</v>
      </c>
      <c r="B1294" s="8" t="s">
        <v>32</v>
      </c>
      <c r="C1294" s="8" t="s">
        <v>27</v>
      </c>
      <c r="D1294" s="8" t="s">
        <v>25</v>
      </c>
      <c r="E1294" s="8" t="s">
        <v>26</v>
      </c>
      <c r="F1294" s="9">
        <v>490</v>
      </c>
      <c r="G1294" s="9">
        <v>422</v>
      </c>
      <c r="H1294" s="9">
        <v>28</v>
      </c>
      <c r="I1294" s="9">
        <f t="shared" si="180"/>
        <v>394</v>
      </c>
      <c r="J1294" s="9">
        <v>52</v>
      </c>
      <c r="K1294" s="10">
        <f t="shared" si="181"/>
        <v>0.10833333333333334</v>
      </c>
      <c r="L1294" s="17">
        <v>90</v>
      </c>
      <c r="M1294" s="17">
        <v>30800</v>
      </c>
      <c r="N1294" s="17">
        <f t="shared" si="182"/>
        <v>35460</v>
      </c>
      <c r="O1294" s="17">
        <f t="shared" si="183"/>
        <v>4660</v>
      </c>
      <c r="P1294" s="10">
        <f t="shared" si="184"/>
        <v>0.86122448979591837</v>
      </c>
      <c r="Q1294" s="10">
        <f t="shared" si="185"/>
        <v>6.6350710900473939E-2</v>
      </c>
      <c r="R1294" s="10">
        <f t="shared" si="186"/>
        <v>0.13141567963902989</v>
      </c>
      <c r="S1294" s="18">
        <f t="shared" si="187"/>
        <v>78.172588832487307</v>
      </c>
      <c r="T1294" s="8">
        <f>480-ProductionData[[#This Row],[Downtime Minutes]]</f>
        <v>428</v>
      </c>
      <c r="U1294" s="11">
        <f t="shared" si="188"/>
        <v>0.98598130841121501</v>
      </c>
      <c r="V1294" s="18">
        <f>ProductionData[[#This Row],[Profit]]/ProductionData[[#This Row],[Good Units]]</f>
        <v>11.82741116751269</v>
      </c>
      <c r="W1294" s="11">
        <f>ProductionData[[#This Row],[Good Units]]/ProductionData[[#This Row],[Operating Minutes]]</f>
        <v>0.92056074766355145</v>
      </c>
    </row>
    <row r="1295" spans="1:23">
      <c r="A1295" s="7">
        <v>46347</v>
      </c>
      <c r="B1295" s="8" t="s">
        <v>32</v>
      </c>
      <c r="C1295" s="8" t="s">
        <v>28</v>
      </c>
      <c r="D1295" s="8" t="s">
        <v>21</v>
      </c>
      <c r="E1295" s="8" t="s">
        <v>24</v>
      </c>
      <c r="F1295" s="9">
        <v>390</v>
      </c>
      <c r="G1295" s="9">
        <v>380</v>
      </c>
      <c r="H1295" s="9">
        <v>9</v>
      </c>
      <c r="I1295" s="9">
        <f t="shared" si="180"/>
        <v>371</v>
      </c>
      <c r="J1295" s="9">
        <v>25</v>
      </c>
      <c r="K1295" s="10">
        <f t="shared" si="181"/>
        <v>5.2083333333333336E-2</v>
      </c>
      <c r="L1295" s="17">
        <v>120</v>
      </c>
      <c r="M1295" s="17">
        <v>30800</v>
      </c>
      <c r="N1295" s="17">
        <f t="shared" si="182"/>
        <v>44520</v>
      </c>
      <c r="O1295" s="17">
        <f t="shared" si="183"/>
        <v>13720</v>
      </c>
      <c r="P1295" s="10">
        <f t="shared" si="184"/>
        <v>0.97435897435897434</v>
      </c>
      <c r="Q1295" s="10">
        <f t="shared" si="185"/>
        <v>2.368421052631579E-2</v>
      </c>
      <c r="R1295" s="10">
        <f t="shared" si="186"/>
        <v>0.3081761006289308</v>
      </c>
      <c r="S1295" s="18">
        <f t="shared" si="187"/>
        <v>83.018867924528308</v>
      </c>
      <c r="T1295" s="8">
        <f>480-ProductionData[[#This Row],[Downtime Minutes]]</f>
        <v>455</v>
      </c>
      <c r="U1295" s="11">
        <f t="shared" si="188"/>
        <v>0.8351648351648352</v>
      </c>
      <c r="V1295" s="18">
        <f>ProductionData[[#This Row],[Profit]]/ProductionData[[#This Row],[Good Units]]</f>
        <v>36.981132075471699</v>
      </c>
      <c r="W1295" s="11">
        <f>ProductionData[[#This Row],[Good Units]]/ProductionData[[#This Row],[Operating Minutes]]</f>
        <v>0.81538461538461537</v>
      </c>
    </row>
    <row r="1296" spans="1:23">
      <c r="A1296" s="7">
        <v>46347</v>
      </c>
      <c r="B1296" s="8" t="s">
        <v>32</v>
      </c>
      <c r="C1296" s="8" t="s">
        <v>28</v>
      </c>
      <c r="D1296" s="8" t="s">
        <v>23</v>
      </c>
      <c r="E1296" s="8" t="s">
        <v>26</v>
      </c>
      <c r="F1296" s="9">
        <v>490</v>
      </c>
      <c r="G1296" s="9">
        <v>469</v>
      </c>
      <c r="H1296" s="9">
        <v>11</v>
      </c>
      <c r="I1296" s="9">
        <f t="shared" si="180"/>
        <v>458</v>
      </c>
      <c r="J1296" s="9">
        <v>32</v>
      </c>
      <c r="K1296" s="10">
        <f t="shared" si="181"/>
        <v>6.6666666666666666E-2</v>
      </c>
      <c r="L1296" s="17">
        <v>90</v>
      </c>
      <c r="M1296" s="17">
        <v>30800</v>
      </c>
      <c r="N1296" s="17">
        <f t="shared" si="182"/>
        <v>41220</v>
      </c>
      <c r="O1296" s="17">
        <f t="shared" si="183"/>
        <v>10420</v>
      </c>
      <c r="P1296" s="10">
        <f t="shared" si="184"/>
        <v>0.95714285714285718</v>
      </c>
      <c r="Q1296" s="10">
        <f t="shared" si="185"/>
        <v>2.3454157782515993E-2</v>
      </c>
      <c r="R1296" s="10">
        <f t="shared" si="186"/>
        <v>0.25278990781174188</v>
      </c>
      <c r="S1296" s="18">
        <f t="shared" si="187"/>
        <v>67.248908296943227</v>
      </c>
      <c r="T1296" s="8">
        <f>480-ProductionData[[#This Row],[Downtime Minutes]]</f>
        <v>448</v>
      </c>
      <c r="U1296" s="11">
        <f t="shared" si="188"/>
        <v>1.046875</v>
      </c>
      <c r="V1296" s="18">
        <f>ProductionData[[#This Row],[Profit]]/ProductionData[[#This Row],[Good Units]]</f>
        <v>22.751091703056769</v>
      </c>
      <c r="W1296" s="11">
        <f>ProductionData[[#This Row],[Good Units]]/ProductionData[[#This Row],[Operating Minutes]]</f>
        <v>1.0223214285714286</v>
      </c>
    </row>
    <row r="1297" spans="1:23">
      <c r="A1297" s="7">
        <v>46347</v>
      </c>
      <c r="B1297" s="8" t="s">
        <v>32</v>
      </c>
      <c r="C1297" s="8" t="s">
        <v>28</v>
      </c>
      <c r="D1297" s="8" t="s">
        <v>25</v>
      </c>
      <c r="E1297" s="8" t="s">
        <v>22</v>
      </c>
      <c r="F1297" s="9">
        <v>440</v>
      </c>
      <c r="G1297" s="9">
        <v>401</v>
      </c>
      <c r="H1297" s="9">
        <v>19</v>
      </c>
      <c r="I1297" s="9">
        <f t="shared" si="180"/>
        <v>382</v>
      </c>
      <c r="J1297" s="9">
        <v>52</v>
      </c>
      <c r="K1297" s="10">
        <f t="shared" si="181"/>
        <v>0.10833333333333334</v>
      </c>
      <c r="L1297" s="17">
        <v>100</v>
      </c>
      <c r="M1297" s="17">
        <v>30800</v>
      </c>
      <c r="N1297" s="17">
        <f t="shared" si="182"/>
        <v>38200</v>
      </c>
      <c r="O1297" s="17">
        <f t="shared" si="183"/>
        <v>7400</v>
      </c>
      <c r="P1297" s="10">
        <f t="shared" si="184"/>
        <v>0.91136363636363638</v>
      </c>
      <c r="Q1297" s="10">
        <f t="shared" si="185"/>
        <v>4.738154613466334E-2</v>
      </c>
      <c r="R1297" s="10">
        <f t="shared" si="186"/>
        <v>0.193717277486911</v>
      </c>
      <c r="S1297" s="18">
        <f t="shared" si="187"/>
        <v>80.6282722513089</v>
      </c>
      <c r="T1297" s="8">
        <f>480-ProductionData[[#This Row],[Downtime Minutes]]</f>
        <v>428</v>
      </c>
      <c r="U1297" s="11">
        <f t="shared" si="188"/>
        <v>0.93691588785046731</v>
      </c>
      <c r="V1297" s="18">
        <f>ProductionData[[#This Row],[Profit]]/ProductionData[[#This Row],[Good Units]]</f>
        <v>19.3717277486911</v>
      </c>
      <c r="W1297" s="11">
        <f>ProductionData[[#This Row],[Good Units]]/ProductionData[[#This Row],[Operating Minutes]]</f>
        <v>0.89252336448598135</v>
      </c>
    </row>
    <row r="1298" spans="1:23">
      <c r="A1298" s="7">
        <v>46348</v>
      </c>
      <c r="B1298" s="8" t="s">
        <v>32</v>
      </c>
      <c r="C1298" s="8" t="s">
        <v>20</v>
      </c>
      <c r="D1298" s="8" t="s">
        <v>21</v>
      </c>
      <c r="E1298" s="8" t="s">
        <v>22</v>
      </c>
      <c r="F1298" s="9">
        <v>430</v>
      </c>
      <c r="G1298" s="9">
        <v>409</v>
      </c>
      <c r="H1298" s="9">
        <v>21</v>
      </c>
      <c r="I1298" s="9">
        <f t="shared" si="180"/>
        <v>388</v>
      </c>
      <c r="J1298" s="9">
        <v>28</v>
      </c>
      <c r="K1298" s="10">
        <f t="shared" si="181"/>
        <v>5.8333333333333334E-2</v>
      </c>
      <c r="L1298" s="17">
        <v>100</v>
      </c>
      <c r="M1298" s="17">
        <v>30800</v>
      </c>
      <c r="N1298" s="17">
        <f t="shared" si="182"/>
        <v>38800</v>
      </c>
      <c r="O1298" s="17">
        <f t="shared" si="183"/>
        <v>8000</v>
      </c>
      <c r="P1298" s="10">
        <f t="shared" si="184"/>
        <v>0.9511627906976744</v>
      </c>
      <c r="Q1298" s="10">
        <f t="shared" si="185"/>
        <v>5.1344743276283619E-2</v>
      </c>
      <c r="R1298" s="10">
        <f t="shared" si="186"/>
        <v>0.20618556701030927</v>
      </c>
      <c r="S1298" s="18">
        <f t="shared" si="187"/>
        <v>79.381443298969074</v>
      </c>
      <c r="T1298" s="8">
        <f>480-ProductionData[[#This Row],[Downtime Minutes]]</f>
        <v>452</v>
      </c>
      <c r="U1298" s="11">
        <f t="shared" si="188"/>
        <v>0.90486725663716816</v>
      </c>
      <c r="V1298" s="18">
        <f>ProductionData[[#This Row],[Profit]]/ProductionData[[#This Row],[Good Units]]</f>
        <v>20.618556701030929</v>
      </c>
      <c r="W1298" s="11">
        <f>ProductionData[[#This Row],[Good Units]]/ProductionData[[#This Row],[Operating Minutes]]</f>
        <v>0.8584070796460177</v>
      </c>
    </row>
    <row r="1299" spans="1:23">
      <c r="A1299" s="7">
        <v>46348</v>
      </c>
      <c r="B1299" s="8" t="s">
        <v>32</v>
      </c>
      <c r="C1299" s="8" t="s">
        <v>20</v>
      </c>
      <c r="D1299" s="8" t="s">
        <v>23</v>
      </c>
      <c r="E1299" s="8" t="s">
        <v>24</v>
      </c>
      <c r="F1299" s="9">
        <v>410</v>
      </c>
      <c r="G1299" s="9">
        <v>380</v>
      </c>
      <c r="H1299" s="9">
        <v>10</v>
      </c>
      <c r="I1299" s="9">
        <f t="shared" si="180"/>
        <v>370</v>
      </c>
      <c r="J1299" s="9">
        <v>32</v>
      </c>
      <c r="K1299" s="10">
        <f t="shared" si="181"/>
        <v>6.6666666666666666E-2</v>
      </c>
      <c r="L1299" s="17">
        <v>120</v>
      </c>
      <c r="M1299" s="17">
        <v>30800</v>
      </c>
      <c r="N1299" s="17">
        <f t="shared" si="182"/>
        <v>44400</v>
      </c>
      <c r="O1299" s="17">
        <f t="shared" si="183"/>
        <v>13600</v>
      </c>
      <c r="P1299" s="10">
        <f t="shared" si="184"/>
        <v>0.92682926829268297</v>
      </c>
      <c r="Q1299" s="10">
        <f t="shared" si="185"/>
        <v>2.6315789473684209E-2</v>
      </c>
      <c r="R1299" s="10">
        <f t="shared" si="186"/>
        <v>0.30630630630630629</v>
      </c>
      <c r="S1299" s="18">
        <f t="shared" si="187"/>
        <v>83.243243243243242</v>
      </c>
      <c r="T1299" s="8">
        <f>480-ProductionData[[#This Row],[Downtime Minutes]]</f>
        <v>448</v>
      </c>
      <c r="U1299" s="11">
        <f t="shared" si="188"/>
        <v>0.8482142857142857</v>
      </c>
      <c r="V1299" s="18">
        <f>ProductionData[[#This Row],[Profit]]/ProductionData[[#This Row],[Good Units]]</f>
        <v>36.756756756756758</v>
      </c>
      <c r="W1299" s="11">
        <f>ProductionData[[#This Row],[Good Units]]/ProductionData[[#This Row],[Operating Minutes]]</f>
        <v>0.8258928571428571</v>
      </c>
    </row>
    <row r="1300" spans="1:23">
      <c r="A1300" s="7">
        <v>46348</v>
      </c>
      <c r="B1300" s="8" t="s">
        <v>32</v>
      </c>
      <c r="C1300" s="8" t="s">
        <v>20</v>
      </c>
      <c r="D1300" s="8" t="s">
        <v>25</v>
      </c>
      <c r="E1300" s="8" t="s">
        <v>26</v>
      </c>
      <c r="F1300" s="9">
        <v>500</v>
      </c>
      <c r="G1300" s="9">
        <v>443</v>
      </c>
      <c r="H1300" s="9">
        <v>18</v>
      </c>
      <c r="I1300" s="9">
        <f t="shared" si="180"/>
        <v>425</v>
      </c>
      <c r="J1300" s="9">
        <v>47</v>
      </c>
      <c r="K1300" s="10">
        <f t="shared" si="181"/>
        <v>9.7916666666666666E-2</v>
      </c>
      <c r="L1300" s="17">
        <v>90</v>
      </c>
      <c r="M1300" s="17">
        <v>30800</v>
      </c>
      <c r="N1300" s="17">
        <f t="shared" si="182"/>
        <v>38250</v>
      </c>
      <c r="O1300" s="17">
        <f t="shared" si="183"/>
        <v>7450</v>
      </c>
      <c r="P1300" s="10">
        <f t="shared" si="184"/>
        <v>0.88600000000000001</v>
      </c>
      <c r="Q1300" s="10">
        <f t="shared" si="185"/>
        <v>4.0632054176072234E-2</v>
      </c>
      <c r="R1300" s="10">
        <f t="shared" si="186"/>
        <v>0.19477124183006536</v>
      </c>
      <c r="S1300" s="18">
        <f t="shared" si="187"/>
        <v>72.470588235294116</v>
      </c>
      <c r="T1300" s="8">
        <f>480-ProductionData[[#This Row],[Downtime Minutes]]</f>
        <v>433</v>
      </c>
      <c r="U1300" s="11">
        <f t="shared" si="188"/>
        <v>1.0230946882217089</v>
      </c>
      <c r="V1300" s="18">
        <f>ProductionData[[#This Row],[Profit]]/ProductionData[[#This Row],[Good Units]]</f>
        <v>17.529411764705884</v>
      </c>
      <c r="W1300" s="11">
        <f>ProductionData[[#This Row],[Good Units]]/ProductionData[[#This Row],[Operating Minutes]]</f>
        <v>0.98152424942263283</v>
      </c>
    </row>
    <row r="1301" spans="1:23">
      <c r="A1301" s="7">
        <v>46348</v>
      </c>
      <c r="B1301" s="8" t="s">
        <v>32</v>
      </c>
      <c r="C1301" s="8" t="s">
        <v>27</v>
      </c>
      <c r="D1301" s="8" t="s">
        <v>21</v>
      </c>
      <c r="E1301" s="8" t="s">
        <v>24</v>
      </c>
      <c r="F1301" s="9">
        <v>390</v>
      </c>
      <c r="G1301" s="9">
        <v>337</v>
      </c>
      <c r="H1301" s="9">
        <v>14</v>
      </c>
      <c r="I1301" s="9">
        <f t="shared" si="180"/>
        <v>323</v>
      </c>
      <c r="J1301" s="9">
        <v>43</v>
      </c>
      <c r="K1301" s="10">
        <f t="shared" si="181"/>
        <v>8.9583333333333334E-2</v>
      </c>
      <c r="L1301" s="17">
        <v>120</v>
      </c>
      <c r="M1301" s="17">
        <v>30800</v>
      </c>
      <c r="N1301" s="17">
        <f t="shared" si="182"/>
        <v>38760</v>
      </c>
      <c r="O1301" s="17">
        <f t="shared" si="183"/>
        <v>7960</v>
      </c>
      <c r="P1301" s="10">
        <f t="shared" si="184"/>
        <v>0.86410256410256414</v>
      </c>
      <c r="Q1301" s="10">
        <f t="shared" si="185"/>
        <v>4.1543026706231452E-2</v>
      </c>
      <c r="R1301" s="10">
        <f t="shared" si="186"/>
        <v>0.20536635706914344</v>
      </c>
      <c r="S1301" s="18">
        <f t="shared" si="187"/>
        <v>95.356037151702793</v>
      </c>
      <c r="T1301" s="8">
        <f>480-ProductionData[[#This Row],[Downtime Minutes]]</f>
        <v>437</v>
      </c>
      <c r="U1301" s="11">
        <f t="shared" si="188"/>
        <v>0.77116704805491987</v>
      </c>
      <c r="V1301" s="18">
        <f>ProductionData[[#This Row],[Profit]]/ProductionData[[#This Row],[Good Units]]</f>
        <v>24.643962848297214</v>
      </c>
      <c r="W1301" s="11">
        <f>ProductionData[[#This Row],[Good Units]]/ProductionData[[#This Row],[Operating Minutes]]</f>
        <v>0.73913043478260865</v>
      </c>
    </row>
    <row r="1302" spans="1:23">
      <c r="A1302" s="7">
        <v>46348</v>
      </c>
      <c r="B1302" s="8" t="s">
        <v>32</v>
      </c>
      <c r="C1302" s="8" t="s">
        <v>27</v>
      </c>
      <c r="D1302" s="8" t="s">
        <v>23</v>
      </c>
      <c r="E1302" s="8" t="s">
        <v>26</v>
      </c>
      <c r="F1302" s="9">
        <v>510</v>
      </c>
      <c r="G1302" s="9">
        <v>443</v>
      </c>
      <c r="H1302" s="9">
        <v>22</v>
      </c>
      <c r="I1302" s="9">
        <f t="shared" si="180"/>
        <v>421</v>
      </c>
      <c r="J1302" s="9">
        <v>53</v>
      </c>
      <c r="K1302" s="10">
        <f t="shared" si="181"/>
        <v>0.11041666666666666</v>
      </c>
      <c r="L1302" s="17">
        <v>90</v>
      </c>
      <c r="M1302" s="17">
        <v>30800</v>
      </c>
      <c r="N1302" s="17">
        <f t="shared" si="182"/>
        <v>37890</v>
      </c>
      <c r="O1302" s="17">
        <f t="shared" si="183"/>
        <v>7090</v>
      </c>
      <c r="P1302" s="10">
        <f t="shared" si="184"/>
        <v>0.86862745098039218</v>
      </c>
      <c r="Q1302" s="10">
        <f t="shared" si="185"/>
        <v>4.9661399548532728E-2</v>
      </c>
      <c r="R1302" s="10">
        <f t="shared" si="186"/>
        <v>0.18712061229875956</v>
      </c>
      <c r="S1302" s="18">
        <f t="shared" si="187"/>
        <v>73.159144893111645</v>
      </c>
      <c r="T1302" s="8">
        <f>480-ProductionData[[#This Row],[Downtime Minutes]]</f>
        <v>427</v>
      </c>
      <c r="U1302" s="11">
        <f t="shared" si="188"/>
        <v>1.0374707259953162</v>
      </c>
      <c r="V1302" s="18">
        <f>ProductionData[[#This Row],[Profit]]/ProductionData[[#This Row],[Good Units]]</f>
        <v>16.840855106888363</v>
      </c>
      <c r="W1302" s="11">
        <f>ProductionData[[#This Row],[Good Units]]/ProductionData[[#This Row],[Operating Minutes]]</f>
        <v>0.98594847775175642</v>
      </c>
    </row>
    <row r="1303" spans="1:23">
      <c r="A1303" s="7">
        <v>46348</v>
      </c>
      <c r="B1303" s="8" t="s">
        <v>32</v>
      </c>
      <c r="C1303" s="8" t="s">
        <v>27</v>
      </c>
      <c r="D1303" s="8" t="s">
        <v>25</v>
      </c>
      <c r="E1303" s="8" t="s">
        <v>22</v>
      </c>
      <c r="F1303" s="9">
        <v>450</v>
      </c>
      <c r="G1303" s="9">
        <v>392</v>
      </c>
      <c r="H1303" s="9">
        <v>27</v>
      </c>
      <c r="I1303" s="9">
        <f t="shared" si="180"/>
        <v>365</v>
      </c>
      <c r="J1303" s="9">
        <v>73</v>
      </c>
      <c r="K1303" s="10">
        <f t="shared" si="181"/>
        <v>0.15208333333333332</v>
      </c>
      <c r="L1303" s="17">
        <v>100</v>
      </c>
      <c r="M1303" s="17">
        <v>30800</v>
      </c>
      <c r="N1303" s="17">
        <f t="shared" si="182"/>
        <v>36500</v>
      </c>
      <c r="O1303" s="17">
        <f t="shared" si="183"/>
        <v>5700</v>
      </c>
      <c r="P1303" s="10">
        <f t="shared" si="184"/>
        <v>0.87111111111111106</v>
      </c>
      <c r="Q1303" s="10">
        <f t="shared" si="185"/>
        <v>6.8877551020408156E-2</v>
      </c>
      <c r="R1303" s="10">
        <f t="shared" si="186"/>
        <v>0.15616438356164383</v>
      </c>
      <c r="S1303" s="18">
        <f t="shared" si="187"/>
        <v>84.38356164383562</v>
      </c>
      <c r="T1303" s="8">
        <f>480-ProductionData[[#This Row],[Downtime Minutes]]</f>
        <v>407</v>
      </c>
      <c r="U1303" s="11">
        <f t="shared" si="188"/>
        <v>0.96314496314496312</v>
      </c>
      <c r="V1303" s="18">
        <f>ProductionData[[#This Row],[Profit]]/ProductionData[[#This Row],[Good Units]]</f>
        <v>15.616438356164384</v>
      </c>
      <c r="W1303" s="11">
        <f>ProductionData[[#This Row],[Good Units]]/ProductionData[[#This Row],[Operating Minutes]]</f>
        <v>0.89680589680589684</v>
      </c>
    </row>
    <row r="1304" spans="1:23">
      <c r="A1304" s="7">
        <v>46348</v>
      </c>
      <c r="B1304" s="8" t="s">
        <v>32</v>
      </c>
      <c r="C1304" s="8" t="s">
        <v>28</v>
      </c>
      <c r="D1304" s="8" t="s">
        <v>21</v>
      </c>
      <c r="E1304" s="8" t="s">
        <v>26</v>
      </c>
      <c r="F1304" s="9">
        <v>490</v>
      </c>
      <c r="G1304" s="9">
        <v>465</v>
      </c>
      <c r="H1304" s="9">
        <v>12</v>
      </c>
      <c r="I1304" s="9">
        <f t="shared" si="180"/>
        <v>453</v>
      </c>
      <c r="J1304" s="9">
        <v>11</v>
      </c>
      <c r="K1304" s="10">
        <f t="shared" si="181"/>
        <v>2.2916666666666665E-2</v>
      </c>
      <c r="L1304" s="17">
        <v>90</v>
      </c>
      <c r="M1304" s="17">
        <v>30800</v>
      </c>
      <c r="N1304" s="17">
        <f t="shared" si="182"/>
        <v>40770</v>
      </c>
      <c r="O1304" s="17">
        <f t="shared" si="183"/>
        <v>9970</v>
      </c>
      <c r="P1304" s="10">
        <f t="shared" si="184"/>
        <v>0.94897959183673475</v>
      </c>
      <c r="Q1304" s="10">
        <f t="shared" si="185"/>
        <v>2.5806451612903226E-2</v>
      </c>
      <c r="R1304" s="10">
        <f t="shared" si="186"/>
        <v>0.24454255580083395</v>
      </c>
      <c r="S1304" s="18">
        <f t="shared" si="187"/>
        <v>67.99116997792494</v>
      </c>
      <c r="T1304" s="8">
        <f>480-ProductionData[[#This Row],[Downtime Minutes]]</f>
        <v>469</v>
      </c>
      <c r="U1304" s="11">
        <f t="shared" si="188"/>
        <v>0.99147121535181237</v>
      </c>
      <c r="V1304" s="18">
        <f>ProductionData[[#This Row],[Profit]]/ProductionData[[#This Row],[Good Units]]</f>
        <v>22.008830022075056</v>
      </c>
      <c r="W1304" s="11">
        <f>ProductionData[[#This Row],[Good Units]]/ProductionData[[#This Row],[Operating Minutes]]</f>
        <v>0.9658848614072495</v>
      </c>
    </row>
    <row r="1305" spans="1:23">
      <c r="A1305" s="7">
        <v>46348</v>
      </c>
      <c r="B1305" s="8" t="s">
        <v>32</v>
      </c>
      <c r="C1305" s="8" t="s">
        <v>28</v>
      </c>
      <c r="D1305" s="8" t="s">
        <v>23</v>
      </c>
      <c r="E1305" s="8" t="s">
        <v>22</v>
      </c>
      <c r="F1305" s="9">
        <v>440</v>
      </c>
      <c r="G1305" s="9">
        <v>411</v>
      </c>
      <c r="H1305" s="9">
        <v>17</v>
      </c>
      <c r="I1305" s="9">
        <f t="shared" si="180"/>
        <v>394</v>
      </c>
      <c r="J1305" s="9">
        <v>23</v>
      </c>
      <c r="K1305" s="10">
        <f t="shared" si="181"/>
        <v>4.791666666666667E-2</v>
      </c>
      <c r="L1305" s="17">
        <v>100</v>
      </c>
      <c r="M1305" s="17">
        <v>30800</v>
      </c>
      <c r="N1305" s="17">
        <f t="shared" si="182"/>
        <v>39400</v>
      </c>
      <c r="O1305" s="17">
        <f t="shared" si="183"/>
        <v>8600</v>
      </c>
      <c r="P1305" s="10">
        <f t="shared" si="184"/>
        <v>0.93409090909090908</v>
      </c>
      <c r="Q1305" s="10">
        <f t="shared" si="185"/>
        <v>4.1362530413625302E-2</v>
      </c>
      <c r="R1305" s="10">
        <f t="shared" si="186"/>
        <v>0.21827411167512689</v>
      </c>
      <c r="S1305" s="18">
        <f t="shared" si="187"/>
        <v>78.172588832487307</v>
      </c>
      <c r="T1305" s="8">
        <f>480-ProductionData[[#This Row],[Downtime Minutes]]</f>
        <v>457</v>
      </c>
      <c r="U1305" s="11">
        <f t="shared" si="188"/>
        <v>0.89934354485776802</v>
      </c>
      <c r="V1305" s="18">
        <f>ProductionData[[#This Row],[Profit]]/ProductionData[[#This Row],[Good Units]]</f>
        <v>21.82741116751269</v>
      </c>
      <c r="W1305" s="11">
        <f>ProductionData[[#This Row],[Good Units]]/ProductionData[[#This Row],[Operating Minutes]]</f>
        <v>0.862144420131291</v>
      </c>
    </row>
    <row r="1306" spans="1:23">
      <c r="A1306" s="7">
        <v>46348</v>
      </c>
      <c r="B1306" s="8" t="s">
        <v>32</v>
      </c>
      <c r="C1306" s="8" t="s">
        <v>28</v>
      </c>
      <c r="D1306" s="8" t="s">
        <v>25</v>
      </c>
      <c r="E1306" s="8" t="s">
        <v>24</v>
      </c>
      <c r="F1306" s="9">
        <v>390</v>
      </c>
      <c r="G1306" s="9">
        <v>349</v>
      </c>
      <c r="H1306" s="9">
        <v>14</v>
      </c>
      <c r="I1306" s="9">
        <f t="shared" si="180"/>
        <v>335</v>
      </c>
      <c r="J1306" s="9">
        <v>37</v>
      </c>
      <c r="K1306" s="10">
        <f t="shared" si="181"/>
        <v>7.7083333333333337E-2</v>
      </c>
      <c r="L1306" s="17">
        <v>120</v>
      </c>
      <c r="M1306" s="17">
        <v>30800</v>
      </c>
      <c r="N1306" s="17">
        <f t="shared" si="182"/>
        <v>40200</v>
      </c>
      <c r="O1306" s="17">
        <f t="shared" si="183"/>
        <v>9400</v>
      </c>
      <c r="P1306" s="10">
        <f t="shared" si="184"/>
        <v>0.89487179487179491</v>
      </c>
      <c r="Q1306" s="10">
        <f t="shared" si="185"/>
        <v>4.0114613180515762E-2</v>
      </c>
      <c r="R1306" s="10">
        <f t="shared" si="186"/>
        <v>0.23383084577114427</v>
      </c>
      <c r="S1306" s="18">
        <f t="shared" si="187"/>
        <v>91.940298507462686</v>
      </c>
      <c r="T1306" s="8">
        <f>480-ProductionData[[#This Row],[Downtime Minutes]]</f>
        <v>443</v>
      </c>
      <c r="U1306" s="11">
        <f t="shared" si="188"/>
        <v>0.78781038374717838</v>
      </c>
      <c r="V1306" s="18">
        <f>ProductionData[[#This Row],[Profit]]/ProductionData[[#This Row],[Good Units]]</f>
        <v>28.059701492537314</v>
      </c>
      <c r="W1306" s="11">
        <f>ProductionData[[#This Row],[Good Units]]/ProductionData[[#This Row],[Operating Minutes]]</f>
        <v>0.75620767494356655</v>
      </c>
    </row>
    <row r="1307" spans="1:23">
      <c r="A1307" s="7">
        <v>46349</v>
      </c>
      <c r="B1307" s="8" t="s">
        <v>32</v>
      </c>
      <c r="C1307" s="8" t="s">
        <v>20</v>
      </c>
      <c r="D1307" s="8" t="s">
        <v>21</v>
      </c>
      <c r="E1307" s="8" t="s">
        <v>24</v>
      </c>
      <c r="F1307" s="9">
        <v>390</v>
      </c>
      <c r="G1307" s="9">
        <v>362</v>
      </c>
      <c r="H1307" s="9">
        <v>12</v>
      </c>
      <c r="I1307" s="9">
        <f t="shared" si="180"/>
        <v>350</v>
      </c>
      <c r="J1307" s="9">
        <v>37</v>
      </c>
      <c r="K1307" s="10">
        <f t="shared" si="181"/>
        <v>7.7083333333333337E-2</v>
      </c>
      <c r="L1307" s="17">
        <v>120</v>
      </c>
      <c r="M1307" s="17">
        <v>30800</v>
      </c>
      <c r="N1307" s="17">
        <f t="shared" si="182"/>
        <v>42000</v>
      </c>
      <c r="O1307" s="17">
        <f t="shared" si="183"/>
        <v>11200</v>
      </c>
      <c r="P1307" s="10">
        <f t="shared" si="184"/>
        <v>0.92820512820512824</v>
      </c>
      <c r="Q1307" s="10">
        <f t="shared" si="185"/>
        <v>3.3149171270718231E-2</v>
      </c>
      <c r="R1307" s="10">
        <f t="shared" si="186"/>
        <v>0.26666666666666666</v>
      </c>
      <c r="S1307" s="18">
        <f t="shared" si="187"/>
        <v>88</v>
      </c>
      <c r="T1307" s="8">
        <f>480-ProductionData[[#This Row],[Downtime Minutes]]</f>
        <v>443</v>
      </c>
      <c r="U1307" s="11">
        <f t="shared" si="188"/>
        <v>0.81715575620767489</v>
      </c>
      <c r="V1307" s="18">
        <f>ProductionData[[#This Row],[Profit]]/ProductionData[[#This Row],[Good Units]]</f>
        <v>32</v>
      </c>
      <c r="W1307" s="11">
        <f>ProductionData[[#This Row],[Good Units]]/ProductionData[[#This Row],[Operating Minutes]]</f>
        <v>0.79006772009029347</v>
      </c>
    </row>
    <row r="1308" spans="1:23">
      <c r="A1308" s="7">
        <v>46349</v>
      </c>
      <c r="B1308" s="8" t="s">
        <v>32</v>
      </c>
      <c r="C1308" s="8" t="s">
        <v>20</v>
      </c>
      <c r="D1308" s="8" t="s">
        <v>23</v>
      </c>
      <c r="E1308" s="8" t="s">
        <v>26</v>
      </c>
      <c r="F1308" s="9">
        <v>510</v>
      </c>
      <c r="G1308" s="9">
        <v>478</v>
      </c>
      <c r="H1308" s="9">
        <v>19</v>
      </c>
      <c r="I1308" s="9">
        <f t="shared" si="180"/>
        <v>459</v>
      </c>
      <c r="J1308" s="9">
        <v>25</v>
      </c>
      <c r="K1308" s="10">
        <f t="shared" si="181"/>
        <v>5.2083333333333336E-2</v>
      </c>
      <c r="L1308" s="17">
        <v>90</v>
      </c>
      <c r="M1308" s="17">
        <v>30800</v>
      </c>
      <c r="N1308" s="17">
        <f t="shared" si="182"/>
        <v>41310</v>
      </c>
      <c r="O1308" s="17">
        <f t="shared" si="183"/>
        <v>10510</v>
      </c>
      <c r="P1308" s="10">
        <f t="shared" si="184"/>
        <v>0.93725490196078431</v>
      </c>
      <c r="Q1308" s="10">
        <f t="shared" si="185"/>
        <v>3.9748953974895397E-2</v>
      </c>
      <c r="R1308" s="10">
        <f t="shared" si="186"/>
        <v>0.25441781650931977</v>
      </c>
      <c r="S1308" s="18">
        <f t="shared" si="187"/>
        <v>67.102396514161214</v>
      </c>
      <c r="T1308" s="8">
        <f>480-ProductionData[[#This Row],[Downtime Minutes]]</f>
        <v>455</v>
      </c>
      <c r="U1308" s="11">
        <f t="shared" si="188"/>
        <v>1.0505494505494506</v>
      </c>
      <c r="V1308" s="18">
        <f>ProductionData[[#This Row],[Profit]]/ProductionData[[#This Row],[Good Units]]</f>
        <v>22.897603485838779</v>
      </c>
      <c r="W1308" s="11">
        <f>ProductionData[[#This Row],[Good Units]]/ProductionData[[#This Row],[Operating Minutes]]</f>
        <v>1.0087912087912088</v>
      </c>
    </row>
    <row r="1309" spans="1:23">
      <c r="A1309" s="7">
        <v>46349</v>
      </c>
      <c r="B1309" s="8" t="s">
        <v>32</v>
      </c>
      <c r="C1309" s="8" t="s">
        <v>20</v>
      </c>
      <c r="D1309" s="8" t="s">
        <v>25</v>
      </c>
      <c r="E1309" s="8" t="s">
        <v>22</v>
      </c>
      <c r="F1309" s="9">
        <v>470</v>
      </c>
      <c r="G1309" s="9">
        <v>432</v>
      </c>
      <c r="H1309" s="9">
        <v>22</v>
      </c>
      <c r="I1309" s="9">
        <f t="shared" si="180"/>
        <v>410</v>
      </c>
      <c r="J1309" s="9">
        <v>52</v>
      </c>
      <c r="K1309" s="10">
        <f t="shared" si="181"/>
        <v>0.10833333333333334</v>
      </c>
      <c r="L1309" s="17">
        <v>100</v>
      </c>
      <c r="M1309" s="17">
        <v>30800</v>
      </c>
      <c r="N1309" s="17">
        <f t="shared" si="182"/>
        <v>41000</v>
      </c>
      <c r="O1309" s="17">
        <f t="shared" si="183"/>
        <v>10200</v>
      </c>
      <c r="P1309" s="10">
        <f t="shared" si="184"/>
        <v>0.91914893617021276</v>
      </c>
      <c r="Q1309" s="10">
        <f t="shared" si="185"/>
        <v>5.0925925925925923E-2</v>
      </c>
      <c r="R1309" s="10">
        <f t="shared" si="186"/>
        <v>0.24878048780487805</v>
      </c>
      <c r="S1309" s="18">
        <f t="shared" si="187"/>
        <v>75.121951219512198</v>
      </c>
      <c r="T1309" s="8">
        <f>480-ProductionData[[#This Row],[Downtime Minutes]]</f>
        <v>428</v>
      </c>
      <c r="U1309" s="11">
        <f t="shared" si="188"/>
        <v>1.0093457943925233</v>
      </c>
      <c r="V1309" s="18">
        <f>ProductionData[[#This Row],[Profit]]/ProductionData[[#This Row],[Good Units]]</f>
        <v>24.878048780487806</v>
      </c>
      <c r="W1309" s="11">
        <f>ProductionData[[#This Row],[Good Units]]/ProductionData[[#This Row],[Operating Minutes]]</f>
        <v>0.95794392523364491</v>
      </c>
    </row>
    <row r="1310" spans="1:23">
      <c r="A1310" s="7">
        <v>46349</v>
      </c>
      <c r="B1310" s="8" t="s">
        <v>32</v>
      </c>
      <c r="C1310" s="8" t="s">
        <v>27</v>
      </c>
      <c r="D1310" s="8" t="s">
        <v>21</v>
      </c>
      <c r="E1310" s="8" t="s">
        <v>26</v>
      </c>
      <c r="F1310" s="9">
        <v>510</v>
      </c>
      <c r="G1310" s="9">
        <v>444</v>
      </c>
      <c r="H1310" s="9">
        <v>22</v>
      </c>
      <c r="I1310" s="9">
        <f t="shared" si="180"/>
        <v>422</v>
      </c>
      <c r="J1310" s="9">
        <v>45</v>
      </c>
      <c r="K1310" s="10">
        <f t="shared" si="181"/>
        <v>9.375E-2</v>
      </c>
      <c r="L1310" s="17">
        <v>90</v>
      </c>
      <c r="M1310" s="17">
        <v>30800</v>
      </c>
      <c r="N1310" s="17">
        <f t="shared" si="182"/>
        <v>37980</v>
      </c>
      <c r="O1310" s="17">
        <f t="shared" si="183"/>
        <v>7180</v>
      </c>
      <c r="P1310" s="10">
        <f t="shared" si="184"/>
        <v>0.87058823529411766</v>
      </c>
      <c r="Q1310" s="10">
        <f t="shared" si="185"/>
        <v>4.954954954954955E-2</v>
      </c>
      <c r="R1310" s="10">
        <f t="shared" si="186"/>
        <v>0.18904686677198526</v>
      </c>
      <c r="S1310" s="18">
        <f t="shared" si="187"/>
        <v>72.985781990521332</v>
      </c>
      <c r="T1310" s="8">
        <f>480-ProductionData[[#This Row],[Downtime Minutes]]</f>
        <v>435</v>
      </c>
      <c r="U1310" s="11">
        <f t="shared" si="188"/>
        <v>1.0206896551724138</v>
      </c>
      <c r="V1310" s="18">
        <f>ProductionData[[#This Row],[Profit]]/ProductionData[[#This Row],[Good Units]]</f>
        <v>17.014218009478672</v>
      </c>
      <c r="W1310" s="11">
        <f>ProductionData[[#This Row],[Good Units]]/ProductionData[[#This Row],[Operating Minutes]]</f>
        <v>0.97011494252873565</v>
      </c>
    </row>
    <row r="1311" spans="1:23">
      <c r="A1311" s="7">
        <v>46349</v>
      </c>
      <c r="B1311" s="8" t="s">
        <v>32</v>
      </c>
      <c r="C1311" s="8" t="s">
        <v>27</v>
      </c>
      <c r="D1311" s="8" t="s">
        <v>23</v>
      </c>
      <c r="E1311" s="8" t="s">
        <v>22</v>
      </c>
      <c r="F1311" s="9">
        <v>430</v>
      </c>
      <c r="G1311" s="9">
        <v>376</v>
      </c>
      <c r="H1311" s="9">
        <v>27</v>
      </c>
      <c r="I1311" s="9">
        <f t="shared" si="180"/>
        <v>349</v>
      </c>
      <c r="J1311" s="9">
        <v>55</v>
      </c>
      <c r="K1311" s="10">
        <f t="shared" si="181"/>
        <v>0.11458333333333333</v>
      </c>
      <c r="L1311" s="17">
        <v>100</v>
      </c>
      <c r="M1311" s="17">
        <v>30800</v>
      </c>
      <c r="N1311" s="17">
        <f t="shared" si="182"/>
        <v>34900</v>
      </c>
      <c r="O1311" s="17">
        <f t="shared" si="183"/>
        <v>4100</v>
      </c>
      <c r="P1311" s="10">
        <f t="shared" si="184"/>
        <v>0.87441860465116283</v>
      </c>
      <c r="Q1311" s="10">
        <f t="shared" si="185"/>
        <v>7.1808510638297879E-2</v>
      </c>
      <c r="R1311" s="10">
        <f t="shared" si="186"/>
        <v>0.1174785100286533</v>
      </c>
      <c r="S1311" s="18">
        <f t="shared" si="187"/>
        <v>88.252148997134668</v>
      </c>
      <c r="T1311" s="8">
        <f>480-ProductionData[[#This Row],[Downtime Minutes]]</f>
        <v>425</v>
      </c>
      <c r="U1311" s="11">
        <f t="shared" si="188"/>
        <v>0.88470588235294123</v>
      </c>
      <c r="V1311" s="18">
        <f>ProductionData[[#This Row],[Profit]]/ProductionData[[#This Row],[Good Units]]</f>
        <v>11.74785100286533</v>
      </c>
      <c r="W1311" s="11">
        <f>ProductionData[[#This Row],[Good Units]]/ProductionData[[#This Row],[Operating Minutes]]</f>
        <v>0.82117647058823529</v>
      </c>
    </row>
    <row r="1312" spans="1:23">
      <c r="A1312" s="7">
        <v>46349</v>
      </c>
      <c r="B1312" s="8" t="s">
        <v>32</v>
      </c>
      <c r="C1312" s="8" t="s">
        <v>27</v>
      </c>
      <c r="D1312" s="8" t="s">
        <v>25</v>
      </c>
      <c r="E1312" s="8" t="s">
        <v>24</v>
      </c>
      <c r="F1312" s="9">
        <v>400</v>
      </c>
      <c r="G1312" s="9">
        <v>333</v>
      </c>
      <c r="H1312" s="9">
        <v>22</v>
      </c>
      <c r="I1312" s="9">
        <f t="shared" si="180"/>
        <v>311</v>
      </c>
      <c r="J1312" s="9">
        <v>53</v>
      </c>
      <c r="K1312" s="10">
        <f t="shared" si="181"/>
        <v>0.11041666666666666</v>
      </c>
      <c r="L1312" s="17">
        <v>120</v>
      </c>
      <c r="M1312" s="17">
        <v>30800</v>
      </c>
      <c r="N1312" s="17">
        <f t="shared" si="182"/>
        <v>37320</v>
      </c>
      <c r="O1312" s="17">
        <f t="shared" si="183"/>
        <v>6520</v>
      </c>
      <c r="P1312" s="10">
        <f t="shared" si="184"/>
        <v>0.83250000000000002</v>
      </c>
      <c r="Q1312" s="10">
        <f t="shared" si="185"/>
        <v>6.6066066066066062E-2</v>
      </c>
      <c r="R1312" s="10">
        <f t="shared" si="186"/>
        <v>0.17470525187566988</v>
      </c>
      <c r="S1312" s="18">
        <f t="shared" si="187"/>
        <v>99.035369774919616</v>
      </c>
      <c r="T1312" s="8">
        <f>480-ProductionData[[#This Row],[Downtime Minutes]]</f>
        <v>427</v>
      </c>
      <c r="U1312" s="11">
        <f t="shared" si="188"/>
        <v>0.77985948477751754</v>
      </c>
      <c r="V1312" s="18">
        <f>ProductionData[[#This Row],[Profit]]/ProductionData[[#This Row],[Good Units]]</f>
        <v>20.964630225080384</v>
      </c>
      <c r="W1312" s="11">
        <f>ProductionData[[#This Row],[Good Units]]/ProductionData[[#This Row],[Operating Minutes]]</f>
        <v>0.72833723653395788</v>
      </c>
    </row>
    <row r="1313" spans="1:23">
      <c r="A1313" s="7">
        <v>46349</v>
      </c>
      <c r="B1313" s="8" t="s">
        <v>32</v>
      </c>
      <c r="C1313" s="8" t="s">
        <v>28</v>
      </c>
      <c r="D1313" s="8" t="s">
        <v>21</v>
      </c>
      <c r="E1313" s="8" t="s">
        <v>22</v>
      </c>
      <c r="F1313" s="9">
        <v>460</v>
      </c>
      <c r="G1313" s="9">
        <v>438</v>
      </c>
      <c r="H1313" s="9">
        <v>13</v>
      </c>
      <c r="I1313" s="9">
        <f t="shared" si="180"/>
        <v>425</v>
      </c>
      <c r="J1313" s="9">
        <v>30</v>
      </c>
      <c r="K1313" s="10">
        <f t="shared" si="181"/>
        <v>6.25E-2</v>
      </c>
      <c r="L1313" s="17">
        <v>100</v>
      </c>
      <c r="M1313" s="17">
        <v>30800</v>
      </c>
      <c r="N1313" s="17">
        <f t="shared" si="182"/>
        <v>42500</v>
      </c>
      <c r="O1313" s="17">
        <f t="shared" si="183"/>
        <v>11700</v>
      </c>
      <c r="P1313" s="10">
        <f t="shared" si="184"/>
        <v>0.95217391304347831</v>
      </c>
      <c r="Q1313" s="10">
        <f t="shared" si="185"/>
        <v>2.9680365296803651E-2</v>
      </c>
      <c r="R1313" s="10">
        <f t="shared" si="186"/>
        <v>0.2752941176470588</v>
      </c>
      <c r="S1313" s="18">
        <f t="shared" si="187"/>
        <v>72.470588235294116</v>
      </c>
      <c r="T1313" s="8">
        <f>480-ProductionData[[#This Row],[Downtime Minutes]]</f>
        <v>450</v>
      </c>
      <c r="U1313" s="11">
        <f t="shared" si="188"/>
        <v>0.97333333333333338</v>
      </c>
      <c r="V1313" s="18">
        <f>ProductionData[[#This Row],[Profit]]/ProductionData[[#This Row],[Good Units]]</f>
        <v>27.529411764705884</v>
      </c>
      <c r="W1313" s="11">
        <f>ProductionData[[#This Row],[Good Units]]/ProductionData[[#This Row],[Operating Minutes]]</f>
        <v>0.94444444444444442</v>
      </c>
    </row>
    <row r="1314" spans="1:23">
      <c r="A1314" s="7">
        <v>46349</v>
      </c>
      <c r="B1314" s="8" t="s">
        <v>32</v>
      </c>
      <c r="C1314" s="8" t="s">
        <v>28</v>
      </c>
      <c r="D1314" s="8" t="s">
        <v>23</v>
      </c>
      <c r="E1314" s="8" t="s">
        <v>24</v>
      </c>
      <c r="F1314" s="9">
        <v>390</v>
      </c>
      <c r="G1314" s="9">
        <v>370</v>
      </c>
      <c r="H1314" s="9">
        <v>10</v>
      </c>
      <c r="I1314" s="9">
        <f t="shared" si="180"/>
        <v>360</v>
      </c>
      <c r="J1314" s="9">
        <v>39</v>
      </c>
      <c r="K1314" s="10">
        <f t="shared" si="181"/>
        <v>8.1250000000000003E-2</v>
      </c>
      <c r="L1314" s="17">
        <v>120</v>
      </c>
      <c r="M1314" s="17">
        <v>30800</v>
      </c>
      <c r="N1314" s="17">
        <f t="shared" si="182"/>
        <v>43200</v>
      </c>
      <c r="O1314" s="17">
        <f t="shared" si="183"/>
        <v>12400</v>
      </c>
      <c r="P1314" s="10">
        <f t="shared" si="184"/>
        <v>0.94871794871794868</v>
      </c>
      <c r="Q1314" s="10">
        <f t="shared" si="185"/>
        <v>2.7027027027027029E-2</v>
      </c>
      <c r="R1314" s="10">
        <f t="shared" si="186"/>
        <v>0.28703703703703703</v>
      </c>
      <c r="S1314" s="18">
        <f t="shared" si="187"/>
        <v>85.555555555555557</v>
      </c>
      <c r="T1314" s="8">
        <f>480-ProductionData[[#This Row],[Downtime Minutes]]</f>
        <v>441</v>
      </c>
      <c r="U1314" s="11">
        <f t="shared" si="188"/>
        <v>0.83900226757369611</v>
      </c>
      <c r="V1314" s="18">
        <f>ProductionData[[#This Row],[Profit]]/ProductionData[[#This Row],[Good Units]]</f>
        <v>34.444444444444443</v>
      </c>
      <c r="W1314" s="11">
        <f>ProductionData[[#This Row],[Good Units]]/ProductionData[[#This Row],[Operating Minutes]]</f>
        <v>0.81632653061224492</v>
      </c>
    </row>
    <row r="1315" spans="1:23">
      <c r="A1315" s="7">
        <v>46349</v>
      </c>
      <c r="B1315" s="8" t="s">
        <v>32</v>
      </c>
      <c r="C1315" s="8" t="s">
        <v>28</v>
      </c>
      <c r="D1315" s="8" t="s">
        <v>25</v>
      </c>
      <c r="E1315" s="8" t="s">
        <v>26</v>
      </c>
      <c r="F1315" s="9">
        <v>500</v>
      </c>
      <c r="G1315" s="9">
        <v>451</v>
      </c>
      <c r="H1315" s="9">
        <v>18</v>
      </c>
      <c r="I1315" s="9">
        <f t="shared" si="180"/>
        <v>433</v>
      </c>
      <c r="J1315" s="9">
        <v>18</v>
      </c>
      <c r="K1315" s="10">
        <f t="shared" si="181"/>
        <v>3.7499999999999999E-2</v>
      </c>
      <c r="L1315" s="17">
        <v>90</v>
      </c>
      <c r="M1315" s="17">
        <v>30800</v>
      </c>
      <c r="N1315" s="17">
        <f t="shared" si="182"/>
        <v>38970</v>
      </c>
      <c r="O1315" s="17">
        <f t="shared" si="183"/>
        <v>8170</v>
      </c>
      <c r="P1315" s="10">
        <f t="shared" si="184"/>
        <v>0.90200000000000002</v>
      </c>
      <c r="Q1315" s="10">
        <f t="shared" si="185"/>
        <v>3.9911308203991129E-2</v>
      </c>
      <c r="R1315" s="10">
        <f t="shared" si="186"/>
        <v>0.20964844752373621</v>
      </c>
      <c r="S1315" s="18">
        <f t="shared" si="187"/>
        <v>71.131639722863738</v>
      </c>
      <c r="T1315" s="8">
        <f>480-ProductionData[[#This Row],[Downtime Minutes]]</f>
        <v>462</v>
      </c>
      <c r="U1315" s="11">
        <f t="shared" si="188"/>
        <v>0.97619047619047616</v>
      </c>
      <c r="V1315" s="18">
        <f>ProductionData[[#This Row],[Profit]]/ProductionData[[#This Row],[Good Units]]</f>
        <v>18.868360277136258</v>
      </c>
      <c r="W1315" s="11">
        <f>ProductionData[[#This Row],[Good Units]]/ProductionData[[#This Row],[Operating Minutes]]</f>
        <v>0.93722943722943719</v>
      </c>
    </row>
    <row r="1316" spans="1:23">
      <c r="A1316" s="7">
        <v>46350</v>
      </c>
      <c r="B1316" s="8" t="s">
        <v>32</v>
      </c>
      <c r="C1316" s="8" t="s">
        <v>20</v>
      </c>
      <c r="D1316" s="8" t="s">
        <v>21</v>
      </c>
      <c r="E1316" s="8" t="s">
        <v>26</v>
      </c>
      <c r="F1316" s="9">
        <v>520</v>
      </c>
      <c r="G1316" s="9">
        <v>477</v>
      </c>
      <c r="H1316" s="9">
        <v>14</v>
      </c>
      <c r="I1316" s="9">
        <f t="shared" si="180"/>
        <v>463</v>
      </c>
      <c r="J1316" s="9">
        <v>33</v>
      </c>
      <c r="K1316" s="10">
        <f t="shared" si="181"/>
        <v>6.8750000000000006E-2</v>
      </c>
      <c r="L1316" s="17">
        <v>90</v>
      </c>
      <c r="M1316" s="17">
        <v>30800</v>
      </c>
      <c r="N1316" s="17">
        <f t="shared" si="182"/>
        <v>41670</v>
      </c>
      <c r="O1316" s="17">
        <f t="shared" si="183"/>
        <v>10870</v>
      </c>
      <c r="P1316" s="10">
        <f t="shared" si="184"/>
        <v>0.91730769230769227</v>
      </c>
      <c r="Q1316" s="10">
        <f t="shared" si="185"/>
        <v>2.9350104821802937E-2</v>
      </c>
      <c r="R1316" s="10">
        <f t="shared" si="186"/>
        <v>0.26085913126949845</v>
      </c>
      <c r="S1316" s="18">
        <f t="shared" si="187"/>
        <v>66.522678185745136</v>
      </c>
      <c r="T1316" s="8">
        <f>480-ProductionData[[#This Row],[Downtime Minutes]]</f>
        <v>447</v>
      </c>
      <c r="U1316" s="11">
        <f t="shared" si="188"/>
        <v>1.0671140939597314</v>
      </c>
      <c r="V1316" s="18">
        <f>ProductionData[[#This Row],[Profit]]/ProductionData[[#This Row],[Good Units]]</f>
        <v>23.477321814254861</v>
      </c>
      <c r="W1316" s="11">
        <f>ProductionData[[#This Row],[Good Units]]/ProductionData[[#This Row],[Operating Minutes]]</f>
        <v>1.0357941834451903</v>
      </c>
    </row>
    <row r="1317" spans="1:23">
      <c r="A1317" s="7">
        <v>46350</v>
      </c>
      <c r="B1317" s="8" t="s">
        <v>32</v>
      </c>
      <c r="C1317" s="8" t="s">
        <v>20</v>
      </c>
      <c r="D1317" s="8" t="s">
        <v>23</v>
      </c>
      <c r="E1317" s="8" t="s">
        <v>22</v>
      </c>
      <c r="F1317" s="9">
        <v>430</v>
      </c>
      <c r="G1317" s="9">
        <v>404</v>
      </c>
      <c r="H1317" s="9">
        <v>18</v>
      </c>
      <c r="I1317" s="9">
        <f t="shared" si="180"/>
        <v>386</v>
      </c>
      <c r="J1317" s="9">
        <v>44</v>
      </c>
      <c r="K1317" s="10">
        <f t="shared" si="181"/>
        <v>9.166666666666666E-2</v>
      </c>
      <c r="L1317" s="17">
        <v>100</v>
      </c>
      <c r="M1317" s="17">
        <v>30800</v>
      </c>
      <c r="N1317" s="17">
        <f t="shared" si="182"/>
        <v>38600</v>
      </c>
      <c r="O1317" s="17">
        <f t="shared" si="183"/>
        <v>7800</v>
      </c>
      <c r="P1317" s="10">
        <f t="shared" si="184"/>
        <v>0.93953488372093019</v>
      </c>
      <c r="Q1317" s="10">
        <f t="shared" si="185"/>
        <v>4.4554455445544552E-2</v>
      </c>
      <c r="R1317" s="10">
        <f t="shared" si="186"/>
        <v>0.20207253886010362</v>
      </c>
      <c r="S1317" s="18">
        <f t="shared" si="187"/>
        <v>79.792746113989637</v>
      </c>
      <c r="T1317" s="8">
        <f>480-ProductionData[[#This Row],[Downtime Minutes]]</f>
        <v>436</v>
      </c>
      <c r="U1317" s="11">
        <f t="shared" si="188"/>
        <v>0.92660550458715596</v>
      </c>
      <c r="V1317" s="18">
        <f>ProductionData[[#This Row],[Profit]]/ProductionData[[#This Row],[Good Units]]</f>
        <v>20.207253886010363</v>
      </c>
      <c r="W1317" s="11">
        <f>ProductionData[[#This Row],[Good Units]]/ProductionData[[#This Row],[Operating Minutes]]</f>
        <v>0.88532110091743121</v>
      </c>
    </row>
    <row r="1318" spans="1:23">
      <c r="A1318" s="7">
        <v>46350</v>
      </c>
      <c r="B1318" s="8" t="s">
        <v>32</v>
      </c>
      <c r="C1318" s="8" t="s">
        <v>20</v>
      </c>
      <c r="D1318" s="8" t="s">
        <v>25</v>
      </c>
      <c r="E1318" s="8" t="s">
        <v>24</v>
      </c>
      <c r="F1318" s="9">
        <v>410</v>
      </c>
      <c r="G1318" s="9">
        <v>357</v>
      </c>
      <c r="H1318" s="9">
        <v>14</v>
      </c>
      <c r="I1318" s="9">
        <f t="shared" si="180"/>
        <v>343</v>
      </c>
      <c r="J1318" s="9">
        <v>55</v>
      </c>
      <c r="K1318" s="10">
        <f t="shared" si="181"/>
        <v>0.11458333333333333</v>
      </c>
      <c r="L1318" s="17">
        <v>120</v>
      </c>
      <c r="M1318" s="17">
        <v>30800</v>
      </c>
      <c r="N1318" s="17">
        <f t="shared" si="182"/>
        <v>41160</v>
      </c>
      <c r="O1318" s="17">
        <f t="shared" si="183"/>
        <v>10360</v>
      </c>
      <c r="P1318" s="10">
        <f t="shared" si="184"/>
        <v>0.87073170731707317</v>
      </c>
      <c r="Q1318" s="10">
        <f t="shared" si="185"/>
        <v>3.9215686274509803E-2</v>
      </c>
      <c r="R1318" s="10">
        <f t="shared" si="186"/>
        <v>0.25170068027210885</v>
      </c>
      <c r="S1318" s="18">
        <f t="shared" si="187"/>
        <v>89.795918367346943</v>
      </c>
      <c r="T1318" s="8">
        <f>480-ProductionData[[#This Row],[Downtime Minutes]]</f>
        <v>425</v>
      </c>
      <c r="U1318" s="11">
        <f t="shared" si="188"/>
        <v>0.84</v>
      </c>
      <c r="V1318" s="18">
        <f>ProductionData[[#This Row],[Profit]]/ProductionData[[#This Row],[Good Units]]</f>
        <v>30.204081632653061</v>
      </c>
      <c r="W1318" s="11">
        <f>ProductionData[[#This Row],[Good Units]]/ProductionData[[#This Row],[Operating Minutes]]</f>
        <v>0.80705882352941172</v>
      </c>
    </row>
    <row r="1319" spans="1:23">
      <c r="A1319" s="7">
        <v>46350</v>
      </c>
      <c r="B1319" s="8" t="s">
        <v>32</v>
      </c>
      <c r="C1319" s="8" t="s">
        <v>27</v>
      </c>
      <c r="D1319" s="8" t="s">
        <v>21</v>
      </c>
      <c r="E1319" s="8" t="s">
        <v>22</v>
      </c>
      <c r="F1319" s="9">
        <v>460</v>
      </c>
      <c r="G1319" s="9">
        <v>406</v>
      </c>
      <c r="H1319" s="9">
        <v>27</v>
      </c>
      <c r="I1319" s="9">
        <f t="shared" si="180"/>
        <v>379</v>
      </c>
      <c r="J1319" s="9">
        <v>52</v>
      </c>
      <c r="K1319" s="10">
        <f t="shared" si="181"/>
        <v>0.10833333333333334</v>
      </c>
      <c r="L1319" s="17">
        <v>100</v>
      </c>
      <c r="M1319" s="17">
        <v>30800</v>
      </c>
      <c r="N1319" s="17">
        <f t="shared" si="182"/>
        <v>37900</v>
      </c>
      <c r="O1319" s="17">
        <f t="shared" si="183"/>
        <v>7100</v>
      </c>
      <c r="P1319" s="10">
        <f t="shared" si="184"/>
        <v>0.88260869565217392</v>
      </c>
      <c r="Q1319" s="10">
        <f t="shared" si="185"/>
        <v>6.6502463054187194E-2</v>
      </c>
      <c r="R1319" s="10">
        <f t="shared" si="186"/>
        <v>0.18733509234828497</v>
      </c>
      <c r="S1319" s="18">
        <f t="shared" si="187"/>
        <v>81.266490765171497</v>
      </c>
      <c r="T1319" s="8">
        <f>480-ProductionData[[#This Row],[Downtime Minutes]]</f>
        <v>428</v>
      </c>
      <c r="U1319" s="11">
        <f t="shared" si="188"/>
        <v>0.94859813084112155</v>
      </c>
      <c r="V1319" s="18">
        <f>ProductionData[[#This Row],[Profit]]/ProductionData[[#This Row],[Good Units]]</f>
        <v>18.733509234828496</v>
      </c>
      <c r="W1319" s="11">
        <f>ProductionData[[#This Row],[Good Units]]/ProductionData[[#This Row],[Operating Minutes]]</f>
        <v>0.88551401869158874</v>
      </c>
    </row>
    <row r="1320" spans="1:23">
      <c r="A1320" s="7">
        <v>46350</v>
      </c>
      <c r="B1320" s="8" t="s">
        <v>32</v>
      </c>
      <c r="C1320" s="8" t="s">
        <v>27</v>
      </c>
      <c r="D1320" s="8" t="s">
        <v>23</v>
      </c>
      <c r="E1320" s="8" t="s">
        <v>24</v>
      </c>
      <c r="F1320" s="9">
        <v>400</v>
      </c>
      <c r="G1320" s="9">
        <v>355</v>
      </c>
      <c r="H1320" s="9">
        <v>20</v>
      </c>
      <c r="I1320" s="9">
        <f t="shared" si="180"/>
        <v>335</v>
      </c>
      <c r="J1320" s="9">
        <v>45</v>
      </c>
      <c r="K1320" s="10">
        <f t="shared" si="181"/>
        <v>9.375E-2</v>
      </c>
      <c r="L1320" s="17">
        <v>120</v>
      </c>
      <c r="M1320" s="17">
        <v>30800</v>
      </c>
      <c r="N1320" s="17">
        <f t="shared" si="182"/>
        <v>40200</v>
      </c>
      <c r="O1320" s="17">
        <f t="shared" si="183"/>
        <v>9400</v>
      </c>
      <c r="P1320" s="10">
        <f t="shared" si="184"/>
        <v>0.88749999999999996</v>
      </c>
      <c r="Q1320" s="10">
        <f t="shared" si="185"/>
        <v>5.6338028169014086E-2</v>
      </c>
      <c r="R1320" s="10">
        <f t="shared" si="186"/>
        <v>0.23383084577114427</v>
      </c>
      <c r="S1320" s="18">
        <f t="shared" si="187"/>
        <v>91.940298507462686</v>
      </c>
      <c r="T1320" s="8">
        <f>480-ProductionData[[#This Row],[Downtime Minutes]]</f>
        <v>435</v>
      </c>
      <c r="U1320" s="11">
        <f t="shared" si="188"/>
        <v>0.81609195402298851</v>
      </c>
      <c r="V1320" s="18">
        <f>ProductionData[[#This Row],[Profit]]/ProductionData[[#This Row],[Good Units]]</f>
        <v>28.059701492537314</v>
      </c>
      <c r="W1320" s="11">
        <f>ProductionData[[#This Row],[Good Units]]/ProductionData[[#This Row],[Operating Minutes]]</f>
        <v>0.77011494252873558</v>
      </c>
    </row>
    <row r="1321" spans="1:23">
      <c r="A1321" s="7">
        <v>46350</v>
      </c>
      <c r="B1321" s="8" t="s">
        <v>32</v>
      </c>
      <c r="C1321" s="8" t="s">
        <v>27</v>
      </c>
      <c r="D1321" s="8" t="s">
        <v>25</v>
      </c>
      <c r="E1321" s="8" t="s">
        <v>26</v>
      </c>
      <c r="F1321" s="9">
        <v>520</v>
      </c>
      <c r="G1321" s="9">
        <v>436</v>
      </c>
      <c r="H1321" s="9">
        <v>24</v>
      </c>
      <c r="I1321" s="9">
        <f t="shared" si="180"/>
        <v>412</v>
      </c>
      <c r="J1321" s="9">
        <v>57</v>
      </c>
      <c r="K1321" s="10">
        <f t="shared" si="181"/>
        <v>0.11874999999999999</v>
      </c>
      <c r="L1321" s="17">
        <v>90</v>
      </c>
      <c r="M1321" s="17">
        <v>30800</v>
      </c>
      <c r="N1321" s="17">
        <f t="shared" si="182"/>
        <v>37080</v>
      </c>
      <c r="O1321" s="17">
        <f t="shared" si="183"/>
        <v>6280</v>
      </c>
      <c r="P1321" s="10">
        <f t="shared" si="184"/>
        <v>0.83846153846153848</v>
      </c>
      <c r="Q1321" s="10">
        <f t="shared" si="185"/>
        <v>5.5045871559633031E-2</v>
      </c>
      <c r="R1321" s="10">
        <f t="shared" si="186"/>
        <v>0.16936353829557713</v>
      </c>
      <c r="S1321" s="18">
        <f t="shared" si="187"/>
        <v>74.757281553398059</v>
      </c>
      <c r="T1321" s="8">
        <f>480-ProductionData[[#This Row],[Downtime Minutes]]</f>
        <v>423</v>
      </c>
      <c r="U1321" s="11">
        <f t="shared" si="188"/>
        <v>1.0307328605200945</v>
      </c>
      <c r="V1321" s="18">
        <f>ProductionData[[#This Row],[Profit]]/ProductionData[[#This Row],[Good Units]]</f>
        <v>15.242718446601941</v>
      </c>
      <c r="W1321" s="11">
        <f>ProductionData[[#This Row],[Good Units]]/ProductionData[[#This Row],[Operating Minutes]]</f>
        <v>0.97399527186761226</v>
      </c>
    </row>
    <row r="1322" spans="1:23">
      <c r="A1322" s="7">
        <v>46350</v>
      </c>
      <c r="B1322" s="8" t="s">
        <v>32</v>
      </c>
      <c r="C1322" s="8" t="s">
        <v>28</v>
      </c>
      <c r="D1322" s="8" t="s">
        <v>21</v>
      </c>
      <c r="E1322" s="8" t="s">
        <v>24</v>
      </c>
      <c r="F1322" s="9">
        <v>410</v>
      </c>
      <c r="G1322" s="9">
        <v>396</v>
      </c>
      <c r="H1322" s="9">
        <v>9</v>
      </c>
      <c r="I1322" s="9">
        <f t="shared" si="180"/>
        <v>387</v>
      </c>
      <c r="J1322" s="9">
        <v>16</v>
      </c>
      <c r="K1322" s="10">
        <f t="shared" si="181"/>
        <v>3.3333333333333333E-2</v>
      </c>
      <c r="L1322" s="17">
        <v>120</v>
      </c>
      <c r="M1322" s="17">
        <v>30800</v>
      </c>
      <c r="N1322" s="17">
        <f t="shared" si="182"/>
        <v>46440</v>
      </c>
      <c r="O1322" s="17">
        <f t="shared" si="183"/>
        <v>15640</v>
      </c>
      <c r="P1322" s="10">
        <f t="shared" si="184"/>
        <v>0.96585365853658534</v>
      </c>
      <c r="Q1322" s="10">
        <f t="shared" si="185"/>
        <v>2.2727272727272728E-2</v>
      </c>
      <c r="R1322" s="10">
        <f t="shared" si="186"/>
        <v>0.33677863910422051</v>
      </c>
      <c r="S1322" s="18">
        <f t="shared" si="187"/>
        <v>79.586563307493535</v>
      </c>
      <c r="T1322" s="8">
        <f>480-ProductionData[[#This Row],[Downtime Minutes]]</f>
        <v>464</v>
      </c>
      <c r="U1322" s="11">
        <f t="shared" si="188"/>
        <v>0.85344827586206895</v>
      </c>
      <c r="V1322" s="18">
        <f>ProductionData[[#This Row],[Profit]]/ProductionData[[#This Row],[Good Units]]</f>
        <v>40.413436692506458</v>
      </c>
      <c r="W1322" s="11">
        <f>ProductionData[[#This Row],[Good Units]]/ProductionData[[#This Row],[Operating Minutes]]</f>
        <v>0.83405172413793105</v>
      </c>
    </row>
    <row r="1323" spans="1:23">
      <c r="A1323" s="7">
        <v>46350</v>
      </c>
      <c r="B1323" s="8" t="s">
        <v>32</v>
      </c>
      <c r="C1323" s="8" t="s">
        <v>28</v>
      </c>
      <c r="D1323" s="8" t="s">
        <v>23</v>
      </c>
      <c r="E1323" s="8" t="s">
        <v>26</v>
      </c>
      <c r="F1323" s="9">
        <v>500</v>
      </c>
      <c r="G1323" s="9">
        <v>470</v>
      </c>
      <c r="H1323" s="9">
        <v>18</v>
      </c>
      <c r="I1323" s="9">
        <f t="shared" si="180"/>
        <v>452</v>
      </c>
      <c r="J1323" s="9">
        <v>28</v>
      </c>
      <c r="K1323" s="10">
        <f t="shared" si="181"/>
        <v>5.8333333333333334E-2</v>
      </c>
      <c r="L1323" s="17">
        <v>90</v>
      </c>
      <c r="M1323" s="17">
        <v>30800</v>
      </c>
      <c r="N1323" s="17">
        <f t="shared" si="182"/>
        <v>40680</v>
      </c>
      <c r="O1323" s="17">
        <f t="shared" si="183"/>
        <v>9880</v>
      </c>
      <c r="P1323" s="10">
        <f t="shared" si="184"/>
        <v>0.94</v>
      </c>
      <c r="Q1323" s="10">
        <f t="shared" si="185"/>
        <v>3.8297872340425532E-2</v>
      </c>
      <c r="R1323" s="10">
        <f t="shared" si="186"/>
        <v>0.24287118977384464</v>
      </c>
      <c r="S1323" s="18">
        <f t="shared" si="187"/>
        <v>68.141592920353986</v>
      </c>
      <c r="T1323" s="8">
        <f>480-ProductionData[[#This Row],[Downtime Minutes]]</f>
        <v>452</v>
      </c>
      <c r="U1323" s="11">
        <f t="shared" si="188"/>
        <v>1.0398230088495575</v>
      </c>
      <c r="V1323" s="18">
        <f>ProductionData[[#This Row],[Profit]]/ProductionData[[#This Row],[Good Units]]</f>
        <v>21.858407079646017</v>
      </c>
      <c r="W1323" s="11">
        <f>ProductionData[[#This Row],[Good Units]]/ProductionData[[#This Row],[Operating Minutes]]</f>
        <v>1</v>
      </c>
    </row>
    <row r="1324" spans="1:23">
      <c r="A1324" s="7">
        <v>46350</v>
      </c>
      <c r="B1324" s="8" t="s">
        <v>32</v>
      </c>
      <c r="C1324" s="8" t="s">
        <v>28</v>
      </c>
      <c r="D1324" s="8" t="s">
        <v>25</v>
      </c>
      <c r="E1324" s="8" t="s">
        <v>22</v>
      </c>
      <c r="F1324" s="9">
        <v>450</v>
      </c>
      <c r="G1324" s="9">
        <v>402</v>
      </c>
      <c r="H1324" s="9">
        <v>20</v>
      </c>
      <c r="I1324" s="9">
        <f t="shared" si="180"/>
        <v>382</v>
      </c>
      <c r="J1324" s="9">
        <v>42</v>
      </c>
      <c r="K1324" s="10">
        <f t="shared" si="181"/>
        <v>8.7499999999999994E-2</v>
      </c>
      <c r="L1324" s="17">
        <v>100</v>
      </c>
      <c r="M1324" s="17">
        <v>30800</v>
      </c>
      <c r="N1324" s="17">
        <f t="shared" si="182"/>
        <v>38200</v>
      </c>
      <c r="O1324" s="17">
        <f t="shared" si="183"/>
        <v>7400</v>
      </c>
      <c r="P1324" s="10">
        <f t="shared" si="184"/>
        <v>0.89333333333333331</v>
      </c>
      <c r="Q1324" s="10">
        <f t="shared" si="185"/>
        <v>4.975124378109453E-2</v>
      </c>
      <c r="R1324" s="10">
        <f t="shared" si="186"/>
        <v>0.193717277486911</v>
      </c>
      <c r="S1324" s="18">
        <f t="shared" si="187"/>
        <v>80.6282722513089</v>
      </c>
      <c r="T1324" s="8">
        <f>480-ProductionData[[#This Row],[Downtime Minutes]]</f>
        <v>438</v>
      </c>
      <c r="U1324" s="11">
        <f t="shared" si="188"/>
        <v>0.9178082191780822</v>
      </c>
      <c r="V1324" s="18">
        <f>ProductionData[[#This Row],[Profit]]/ProductionData[[#This Row],[Good Units]]</f>
        <v>19.3717277486911</v>
      </c>
      <c r="W1324" s="11">
        <f>ProductionData[[#This Row],[Good Units]]/ProductionData[[#This Row],[Operating Minutes]]</f>
        <v>0.87214611872146119</v>
      </c>
    </row>
    <row r="1325" spans="1:23">
      <c r="A1325" s="7">
        <v>46351</v>
      </c>
      <c r="B1325" s="8" t="s">
        <v>32</v>
      </c>
      <c r="C1325" s="8" t="s">
        <v>20</v>
      </c>
      <c r="D1325" s="8" t="s">
        <v>21</v>
      </c>
      <c r="E1325" s="8" t="s">
        <v>22</v>
      </c>
      <c r="F1325" s="9">
        <v>430</v>
      </c>
      <c r="G1325" s="9">
        <v>401</v>
      </c>
      <c r="H1325" s="9">
        <v>19</v>
      </c>
      <c r="I1325" s="9">
        <f t="shared" si="180"/>
        <v>382</v>
      </c>
      <c r="J1325" s="9">
        <v>45</v>
      </c>
      <c r="K1325" s="10">
        <f t="shared" si="181"/>
        <v>9.375E-2</v>
      </c>
      <c r="L1325" s="17">
        <v>100</v>
      </c>
      <c r="M1325" s="17">
        <v>30800</v>
      </c>
      <c r="N1325" s="17">
        <f t="shared" si="182"/>
        <v>38200</v>
      </c>
      <c r="O1325" s="17">
        <f t="shared" si="183"/>
        <v>7400</v>
      </c>
      <c r="P1325" s="10">
        <f t="shared" si="184"/>
        <v>0.93255813953488376</v>
      </c>
      <c r="Q1325" s="10">
        <f t="shared" si="185"/>
        <v>4.738154613466334E-2</v>
      </c>
      <c r="R1325" s="10">
        <f t="shared" si="186"/>
        <v>0.193717277486911</v>
      </c>
      <c r="S1325" s="18">
        <f t="shared" si="187"/>
        <v>80.6282722513089</v>
      </c>
      <c r="T1325" s="8">
        <f>480-ProductionData[[#This Row],[Downtime Minutes]]</f>
        <v>435</v>
      </c>
      <c r="U1325" s="11">
        <f t="shared" si="188"/>
        <v>0.92183908045977014</v>
      </c>
      <c r="V1325" s="18">
        <f>ProductionData[[#This Row],[Profit]]/ProductionData[[#This Row],[Good Units]]</f>
        <v>19.3717277486911</v>
      </c>
      <c r="W1325" s="11">
        <f>ProductionData[[#This Row],[Good Units]]/ProductionData[[#This Row],[Operating Minutes]]</f>
        <v>0.8781609195402299</v>
      </c>
    </row>
    <row r="1326" spans="1:23">
      <c r="A1326" s="7">
        <v>46351</v>
      </c>
      <c r="B1326" s="8" t="s">
        <v>32</v>
      </c>
      <c r="C1326" s="8" t="s">
        <v>20</v>
      </c>
      <c r="D1326" s="8" t="s">
        <v>23</v>
      </c>
      <c r="E1326" s="8" t="s">
        <v>24</v>
      </c>
      <c r="F1326" s="9">
        <v>400</v>
      </c>
      <c r="G1326" s="9">
        <v>379</v>
      </c>
      <c r="H1326" s="9">
        <v>10</v>
      </c>
      <c r="I1326" s="9">
        <f t="shared" si="180"/>
        <v>369</v>
      </c>
      <c r="J1326" s="9">
        <v>35</v>
      </c>
      <c r="K1326" s="10">
        <f t="shared" si="181"/>
        <v>7.2916666666666671E-2</v>
      </c>
      <c r="L1326" s="17">
        <v>120</v>
      </c>
      <c r="M1326" s="17">
        <v>30800</v>
      </c>
      <c r="N1326" s="17">
        <f t="shared" si="182"/>
        <v>44280</v>
      </c>
      <c r="O1326" s="17">
        <f t="shared" si="183"/>
        <v>13480</v>
      </c>
      <c r="P1326" s="10">
        <f t="shared" si="184"/>
        <v>0.94750000000000001</v>
      </c>
      <c r="Q1326" s="10">
        <f t="shared" si="185"/>
        <v>2.6385224274406333E-2</v>
      </c>
      <c r="R1326" s="10">
        <f t="shared" si="186"/>
        <v>0.30442637759710928</v>
      </c>
      <c r="S1326" s="18">
        <f t="shared" si="187"/>
        <v>83.468834688346888</v>
      </c>
      <c r="T1326" s="8">
        <f>480-ProductionData[[#This Row],[Downtime Minutes]]</f>
        <v>445</v>
      </c>
      <c r="U1326" s="11">
        <f t="shared" si="188"/>
        <v>0.85168539325842696</v>
      </c>
      <c r="V1326" s="18">
        <f>ProductionData[[#This Row],[Profit]]/ProductionData[[#This Row],[Good Units]]</f>
        <v>36.531165311653119</v>
      </c>
      <c r="W1326" s="11">
        <f>ProductionData[[#This Row],[Good Units]]/ProductionData[[#This Row],[Operating Minutes]]</f>
        <v>0.82921348314606746</v>
      </c>
    </row>
    <row r="1327" spans="1:23">
      <c r="A1327" s="7">
        <v>46351</v>
      </c>
      <c r="B1327" s="8" t="s">
        <v>32</v>
      </c>
      <c r="C1327" s="8" t="s">
        <v>20</v>
      </c>
      <c r="D1327" s="8" t="s">
        <v>25</v>
      </c>
      <c r="E1327" s="8" t="s">
        <v>26</v>
      </c>
      <c r="F1327" s="9">
        <v>500</v>
      </c>
      <c r="G1327" s="9">
        <v>455</v>
      </c>
      <c r="H1327" s="9">
        <v>22</v>
      </c>
      <c r="I1327" s="9">
        <f t="shared" si="180"/>
        <v>433</v>
      </c>
      <c r="J1327" s="9">
        <v>50</v>
      </c>
      <c r="K1327" s="10">
        <f t="shared" si="181"/>
        <v>0.10416666666666667</v>
      </c>
      <c r="L1327" s="17">
        <v>90</v>
      </c>
      <c r="M1327" s="17">
        <v>30800</v>
      </c>
      <c r="N1327" s="17">
        <f t="shared" si="182"/>
        <v>38970</v>
      </c>
      <c r="O1327" s="17">
        <f t="shared" si="183"/>
        <v>8170</v>
      </c>
      <c r="P1327" s="10">
        <f t="shared" si="184"/>
        <v>0.91</v>
      </c>
      <c r="Q1327" s="10">
        <f t="shared" si="185"/>
        <v>4.8351648351648353E-2</v>
      </c>
      <c r="R1327" s="10">
        <f t="shared" si="186"/>
        <v>0.20964844752373621</v>
      </c>
      <c r="S1327" s="18">
        <f t="shared" si="187"/>
        <v>71.131639722863738</v>
      </c>
      <c r="T1327" s="8">
        <f>480-ProductionData[[#This Row],[Downtime Minutes]]</f>
        <v>430</v>
      </c>
      <c r="U1327" s="11">
        <f t="shared" si="188"/>
        <v>1.058139534883721</v>
      </c>
      <c r="V1327" s="18">
        <f>ProductionData[[#This Row],[Profit]]/ProductionData[[#This Row],[Good Units]]</f>
        <v>18.868360277136258</v>
      </c>
      <c r="W1327" s="11">
        <f>ProductionData[[#This Row],[Good Units]]/ProductionData[[#This Row],[Operating Minutes]]</f>
        <v>1.0069767441860464</v>
      </c>
    </row>
    <row r="1328" spans="1:23">
      <c r="A1328" s="7">
        <v>46351</v>
      </c>
      <c r="B1328" s="8" t="s">
        <v>32</v>
      </c>
      <c r="C1328" s="8" t="s">
        <v>27</v>
      </c>
      <c r="D1328" s="8" t="s">
        <v>21</v>
      </c>
      <c r="E1328" s="8" t="s">
        <v>24</v>
      </c>
      <c r="F1328" s="9">
        <v>410</v>
      </c>
      <c r="G1328" s="9">
        <v>370</v>
      </c>
      <c r="H1328" s="9">
        <v>19</v>
      </c>
      <c r="I1328" s="9">
        <f t="shared" si="180"/>
        <v>351</v>
      </c>
      <c r="J1328" s="9">
        <v>60</v>
      </c>
      <c r="K1328" s="10">
        <f t="shared" si="181"/>
        <v>0.125</v>
      </c>
      <c r="L1328" s="17">
        <v>120</v>
      </c>
      <c r="M1328" s="17">
        <v>30800</v>
      </c>
      <c r="N1328" s="17">
        <f t="shared" si="182"/>
        <v>42120</v>
      </c>
      <c r="O1328" s="17">
        <f t="shared" si="183"/>
        <v>11320</v>
      </c>
      <c r="P1328" s="10">
        <f t="shared" si="184"/>
        <v>0.90243902439024393</v>
      </c>
      <c r="Q1328" s="10">
        <f t="shared" si="185"/>
        <v>5.1351351351351354E-2</v>
      </c>
      <c r="R1328" s="10">
        <f t="shared" si="186"/>
        <v>0.26875593542260207</v>
      </c>
      <c r="S1328" s="18">
        <f t="shared" si="187"/>
        <v>87.749287749287745</v>
      </c>
      <c r="T1328" s="8">
        <f>480-ProductionData[[#This Row],[Downtime Minutes]]</f>
        <v>420</v>
      </c>
      <c r="U1328" s="11">
        <f t="shared" si="188"/>
        <v>0.88095238095238093</v>
      </c>
      <c r="V1328" s="18">
        <f>ProductionData[[#This Row],[Profit]]/ProductionData[[#This Row],[Good Units]]</f>
        <v>32.250712250712247</v>
      </c>
      <c r="W1328" s="11">
        <f>ProductionData[[#This Row],[Good Units]]/ProductionData[[#This Row],[Operating Minutes]]</f>
        <v>0.83571428571428574</v>
      </c>
    </row>
    <row r="1329" spans="1:23">
      <c r="A1329" s="7">
        <v>46351</v>
      </c>
      <c r="B1329" s="8" t="s">
        <v>32</v>
      </c>
      <c r="C1329" s="8" t="s">
        <v>27</v>
      </c>
      <c r="D1329" s="8" t="s">
        <v>23</v>
      </c>
      <c r="E1329" s="8" t="s">
        <v>26</v>
      </c>
      <c r="F1329" s="9">
        <v>490</v>
      </c>
      <c r="G1329" s="9">
        <v>443</v>
      </c>
      <c r="H1329" s="9">
        <v>24</v>
      </c>
      <c r="I1329" s="9">
        <f t="shared" si="180"/>
        <v>419</v>
      </c>
      <c r="J1329" s="9">
        <v>51</v>
      </c>
      <c r="K1329" s="10">
        <f t="shared" si="181"/>
        <v>0.10625</v>
      </c>
      <c r="L1329" s="17">
        <v>90</v>
      </c>
      <c r="M1329" s="17">
        <v>30800</v>
      </c>
      <c r="N1329" s="17">
        <f t="shared" si="182"/>
        <v>37710</v>
      </c>
      <c r="O1329" s="17">
        <f t="shared" si="183"/>
        <v>6910</v>
      </c>
      <c r="P1329" s="10">
        <f t="shared" si="184"/>
        <v>0.90408163265306118</v>
      </c>
      <c r="Q1329" s="10">
        <f t="shared" si="185"/>
        <v>5.4176072234762979E-2</v>
      </c>
      <c r="R1329" s="10">
        <f t="shared" si="186"/>
        <v>0.18324051975603289</v>
      </c>
      <c r="S1329" s="18">
        <f t="shared" si="187"/>
        <v>73.508353221957037</v>
      </c>
      <c r="T1329" s="8">
        <f>480-ProductionData[[#This Row],[Downtime Minutes]]</f>
        <v>429</v>
      </c>
      <c r="U1329" s="11">
        <f t="shared" si="188"/>
        <v>1.0326340326340326</v>
      </c>
      <c r="V1329" s="18">
        <f>ProductionData[[#This Row],[Profit]]/ProductionData[[#This Row],[Good Units]]</f>
        <v>16.491646778042959</v>
      </c>
      <c r="W1329" s="11">
        <f>ProductionData[[#This Row],[Good Units]]/ProductionData[[#This Row],[Operating Minutes]]</f>
        <v>0.9766899766899767</v>
      </c>
    </row>
    <row r="1330" spans="1:23">
      <c r="A1330" s="7">
        <v>46351</v>
      </c>
      <c r="B1330" s="8" t="s">
        <v>32</v>
      </c>
      <c r="C1330" s="8" t="s">
        <v>27</v>
      </c>
      <c r="D1330" s="8" t="s">
        <v>25</v>
      </c>
      <c r="E1330" s="8" t="s">
        <v>22</v>
      </c>
      <c r="F1330" s="9">
        <v>430</v>
      </c>
      <c r="G1330" s="9">
        <v>362</v>
      </c>
      <c r="H1330" s="9">
        <v>27</v>
      </c>
      <c r="I1330" s="9">
        <f t="shared" si="180"/>
        <v>335</v>
      </c>
      <c r="J1330" s="9">
        <v>70</v>
      </c>
      <c r="K1330" s="10">
        <f t="shared" si="181"/>
        <v>0.14583333333333334</v>
      </c>
      <c r="L1330" s="17">
        <v>100</v>
      </c>
      <c r="M1330" s="17">
        <v>30800</v>
      </c>
      <c r="N1330" s="17">
        <f t="shared" si="182"/>
        <v>33500</v>
      </c>
      <c r="O1330" s="17">
        <f t="shared" si="183"/>
        <v>2700</v>
      </c>
      <c r="P1330" s="10">
        <f t="shared" si="184"/>
        <v>0.8418604651162791</v>
      </c>
      <c r="Q1330" s="10">
        <f t="shared" si="185"/>
        <v>7.4585635359116026E-2</v>
      </c>
      <c r="R1330" s="10">
        <f t="shared" si="186"/>
        <v>8.0597014925373134E-2</v>
      </c>
      <c r="S1330" s="18">
        <f t="shared" si="187"/>
        <v>91.940298507462686</v>
      </c>
      <c r="T1330" s="8">
        <f>480-ProductionData[[#This Row],[Downtime Minutes]]</f>
        <v>410</v>
      </c>
      <c r="U1330" s="11">
        <f t="shared" si="188"/>
        <v>0.88292682926829269</v>
      </c>
      <c r="V1330" s="18">
        <f>ProductionData[[#This Row],[Profit]]/ProductionData[[#This Row],[Good Units]]</f>
        <v>8.0597014925373127</v>
      </c>
      <c r="W1330" s="11">
        <f>ProductionData[[#This Row],[Good Units]]/ProductionData[[#This Row],[Operating Minutes]]</f>
        <v>0.81707317073170727</v>
      </c>
    </row>
    <row r="1331" spans="1:23">
      <c r="A1331" s="7">
        <v>46351</v>
      </c>
      <c r="B1331" s="8" t="s">
        <v>32</v>
      </c>
      <c r="C1331" s="8" t="s">
        <v>28</v>
      </c>
      <c r="D1331" s="8" t="s">
        <v>21</v>
      </c>
      <c r="E1331" s="8" t="s">
        <v>26</v>
      </c>
      <c r="F1331" s="9">
        <v>510</v>
      </c>
      <c r="G1331" s="9">
        <v>489</v>
      </c>
      <c r="H1331" s="9">
        <v>13</v>
      </c>
      <c r="I1331" s="9">
        <f t="shared" si="180"/>
        <v>476</v>
      </c>
      <c r="J1331" s="9">
        <v>22</v>
      </c>
      <c r="K1331" s="10">
        <f t="shared" si="181"/>
        <v>4.583333333333333E-2</v>
      </c>
      <c r="L1331" s="17">
        <v>90</v>
      </c>
      <c r="M1331" s="17">
        <v>30800</v>
      </c>
      <c r="N1331" s="17">
        <f t="shared" si="182"/>
        <v>42840</v>
      </c>
      <c r="O1331" s="17">
        <f t="shared" si="183"/>
        <v>12040</v>
      </c>
      <c r="P1331" s="10">
        <f t="shared" si="184"/>
        <v>0.95882352941176474</v>
      </c>
      <c r="Q1331" s="10">
        <f t="shared" si="185"/>
        <v>2.6584867075664622E-2</v>
      </c>
      <c r="R1331" s="10">
        <f t="shared" si="186"/>
        <v>0.28104575163398693</v>
      </c>
      <c r="S1331" s="18">
        <f t="shared" si="187"/>
        <v>64.705882352941174</v>
      </c>
      <c r="T1331" s="8">
        <f>480-ProductionData[[#This Row],[Downtime Minutes]]</f>
        <v>458</v>
      </c>
      <c r="U1331" s="11">
        <f t="shared" si="188"/>
        <v>1.0676855895196506</v>
      </c>
      <c r="V1331" s="18">
        <f>ProductionData[[#This Row],[Profit]]/ProductionData[[#This Row],[Good Units]]</f>
        <v>25.294117647058822</v>
      </c>
      <c r="W1331" s="11">
        <f>ProductionData[[#This Row],[Good Units]]/ProductionData[[#This Row],[Operating Minutes]]</f>
        <v>1.0393013100436681</v>
      </c>
    </row>
    <row r="1332" spans="1:23">
      <c r="A1332" s="7">
        <v>46351</v>
      </c>
      <c r="B1332" s="8" t="s">
        <v>32</v>
      </c>
      <c r="C1332" s="8" t="s">
        <v>28</v>
      </c>
      <c r="D1332" s="8" t="s">
        <v>23</v>
      </c>
      <c r="E1332" s="8" t="s">
        <v>22</v>
      </c>
      <c r="F1332" s="9">
        <v>450</v>
      </c>
      <c r="G1332" s="9">
        <v>424</v>
      </c>
      <c r="H1332" s="9">
        <v>19</v>
      </c>
      <c r="I1332" s="9">
        <f t="shared" si="180"/>
        <v>405</v>
      </c>
      <c r="J1332" s="9">
        <v>44</v>
      </c>
      <c r="K1332" s="10">
        <f t="shared" si="181"/>
        <v>9.166666666666666E-2</v>
      </c>
      <c r="L1332" s="17">
        <v>100</v>
      </c>
      <c r="M1332" s="17">
        <v>30800</v>
      </c>
      <c r="N1332" s="17">
        <f t="shared" si="182"/>
        <v>40500</v>
      </c>
      <c r="O1332" s="17">
        <f t="shared" si="183"/>
        <v>9700</v>
      </c>
      <c r="P1332" s="10">
        <f t="shared" si="184"/>
        <v>0.94222222222222218</v>
      </c>
      <c r="Q1332" s="10">
        <f t="shared" si="185"/>
        <v>4.4811320754716978E-2</v>
      </c>
      <c r="R1332" s="10">
        <f t="shared" si="186"/>
        <v>0.23950617283950618</v>
      </c>
      <c r="S1332" s="18">
        <f t="shared" si="187"/>
        <v>76.049382716049379</v>
      </c>
      <c r="T1332" s="8">
        <f>480-ProductionData[[#This Row],[Downtime Minutes]]</f>
        <v>436</v>
      </c>
      <c r="U1332" s="11">
        <f t="shared" si="188"/>
        <v>0.97247706422018354</v>
      </c>
      <c r="V1332" s="18">
        <f>ProductionData[[#This Row],[Profit]]/ProductionData[[#This Row],[Good Units]]</f>
        <v>23.950617283950617</v>
      </c>
      <c r="W1332" s="11">
        <f>ProductionData[[#This Row],[Good Units]]/ProductionData[[#This Row],[Operating Minutes]]</f>
        <v>0.92889908256880738</v>
      </c>
    </row>
    <row r="1333" spans="1:23">
      <c r="A1333" s="7">
        <v>46351</v>
      </c>
      <c r="B1333" s="8" t="s">
        <v>32</v>
      </c>
      <c r="C1333" s="8" t="s">
        <v>28</v>
      </c>
      <c r="D1333" s="8" t="s">
        <v>25</v>
      </c>
      <c r="E1333" s="8" t="s">
        <v>24</v>
      </c>
      <c r="F1333" s="9">
        <v>390</v>
      </c>
      <c r="G1333" s="9">
        <v>368</v>
      </c>
      <c r="H1333" s="9">
        <v>10</v>
      </c>
      <c r="I1333" s="9">
        <f t="shared" si="180"/>
        <v>358</v>
      </c>
      <c r="J1333" s="9">
        <v>35</v>
      </c>
      <c r="K1333" s="10">
        <f t="shared" si="181"/>
        <v>7.2916666666666671E-2</v>
      </c>
      <c r="L1333" s="17">
        <v>120</v>
      </c>
      <c r="M1333" s="17">
        <v>30800</v>
      </c>
      <c r="N1333" s="17">
        <f t="shared" si="182"/>
        <v>42960</v>
      </c>
      <c r="O1333" s="17">
        <f t="shared" si="183"/>
        <v>12160</v>
      </c>
      <c r="P1333" s="10">
        <f t="shared" si="184"/>
        <v>0.94358974358974357</v>
      </c>
      <c r="Q1333" s="10">
        <f t="shared" si="185"/>
        <v>2.717391304347826E-2</v>
      </c>
      <c r="R1333" s="10">
        <f t="shared" si="186"/>
        <v>0.28305400372439476</v>
      </c>
      <c r="S1333" s="18">
        <f t="shared" si="187"/>
        <v>86.033519553072622</v>
      </c>
      <c r="T1333" s="8">
        <f>480-ProductionData[[#This Row],[Downtime Minutes]]</f>
        <v>445</v>
      </c>
      <c r="U1333" s="11">
        <f t="shared" si="188"/>
        <v>0.82696629213483142</v>
      </c>
      <c r="V1333" s="18">
        <f>ProductionData[[#This Row],[Profit]]/ProductionData[[#This Row],[Good Units]]</f>
        <v>33.966480446927378</v>
      </c>
      <c r="W1333" s="11">
        <f>ProductionData[[#This Row],[Good Units]]/ProductionData[[#This Row],[Operating Minutes]]</f>
        <v>0.80449438202247192</v>
      </c>
    </row>
    <row r="1334" spans="1:23">
      <c r="A1334" s="7">
        <v>46352</v>
      </c>
      <c r="B1334" s="8" t="s">
        <v>32</v>
      </c>
      <c r="C1334" s="8" t="s">
        <v>20</v>
      </c>
      <c r="D1334" s="8" t="s">
        <v>21</v>
      </c>
      <c r="E1334" s="8" t="s">
        <v>24</v>
      </c>
      <c r="F1334" s="9">
        <v>390</v>
      </c>
      <c r="G1334" s="9">
        <v>378</v>
      </c>
      <c r="H1334" s="9">
        <v>8</v>
      </c>
      <c r="I1334" s="9">
        <f t="shared" si="180"/>
        <v>370</v>
      </c>
      <c r="J1334" s="9">
        <v>26</v>
      </c>
      <c r="K1334" s="10">
        <f t="shared" si="181"/>
        <v>5.4166666666666669E-2</v>
      </c>
      <c r="L1334" s="17">
        <v>120</v>
      </c>
      <c r="M1334" s="17">
        <v>30800</v>
      </c>
      <c r="N1334" s="17">
        <f t="shared" si="182"/>
        <v>44400</v>
      </c>
      <c r="O1334" s="17">
        <f t="shared" si="183"/>
        <v>13600</v>
      </c>
      <c r="P1334" s="10">
        <f t="shared" si="184"/>
        <v>0.96923076923076923</v>
      </c>
      <c r="Q1334" s="10">
        <f t="shared" si="185"/>
        <v>2.1164021164021163E-2</v>
      </c>
      <c r="R1334" s="10">
        <f t="shared" si="186"/>
        <v>0.30630630630630629</v>
      </c>
      <c r="S1334" s="18">
        <f t="shared" si="187"/>
        <v>83.243243243243242</v>
      </c>
      <c r="T1334" s="8">
        <f>480-ProductionData[[#This Row],[Downtime Minutes]]</f>
        <v>454</v>
      </c>
      <c r="U1334" s="11">
        <f t="shared" si="188"/>
        <v>0.83259911894273131</v>
      </c>
      <c r="V1334" s="18">
        <f>ProductionData[[#This Row],[Profit]]/ProductionData[[#This Row],[Good Units]]</f>
        <v>36.756756756756758</v>
      </c>
      <c r="W1334" s="11">
        <f>ProductionData[[#This Row],[Good Units]]/ProductionData[[#This Row],[Operating Minutes]]</f>
        <v>0.81497797356828194</v>
      </c>
    </row>
    <row r="1335" spans="1:23">
      <c r="A1335" s="7">
        <v>46352</v>
      </c>
      <c r="B1335" s="8" t="s">
        <v>32</v>
      </c>
      <c r="C1335" s="8" t="s">
        <v>20</v>
      </c>
      <c r="D1335" s="8" t="s">
        <v>23</v>
      </c>
      <c r="E1335" s="8" t="s">
        <v>26</v>
      </c>
      <c r="F1335" s="9">
        <v>510</v>
      </c>
      <c r="G1335" s="9">
        <v>475</v>
      </c>
      <c r="H1335" s="9">
        <v>20</v>
      </c>
      <c r="I1335" s="9">
        <f t="shared" si="180"/>
        <v>455</v>
      </c>
      <c r="J1335" s="9">
        <v>36</v>
      </c>
      <c r="K1335" s="10">
        <f t="shared" si="181"/>
        <v>7.4999999999999997E-2</v>
      </c>
      <c r="L1335" s="17">
        <v>90</v>
      </c>
      <c r="M1335" s="17">
        <v>30800</v>
      </c>
      <c r="N1335" s="17">
        <f t="shared" si="182"/>
        <v>40950</v>
      </c>
      <c r="O1335" s="17">
        <f t="shared" si="183"/>
        <v>10150</v>
      </c>
      <c r="P1335" s="10">
        <f t="shared" si="184"/>
        <v>0.93137254901960786</v>
      </c>
      <c r="Q1335" s="10">
        <f t="shared" si="185"/>
        <v>4.2105263157894736E-2</v>
      </c>
      <c r="R1335" s="10">
        <f t="shared" si="186"/>
        <v>0.24786324786324787</v>
      </c>
      <c r="S1335" s="18">
        <f t="shared" si="187"/>
        <v>67.692307692307693</v>
      </c>
      <c r="T1335" s="8">
        <f>480-ProductionData[[#This Row],[Downtime Minutes]]</f>
        <v>444</v>
      </c>
      <c r="U1335" s="11">
        <f t="shared" si="188"/>
        <v>1.0698198198198199</v>
      </c>
      <c r="V1335" s="18">
        <f>ProductionData[[#This Row],[Profit]]/ProductionData[[#This Row],[Good Units]]</f>
        <v>22.307692307692307</v>
      </c>
      <c r="W1335" s="11">
        <f>ProductionData[[#This Row],[Good Units]]/ProductionData[[#This Row],[Operating Minutes]]</f>
        <v>1.0247747747747749</v>
      </c>
    </row>
    <row r="1336" spans="1:23">
      <c r="A1336" s="7">
        <v>46352</v>
      </c>
      <c r="B1336" s="8" t="s">
        <v>32</v>
      </c>
      <c r="C1336" s="8" t="s">
        <v>20</v>
      </c>
      <c r="D1336" s="8" t="s">
        <v>25</v>
      </c>
      <c r="E1336" s="8" t="s">
        <v>22</v>
      </c>
      <c r="F1336" s="9">
        <v>430</v>
      </c>
      <c r="G1336" s="9">
        <v>386</v>
      </c>
      <c r="H1336" s="9">
        <v>23</v>
      </c>
      <c r="I1336" s="9">
        <f t="shared" si="180"/>
        <v>363</v>
      </c>
      <c r="J1336" s="9">
        <v>40</v>
      </c>
      <c r="K1336" s="10">
        <f t="shared" si="181"/>
        <v>8.3333333333333329E-2</v>
      </c>
      <c r="L1336" s="17">
        <v>100</v>
      </c>
      <c r="M1336" s="17">
        <v>30800</v>
      </c>
      <c r="N1336" s="17">
        <f t="shared" si="182"/>
        <v>36300</v>
      </c>
      <c r="O1336" s="17">
        <f t="shared" si="183"/>
        <v>5500</v>
      </c>
      <c r="P1336" s="10">
        <f t="shared" si="184"/>
        <v>0.89767441860465114</v>
      </c>
      <c r="Q1336" s="10">
        <f t="shared" si="185"/>
        <v>5.9585492227979271E-2</v>
      </c>
      <c r="R1336" s="10">
        <f t="shared" si="186"/>
        <v>0.15151515151515152</v>
      </c>
      <c r="S1336" s="18">
        <f t="shared" si="187"/>
        <v>84.848484848484844</v>
      </c>
      <c r="T1336" s="8">
        <f>480-ProductionData[[#This Row],[Downtime Minutes]]</f>
        <v>440</v>
      </c>
      <c r="U1336" s="11">
        <f t="shared" si="188"/>
        <v>0.87727272727272732</v>
      </c>
      <c r="V1336" s="18">
        <f>ProductionData[[#This Row],[Profit]]/ProductionData[[#This Row],[Good Units]]</f>
        <v>15.151515151515152</v>
      </c>
      <c r="W1336" s="11">
        <f>ProductionData[[#This Row],[Good Units]]/ProductionData[[#This Row],[Operating Minutes]]</f>
        <v>0.82499999999999996</v>
      </c>
    </row>
    <row r="1337" spans="1:23">
      <c r="A1337" s="7">
        <v>46352</v>
      </c>
      <c r="B1337" s="8" t="s">
        <v>32</v>
      </c>
      <c r="C1337" s="8" t="s">
        <v>27</v>
      </c>
      <c r="D1337" s="8" t="s">
        <v>21</v>
      </c>
      <c r="E1337" s="8" t="s">
        <v>26</v>
      </c>
      <c r="F1337" s="9">
        <v>490</v>
      </c>
      <c r="G1337" s="9">
        <v>435</v>
      </c>
      <c r="H1337" s="9">
        <v>23</v>
      </c>
      <c r="I1337" s="9">
        <f t="shared" si="180"/>
        <v>412</v>
      </c>
      <c r="J1337" s="9">
        <v>40</v>
      </c>
      <c r="K1337" s="10">
        <f t="shared" si="181"/>
        <v>8.3333333333333329E-2</v>
      </c>
      <c r="L1337" s="17">
        <v>90</v>
      </c>
      <c r="M1337" s="17">
        <v>30800</v>
      </c>
      <c r="N1337" s="17">
        <f t="shared" si="182"/>
        <v>37080</v>
      </c>
      <c r="O1337" s="17">
        <f t="shared" si="183"/>
        <v>6280</v>
      </c>
      <c r="P1337" s="10">
        <f t="shared" si="184"/>
        <v>0.88775510204081631</v>
      </c>
      <c r="Q1337" s="10">
        <f t="shared" si="185"/>
        <v>5.2873563218390804E-2</v>
      </c>
      <c r="R1337" s="10">
        <f t="shared" si="186"/>
        <v>0.16936353829557713</v>
      </c>
      <c r="S1337" s="18">
        <f t="shared" si="187"/>
        <v>74.757281553398059</v>
      </c>
      <c r="T1337" s="8">
        <f>480-ProductionData[[#This Row],[Downtime Minutes]]</f>
        <v>440</v>
      </c>
      <c r="U1337" s="11">
        <f t="shared" si="188"/>
        <v>0.98863636363636365</v>
      </c>
      <c r="V1337" s="18">
        <f>ProductionData[[#This Row],[Profit]]/ProductionData[[#This Row],[Good Units]]</f>
        <v>15.242718446601941</v>
      </c>
      <c r="W1337" s="11">
        <f>ProductionData[[#This Row],[Good Units]]/ProductionData[[#This Row],[Operating Minutes]]</f>
        <v>0.9363636363636364</v>
      </c>
    </row>
    <row r="1338" spans="1:23">
      <c r="A1338" s="7">
        <v>46352</v>
      </c>
      <c r="B1338" s="8" t="s">
        <v>32</v>
      </c>
      <c r="C1338" s="8" t="s">
        <v>27</v>
      </c>
      <c r="D1338" s="8" t="s">
        <v>23</v>
      </c>
      <c r="E1338" s="8" t="s">
        <v>22</v>
      </c>
      <c r="F1338" s="9">
        <v>430</v>
      </c>
      <c r="G1338" s="9">
        <v>389</v>
      </c>
      <c r="H1338" s="9">
        <v>24</v>
      </c>
      <c r="I1338" s="9">
        <f t="shared" si="180"/>
        <v>365</v>
      </c>
      <c r="J1338" s="9">
        <v>64</v>
      </c>
      <c r="K1338" s="10">
        <f t="shared" si="181"/>
        <v>0.13333333333333333</v>
      </c>
      <c r="L1338" s="17">
        <v>100</v>
      </c>
      <c r="M1338" s="17">
        <v>30800</v>
      </c>
      <c r="N1338" s="17">
        <f t="shared" si="182"/>
        <v>36500</v>
      </c>
      <c r="O1338" s="17">
        <f t="shared" si="183"/>
        <v>5700</v>
      </c>
      <c r="P1338" s="10">
        <f t="shared" si="184"/>
        <v>0.90465116279069768</v>
      </c>
      <c r="Q1338" s="10">
        <f t="shared" si="185"/>
        <v>6.1696658097686374E-2</v>
      </c>
      <c r="R1338" s="10">
        <f t="shared" si="186"/>
        <v>0.15616438356164383</v>
      </c>
      <c r="S1338" s="18">
        <f t="shared" si="187"/>
        <v>84.38356164383562</v>
      </c>
      <c r="T1338" s="8">
        <f>480-ProductionData[[#This Row],[Downtime Minutes]]</f>
        <v>416</v>
      </c>
      <c r="U1338" s="11">
        <f t="shared" si="188"/>
        <v>0.93509615384615385</v>
      </c>
      <c r="V1338" s="18">
        <f>ProductionData[[#This Row],[Profit]]/ProductionData[[#This Row],[Good Units]]</f>
        <v>15.616438356164384</v>
      </c>
      <c r="W1338" s="11">
        <f>ProductionData[[#This Row],[Good Units]]/ProductionData[[#This Row],[Operating Minutes]]</f>
        <v>0.87740384615384615</v>
      </c>
    </row>
    <row r="1339" spans="1:23">
      <c r="A1339" s="7">
        <v>46352</v>
      </c>
      <c r="B1339" s="8" t="s">
        <v>32</v>
      </c>
      <c r="C1339" s="8" t="s">
        <v>27</v>
      </c>
      <c r="D1339" s="8" t="s">
        <v>25</v>
      </c>
      <c r="E1339" s="8" t="s">
        <v>24</v>
      </c>
      <c r="F1339" s="9">
        <v>390</v>
      </c>
      <c r="G1339" s="9">
        <v>334</v>
      </c>
      <c r="H1339" s="9">
        <v>21</v>
      </c>
      <c r="I1339" s="9">
        <f t="shared" si="180"/>
        <v>313</v>
      </c>
      <c r="J1339" s="9">
        <v>59</v>
      </c>
      <c r="K1339" s="10">
        <f t="shared" si="181"/>
        <v>0.12291666666666666</v>
      </c>
      <c r="L1339" s="17">
        <v>120</v>
      </c>
      <c r="M1339" s="17">
        <v>30800</v>
      </c>
      <c r="N1339" s="17">
        <f t="shared" si="182"/>
        <v>37560</v>
      </c>
      <c r="O1339" s="17">
        <f t="shared" si="183"/>
        <v>6760</v>
      </c>
      <c r="P1339" s="10">
        <f t="shared" si="184"/>
        <v>0.85641025641025637</v>
      </c>
      <c r="Q1339" s="10">
        <f t="shared" si="185"/>
        <v>6.2874251497005984E-2</v>
      </c>
      <c r="R1339" s="10">
        <f t="shared" si="186"/>
        <v>0.1799787007454739</v>
      </c>
      <c r="S1339" s="18">
        <f t="shared" si="187"/>
        <v>98.402555910543128</v>
      </c>
      <c r="T1339" s="8">
        <f>480-ProductionData[[#This Row],[Downtime Minutes]]</f>
        <v>421</v>
      </c>
      <c r="U1339" s="11">
        <f t="shared" si="188"/>
        <v>0.79334916864608074</v>
      </c>
      <c r="V1339" s="18">
        <f>ProductionData[[#This Row],[Profit]]/ProductionData[[#This Row],[Good Units]]</f>
        <v>21.597444089456868</v>
      </c>
      <c r="W1339" s="11">
        <f>ProductionData[[#This Row],[Good Units]]/ProductionData[[#This Row],[Operating Minutes]]</f>
        <v>0.74346793349168649</v>
      </c>
    </row>
    <row r="1340" spans="1:23">
      <c r="A1340" s="7">
        <v>46352</v>
      </c>
      <c r="B1340" s="8" t="s">
        <v>32</v>
      </c>
      <c r="C1340" s="8" t="s">
        <v>28</v>
      </c>
      <c r="D1340" s="8" t="s">
        <v>21</v>
      </c>
      <c r="E1340" s="8" t="s">
        <v>22</v>
      </c>
      <c r="F1340" s="9">
        <v>450</v>
      </c>
      <c r="G1340" s="9">
        <v>438</v>
      </c>
      <c r="H1340" s="9">
        <v>19</v>
      </c>
      <c r="I1340" s="9">
        <f t="shared" si="180"/>
        <v>419</v>
      </c>
      <c r="J1340" s="9">
        <v>29</v>
      </c>
      <c r="K1340" s="10">
        <f t="shared" si="181"/>
        <v>6.0416666666666667E-2</v>
      </c>
      <c r="L1340" s="17">
        <v>100</v>
      </c>
      <c r="M1340" s="17">
        <v>30800</v>
      </c>
      <c r="N1340" s="17">
        <f t="shared" si="182"/>
        <v>41900</v>
      </c>
      <c r="O1340" s="17">
        <f t="shared" si="183"/>
        <v>11100</v>
      </c>
      <c r="P1340" s="10">
        <f t="shared" si="184"/>
        <v>0.97333333333333338</v>
      </c>
      <c r="Q1340" s="10">
        <f t="shared" si="185"/>
        <v>4.3378995433789952E-2</v>
      </c>
      <c r="R1340" s="10">
        <f t="shared" si="186"/>
        <v>0.2649164677804296</v>
      </c>
      <c r="S1340" s="18">
        <f t="shared" si="187"/>
        <v>73.508353221957037</v>
      </c>
      <c r="T1340" s="8">
        <f>480-ProductionData[[#This Row],[Downtime Minutes]]</f>
        <v>451</v>
      </c>
      <c r="U1340" s="11">
        <f t="shared" si="188"/>
        <v>0.97117516629711753</v>
      </c>
      <c r="V1340" s="18">
        <f>ProductionData[[#This Row],[Profit]]/ProductionData[[#This Row],[Good Units]]</f>
        <v>26.491646778042959</v>
      </c>
      <c r="W1340" s="11">
        <f>ProductionData[[#This Row],[Good Units]]/ProductionData[[#This Row],[Operating Minutes]]</f>
        <v>0.92904656319290468</v>
      </c>
    </row>
    <row r="1341" spans="1:23">
      <c r="A1341" s="7">
        <v>46352</v>
      </c>
      <c r="B1341" s="8" t="s">
        <v>32</v>
      </c>
      <c r="C1341" s="8" t="s">
        <v>28</v>
      </c>
      <c r="D1341" s="8" t="s">
        <v>23</v>
      </c>
      <c r="E1341" s="8" t="s">
        <v>24</v>
      </c>
      <c r="F1341" s="9">
        <v>390</v>
      </c>
      <c r="G1341" s="9">
        <v>362</v>
      </c>
      <c r="H1341" s="9">
        <v>11</v>
      </c>
      <c r="I1341" s="9">
        <f t="shared" si="180"/>
        <v>351</v>
      </c>
      <c r="J1341" s="9">
        <v>22</v>
      </c>
      <c r="K1341" s="10">
        <f t="shared" si="181"/>
        <v>4.583333333333333E-2</v>
      </c>
      <c r="L1341" s="17">
        <v>120</v>
      </c>
      <c r="M1341" s="17">
        <v>30800</v>
      </c>
      <c r="N1341" s="17">
        <f t="shared" si="182"/>
        <v>42120</v>
      </c>
      <c r="O1341" s="17">
        <f t="shared" si="183"/>
        <v>11320</v>
      </c>
      <c r="P1341" s="10">
        <f t="shared" si="184"/>
        <v>0.92820512820512824</v>
      </c>
      <c r="Q1341" s="10">
        <f t="shared" si="185"/>
        <v>3.0386740331491711E-2</v>
      </c>
      <c r="R1341" s="10">
        <f t="shared" si="186"/>
        <v>0.26875593542260207</v>
      </c>
      <c r="S1341" s="18">
        <f t="shared" si="187"/>
        <v>87.749287749287745</v>
      </c>
      <c r="T1341" s="8">
        <f>480-ProductionData[[#This Row],[Downtime Minutes]]</f>
        <v>458</v>
      </c>
      <c r="U1341" s="11">
        <f t="shared" si="188"/>
        <v>0.79039301310043664</v>
      </c>
      <c r="V1341" s="18">
        <f>ProductionData[[#This Row],[Profit]]/ProductionData[[#This Row],[Good Units]]</f>
        <v>32.250712250712247</v>
      </c>
      <c r="W1341" s="11">
        <f>ProductionData[[#This Row],[Good Units]]/ProductionData[[#This Row],[Operating Minutes]]</f>
        <v>0.76637554585152834</v>
      </c>
    </row>
    <row r="1342" spans="1:23">
      <c r="A1342" s="7">
        <v>46352</v>
      </c>
      <c r="B1342" s="8" t="s">
        <v>32</v>
      </c>
      <c r="C1342" s="8" t="s">
        <v>28</v>
      </c>
      <c r="D1342" s="8" t="s">
        <v>25</v>
      </c>
      <c r="E1342" s="8" t="s">
        <v>26</v>
      </c>
      <c r="F1342" s="9">
        <v>490</v>
      </c>
      <c r="G1342" s="9">
        <v>448</v>
      </c>
      <c r="H1342" s="9">
        <v>16</v>
      </c>
      <c r="I1342" s="9">
        <f t="shared" si="180"/>
        <v>432</v>
      </c>
      <c r="J1342" s="9">
        <v>19</v>
      </c>
      <c r="K1342" s="10">
        <f t="shared" si="181"/>
        <v>3.9583333333333331E-2</v>
      </c>
      <c r="L1342" s="17">
        <v>90</v>
      </c>
      <c r="M1342" s="17">
        <v>30800</v>
      </c>
      <c r="N1342" s="17">
        <f t="shared" si="182"/>
        <v>38880</v>
      </c>
      <c r="O1342" s="17">
        <f t="shared" si="183"/>
        <v>8080</v>
      </c>
      <c r="P1342" s="10">
        <f t="shared" si="184"/>
        <v>0.91428571428571426</v>
      </c>
      <c r="Q1342" s="10">
        <f t="shared" si="185"/>
        <v>3.5714285714285712E-2</v>
      </c>
      <c r="R1342" s="10">
        <f t="shared" si="186"/>
        <v>0.20781893004115226</v>
      </c>
      <c r="S1342" s="18">
        <f t="shared" si="187"/>
        <v>71.296296296296291</v>
      </c>
      <c r="T1342" s="8">
        <f>480-ProductionData[[#This Row],[Downtime Minutes]]</f>
        <v>461</v>
      </c>
      <c r="U1342" s="11">
        <f t="shared" si="188"/>
        <v>0.97180043383947934</v>
      </c>
      <c r="V1342" s="18">
        <f>ProductionData[[#This Row],[Profit]]/ProductionData[[#This Row],[Good Units]]</f>
        <v>18.703703703703702</v>
      </c>
      <c r="W1342" s="11">
        <f>ProductionData[[#This Row],[Good Units]]/ProductionData[[#This Row],[Operating Minutes]]</f>
        <v>0.93709327548806942</v>
      </c>
    </row>
    <row r="1343" spans="1:23">
      <c r="A1343" s="7">
        <v>46353</v>
      </c>
      <c r="B1343" s="8" t="s">
        <v>32</v>
      </c>
      <c r="C1343" s="8" t="s">
        <v>20</v>
      </c>
      <c r="D1343" s="8" t="s">
        <v>21</v>
      </c>
      <c r="E1343" s="8" t="s">
        <v>26</v>
      </c>
      <c r="F1343" s="9">
        <v>490</v>
      </c>
      <c r="G1343" s="9">
        <v>461</v>
      </c>
      <c r="H1343" s="9">
        <v>12</v>
      </c>
      <c r="I1343" s="9">
        <f t="shared" si="180"/>
        <v>449</v>
      </c>
      <c r="J1343" s="9">
        <v>18</v>
      </c>
      <c r="K1343" s="10">
        <f t="shared" si="181"/>
        <v>3.7499999999999999E-2</v>
      </c>
      <c r="L1343" s="17">
        <v>90</v>
      </c>
      <c r="M1343" s="17">
        <v>30800</v>
      </c>
      <c r="N1343" s="17">
        <f t="shared" si="182"/>
        <v>40410</v>
      </c>
      <c r="O1343" s="17">
        <f t="shared" si="183"/>
        <v>9610</v>
      </c>
      <c r="P1343" s="10">
        <f t="shared" si="184"/>
        <v>0.9408163265306122</v>
      </c>
      <c r="Q1343" s="10">
        <f t="shared" si="185"/>
        <v>2.6030368763557483E-2</v>
      </c>
      <c r="R1343" s="10">
        <f t="shared" si="186"/>
        <v>0.23781242266765651</v>
      </c>
      <c r="S1343" s="18">
        <f t="shared" si="187"/>
        <v>68.596881959910917</v>
      </c>
      <c r="T1343" s="8">
        <f>480-ProductionData[[#This Row],[Downtime Minutes]]</f>
        <v>462</v>
      </c>
      <c r="U1343" s="11">
        <f t="shared" si="188"/>
        <v>0.99783549783549785</v>
      </c>
      <c r="V1343" s="18">
        <f>ProductionData[[#This Row],[Profit]]/ProductionData[[#This Row],[Good Units]]</f>
        <v>21.403118040089087</v>
      </c>
      <c r="W1343" s="11">
        <f>ProductionData[[#This Row],[Good Units]]/ProductionData[[#This Row],[Operating Minutes]]</f>
        <v>0.97186147186147187</v>
      </c>
    </row>
    <row r="1344" spans="1:23">
      <c r="A1344" s="7">
        <v>46353</v>
      </c>
      <c r="B1344" s="8" t="s">
        <v>32</v>
      </c>
      <c r="C1344" s="8" t="s">
        <v>20</v>
      </c>
      <c r="D1344" s="8" t="s">
        <v>23</v>
      </c>
      <c r="E1344" s="8" t="s">
        <v>22</v>
      </c>
      <c r="F1344" s="9">
        <v>440</v>
      </c>
      <c r="G1344" s="9">
        <v>423</v>
      </c>
      <c r="H1344" s="9">
        <v>23</v>
      </c>
      <c r="I1344" s="9">
        <f t="shared" si="180"/>
        <v>400</v>
      </c>
      <c r="J1344" s="9">
        <v>52</v>
      </c>
      <c r="K1344" s="10">
        <f t="shared" si="181"/>
        <v>0.10833333333333334</v>
      </c>
      <c r="L1344" s="17">
        <v>100</v>
      </c>
      <c r="M1344" s="17">
        <v>30800</v>
      </c>
      <c r="N1344" s="17">
        <f t="shared" si="182"/>
        <v>40000</v>
      </c>
      <c r="O1344" s="17">
        <f t="shared" si="183"/>
        <v>9200</v>
      </c>
      <c r="P1344" s="10">
        <f t="shared" si="184"/>
        <v>0.96136363636363631</v>
      </c>
      <c r="Q1344" s="10">
        <f t="shared" si="185"/>
        <v>5.4373522458628844E-2</v>
      </c>
      <c r="R1344" s="10">
        <f t="shared" si="186"/>
        <v>0.23</v>
      </c>
      <c r="S1344" s="18">
        <f t="shared" si="187"/>
        <v>77</v>
      </c>
      <c r="T1344" s="8">
        <f>480-ProductionData[[#This Row],[Downtime Minutes]]</f>
        <v>428</v>
      </c>
      <c r="U1344" s="11">
        <f t="shared" si="188"/>
        <v>0.98831775700934577</v>
      </c>
      <c r="V1344" s="18">
        <f>ProductionData[[#This Row],[Profit]]/ProductionData[[#This Row],[Good Units]]</f>
        <v>23</v>
      </c>
      <c r="W1344" s="11">
        <f>ProductionData[[#This Row],[Good Units]]/ProductionData[[#This Row],[Operating Minutes]]</f>
        <v>0.93457943925233644</v>
      </c>
    </row>
    <row r="1345" spans="1:23">
      <c r="A1345" s="7">
        <v>46353</v>
      </c>
      <c r="B1345" s="8" t="s">
        <v>32</v>
      </c>
      <c r="C1345" s="8" t="s">
        <v>20</v>
      </c>
      <c r="D1345" s="8" t="s">
        <v>25</v>
      </c>
      <c r="E1345" s="8" t="s">
        <v>24</v>
      </c>
      <c r="F1345" s="9">
        <v>410</v>
      </c>
      <c r="G1345" s="9">
        <v>362</v>
      </c>
      <c r="H1345" s="9">
        <v>13</v>
      </c>
      <c r="I1345" s="9">
        <f t="shared" si="180"/>
        <v>349</v>
      </c>
      <c r="J1345" s="9">
        <v>41</v>
      </c>
      <c r="K1345" s="10">
        <f t="shared" si="181"/>
        <v>8.5416666666666669E-2</v>
      </c>
      <c r="L1345" s="17">
        <v>120</v>
      </c>
      <c r="M1345" s="17">
        <v>30800</v>
      </c>
      <c r="N1345" s="17">
        <f t="shared" si="182"/>
        <v>41880</v>
      </c>
      <c r="O1345" s="17">
        <f t="shared" si="183"/>
        <v>11080</v>
      </c>
      <c r="P1345" s="10">
        <f t="shared" si="184"/>
        <v>0.88292682926829269</v>
      </c>
      <c r="Q1345" s="10">
        <f t="shared" si="185"/>
        <v>3.591160220994475E-2</v>
      </c>
      <c r="R1345" s="10">
        <f t="shared" si="186"/>
        <v>0.26456542502387775</v>
      </c>
      <c r="S1345" s="18">
        <f t="shared" si="187"/>
        <v>88.252148997134668</v>
      </c>
      <c r="T1345" s="8">
        <f>480-ProductionData[[#This Row],[Downtime Minutes]]</f>
        <v>439</v>
      </c>
      <c r="U1345" s="11">
        <f t="shared" si="188"/>
        <v>0.82460136674259676</v>
      </c>
      <c r="V1345" s="18">
        <f>ProductionData[[#This Row],[Profit]]/ProductionData[[#This Row],[Good Units]]</f>
        <v>31.747851002865328</v>
      </c>
      <c r="W1345" s="11">
        <f>ProductionData[[#This Row],[Good Units]]/ProductionData[[#This Row],[Operating Minutes]]</f>
        <v>0.79498861047835989</v>
      </c>
    </row>
    <row r="1346" spans="1:23">
      <c r="A1346" s="7">
        <v>46353</v>
      </c>
      <c r="B1346" s="8" t="s">
        <v>32</v>
      </c>
      <c r="C1346" s="8" t="s">
        <v>27</v>
      </c>
      <c r="D1346" s="8" t="s">
        <v>21</v>
      </c>
      <c r="E1346" s="8" t="s">
        <v>22</v>
      </c>
      <c r="F1346" s="9">
        <v>440</v>
      </c>
      <c r="G1346" s="9">
        <v>386</v>
      </c>
      <c r="H1346" s="9">
        <v>22</v>
      </c>
      <c r="I1346" s="9">
        <f t="shared" ref="I1346:I1409" si="189">G1346-H1346</f>
        <v>364</v>
      </c>
      <c r="J1346" s="9">
        <v>58</v>
      </c>
      <c r="K1346" s="10">
        <f t="shared" ref="K1346:K1409" si="190">J1346/480</f>
        <v>0.12083333333333333</v>
      </c>
      <c r="L1346" s="17">
        <v>100</v>
      </c>
      <c r="M1346" s="17">
        <v>30800</v>
      </c>
      <c r="N1346" s="17">
        <f t="shared" ref="N1346:N1409" si="191">I1346*L1346</f>
        <v>36400</v>
      </c>
      <c r="O1346" s="17">
        <f t="shared" ref="O1346:O1409" si="192">N1346-M1346</f>
        <v>5600</v>
      </c>
      <c r="P1346" s="10">
        <f t="shared" ref="P1346:P1409" si="193">G1346/F1346</f>
        <v>0.87727272727272732</v>
      </c>
      <c r="Q1346" s="10">
        <f t="shared" ref="Q1346:Q1409" si="194">H1346/G1346</f>
        <v>5.6994818652849742E-2</v>
      </c>
      <c r="R1346" s="10">
        <f t="shared" ref="R1346:R1409" si="195">O1346/N1346</f>
        <v>0.15384615384615385</v>
      </c>
      <c r="S1346" s="18">
        <f t="shared" ref="S1346:S1409" si="196">M1346/I1346</f>
        <v>84.615384615384613</v>
      </c>
      <c r="T1346" s="8">
        <f>480-ProductionData[[#This Row],[Downtime Minutes]]</f>
        <v>422</v>
      </c>
      <c r="U1346" s="11">
        <f t="shared" ref="U1346:U1409" si="197">G1346/T1346</f>
        <v>0.91469194312796209</v>
      </c>
      <c r="V1346" s="18">
        <f>ProductionData[[#This Row],[Profit]]/ProductionData[[#This Row],[Good Units]]</f>
        <v>15.384615384615385</v>
      </c>
      <c r="W1346" s="11">
        <f>ProductionData[[#This Row],[Good Units]]/ProductionData[[#This Row],[Operating Minutes]]</f>
        <v>0.86255924170616116</v>
      </c>
    </row>
    <row r="1347" spans="1:23">
      <c r="A1347" s="7">
        <v>46353</v>
      </c>
      <c r="B1347" s="8" t="s">
        <v>32</v>
      </c>
      <c r="C1347" s="8" t="s">
        <v>27</v>
      </c>
      <c r="D1347" s="8" t="s">
        <v>23</v>
      </c>
      <c r="E1347" s="8" t="s">
        <v>24</v>
      </c>
      <c r="F1347" s="9">
        <v>410</v>
      </c>
      <c r="G1347" s="9">
        <v>374</v>
      </c>
      <c r="H1347" s="9">
        <v>17</v>
      </c>
      <c r="I1347" s="9">
        <f t="shared" si="189"/>
        <v>357</v>
      </c>
      <c r="J1347" s="9">
        <v>57</v>
      </c>
      <c r="K1347" s="10">
        <f t="shared" si="190"/>
        <v>0.11874999999999999</v>
      </c>
      <c r="L1347" s="17">
        <v>120</v>
      </c>
      <c r="M1347" s="17">
        <v>30800</v>
      </c>
      <c r="N1347" s="17">
        <f t="shared" si="191"/>
        <v>42840</v>
      </c>
      <c r="O1347" s="17">
        <f t="shared" si="192"/>
        <v>12040</v>
      </c>
      <c r="P1347" s="10">
        <f t="shared" si="193"/>
        <v>0.91219512195121955</v>
      </c>
      <c r="Q1347" s="10">
        <f t="shared" si="194"/>
        <v>4.5454545454545456E-2</v>
      </c>
      <c r="R1347" s="10">
        <f t="shared" si="195"/>
        <v>0.28104575163398693</v>
      </c>
      <c r="S1347" s="18">
        <f t="shared" si="196"/>
        <v>86.274509803921575</v>
      </c>
      <c r="T1347" s="8">
        <f>480-ProductionData[[#This Row],[Downtime Minutes]]</f>
        <v>423</v>
      </c>
      <c r="U1347" s="11">
        <f t="shared" si="197"/>
        <v>0.88416075650118209</v>
      </c>
      <c r="V1347" s="18">
        <f>ProductionData[[#This Row],[Profit]]/ProductionData[[#This Row],[Good Units]]</f>
        <v>33.725490196078432</v>
      </c>
      <c r="W1347" s="11">
        <f>ProductionData[[#This Row],[Good Units]]/ProductionData[[#This Row],[Operating Minutes]]</f>
        <v>0.84397163120567376</v>
      </c>
    </row>
    <row r="1348" spans="1:23">
      <c r="A1348" s="7">
        <v>46353</v>
      </c>
      <c r="B1348" s="8" t="s">
        <v>32</v>
      </c>
      <c r="C1348" s="8" t="s">
        <v>27</v>
      </c>
      <c r="D1348" s="8" t="s">
        <v>25</v>
      </c>
      <c r="E1348" s="8" t="s">
        <v>26</v>
      </c>
      <c r="F1348" s="9">
        <v>520</v>
      </c>
      <c r="G1348" s="9">
        <v>444</v>
      </c>
      <c r="H1348" s="9">
        <v>25</v>
      </c>
      <c r="I1348" s="9">
        <f t="shared" si="189"/>
        <v>419</v>
      </c>
      <c r="J1348" s="9">
        <v>44</v>
      </c>
      <c r="K1348" s="10">
        <f t="shared" si="190"/>
        <v>9.166666666666666E-2</v>
      </c>
      <c r="L1348" s="17">
        <v>90</v>
      </c>
      <c r="M1348" s="17">
        <v>30800</v>
      </c>
      <c r="N1348" s="17">
        <f t="shared" si="191"/>
        <v>37710</v>
      </c>
      <c r="O1348" s="17">
        <f t="shared" si="192"/>
        <v>6910</v>
      </c>
      <c r="P1348" s="10">
        <f t="shared" si="193"/>
        <v>0.85384615384615381</v>
      </c>
      <c r="Q1348" s="10">
        <f t="shared" si="194"/>
        <v>5.6306306306306307E-2</v>
      </c>
      <c r="R1348" s="10">
        <f t="shared" si="195"/>
        <v>0.18324051975603289</v>
      </c>
      <c r="S1348" s="18">
        <f t="shared" si="196"/>
        <v>73.508353221957037</v>
      </c>
      <c r="T1348" s="8">
        <f>480-ProductionData[[#This Row],[Downtime Minutes]]</f>
        <v>436</v>
      </c>
      <c r="U1348" s="11">
        <f t="shared" si="197"/>
        <v>1.0183486238532109</v>
      </c>
      <c r="V1348" s="18">
        <f>ProductionData[[#This Row],[Profit]]/ProductionData[[#This Row],[Good Units]]</f>
        <v>16.491646778042959</v>
      </c>
      <c r="W1348" s="11">
        <f>ProductionData[[#This Row],[Good Units]]/ProductionData[[#This Row],[Operating Minutes]]</f>
        <v>0.96100917431192656</v>
      </c>
    </row>
    <row r="1349" spans="1:23">
      <c r="A1349" s="7">
        <v>46353</v>
      </c>
      <c r="B1349" s="8" t="s">
        <v>32</v>
      </c>
      <c r="C1349" s="8" t="s">
        <v>28</v>
      </c>
      <c r="D1349" s="8" t="s">
        <v>21</v>
      </c>
      <c r="E1349" s="8" t="s">
        <v>24</v>
      </c>
      <c r="F1349" s="9">
        <v>410</v>
      </c>
      <c r="G1349" s="9">
        <v>401</v>
      </c>
      <c r="H1349" s="9">
        <v>12</v>
      </c>
      <c r="I1349" s="9">
        <f t="shared" si="189"/>
        <v>389</v>
      </c>
      <c r="J1349" s="9">
        <v>20</v>
      </c>
      <c r="K1349" s="10">
        <f t="shared" si="190"/>
        <v>4.1666666666666664E-2</v>
      </c>
      <c r="L1349" s="17">
        <v>120</v>
      </c>
      <c r="M1349" s="17">
        <v>30800</v>
      </c>
      <c r="N1349" s="17">
        <f t="shared" si="191"/>
        <v>46680</v>
      </c>
      <c r="O1349" s="17">
        <f t="shared" si="192"/>
        <v>15880</v>
      </c>
      <c r="P1349" s="10">
        <f t="shared" si="193"/>
        <v>0.97804878048780486</v>
      </c>
      <c r="Q1349" s="10">
        <f t="shared" si="194"/>
        <v>2.9925187032418952E-2</v>
      </c>
      <c r="R1349" s="10">
        <f t="shared" si="195"/>
        <v>0.34018851756640961</v>
      </c>
      <c r="S1349" s="18">
        <f t="shared" si="196"/>
        <v>79.177377892030847</v>
      </c>
      <c r="T1349" s="8">
        <f>480-ProductionData[[#This Row],[Downtime Minutes]]</f>
        <v>460</v>
      </c>
      <c r="U1349" s="11">
        <f t="shared" si="197"/>
        <v>0.87173913043478257</v>
      </c>
      <c r="V1349" s="18">
        <f>ProductionData[[#This Row],[Profit]]/ProductionData[[#This Row],[Good Units]]</f>
        <v>40.822622107969153</v>
      </c>
      <c r="W1349" s="11">
        <f>ProductionData[[#This Row],[Good Units]]/ProductionData[[#This Row],[Operating Minutes]]</f>
        <v>0.84565217391304348</v>
      </c>
    </row>
    <row r="1350" spans="1:23">
      <c r="A1350" s="7">
        <v>46353</v>
      </c>
      <c r="B1350" s="8" t="s">
        <v>32</v>
      </c>
      <c r="C1350" s="8" t="s">
        <v>28</v>
      </c>
      <c r="D1350" s="8" t="s">
        <v>23</v>
      </c>
      <c r="E1350" s="8" t="s">
        <v>26</v>
      </c>
      <c r="F1350" s="9">
        <v>480</v>
      </c>
      <c r="G1350" s="9">
        <v>464</v>
      </c>
      <c r="H1350" s="9">
        <v>18</v>
      </c>
      <c r="I1350" s="9">
        <f t="shared" si="189"/>
        <v>446</v>
      </c>
      <c r="J1350" s="9">
        <v>22</v>
      </c>
      <c r="K1350" s="10">
        <f t="shared" si="190"/>
        <v>4.583333333333333E-2</v>
      </c>
      <c r="L1350" s="17">
        <v>90</v>
      </c>
      <c r="M1350" s="17">
        <v>30800</v>
      </c>
      <c r="N1350" s="17">
        <f t="shared" si="191"/>
        <v>40140</v>
      </c>
      <c r="O1350" s="17">
        <f t="shared" si="192"/>
        <v>9340</v>
      </c>
      <c r="P1350" s="10">
        <f t="shared" si="193"/>
        <v>0.96666666666666667</v>
      </c>
      <c r="Q1350" s="10">
        <f t="shared" si="194"/>
        <v>3.8793103448275863E-2</v>
      </c>
      <c r="R1350" s="10">
        <f t="shared" si="195"/>
        <v>0.23268560039860489</v>
      </c>
      <c r="S1350" s="18">
        <f t="shared" si="196"/>
        <v>69.058295964125563</v>
      </c>
      <c r="T1350" s="8">
        <f>480-ProductionData[[#This Row],[Downtime Minutes]]</f>
        <v>458</v>
      </c>
      <c r="U1350" s="11">
        <f t="shared" si="197"/>
        <v>1.0131004366812226</v>
      </c>
      <c r="V1350" s="18">
        <f>ProductionData[[#This Row],[Profit]]/ProductionData[[#This Row],[Good Units]]</f>
        <v>20.941704035874441</v>
      </c>
      <c r="W1350" s="11">
        <f>ProductionData[[#This Row],[Good Units]]/ProductionData[[#This Row],[Operating Minutes]]</f>
        <v>0.97379912663755464</v>
      </c>
    </row>
    <row r="1351" spans="1:23">
      <c r="A1351" s="7">
        <v>46353</v>
      </c>
      <c r="B1351" s="8" t="s">
        <v>32</v>
      </c>
      <c r="C1351" s="8" t="s">
        <v>28</v>
      </c>
      <c r="D1351" s="8" t="s">
        <v>25</v>
      </c>
      <c r="E1351" s="8" t="s">
        <v>22</v>
      </c>
      <c r="F1351" s="9">
        <v>460</v>
      </c>
      <c r="G1351" s="9">
        <v>424</v>
      </c>
      <c r="H1351" s="9">
        <v>20</v>
      </c>
      <c r="I1351" s="9">
        <f t="shared" si="189"/>
        <v>404</v>
      </c>
      <c r="J1351" s="9">
        <v>52</v>
      </c>
      <c r="K1351" s="10">
        <f t="shared" si="190"/>
        <v>0.10833333333333334</v>
      </c>
      <c r="L1351" s="17">
        <v>100</v>
      </c>
      <c r="M1351" s="17">
        <v>30800</v>
      </c>
      <c r="N1351" s="17">
        <f t="shared" si="191"/>
        <v>40400</v>
      </c>
      <c r="O1351" s="17">
        <f t="shared" si="192"/>
        <v>9600</v>
      </c>
      <c r="P1351" s="10">
        <f t="shared" si="193"/>
        <v>0.92173913043478262</v>
      </c>
      <c r="Q1351" s="10">
        <f t="shared" si="194"/>
        <v>4.716981132075472E-2</v>
      </c>
      <c r="R1351" s="10">
        <f t="shared" si="195"/>
        <v>0.23762376237623761</v>
      </c>
      <c r="S1351" s="18">
        <f t="shared" si="196"/>
        <v>76.237623762376231</v>
      </c>
      <c r="T1351" s="8">
        <f>480-ProductionData[[#This Row],[Downtime Minutes]]</f>
        <v>428</v>
      </c>
      <c r="U1351" s="11">
        <f t="shared" si="197"/>
        <v>0.99065420560747663</v>
      </c>
      <c r="V1351" s="18">
        <f>ProductionData[[#This Row],[Profit]]/ProductionData[[#This Row],[Good Units]]</f>
        <v>23.762376237623762</v>
      </c>
      <c r="W1351" s="11">
        <f>ProductionData[[#This Row],[Good Units]]/ProductionData[[#This Row],[Operating Minutes]]</f>
        <v>0.94392523364485981</v>
      </c>
    </row>
    <row r="1352" spans="1:23">
      <c r="A1352" s="7">
        <v>46354</v>
      </c>
      <c r="B1352" s="8" t="s">
        <v>32</v>
      </c>
      <c r="C1352" s="8" t="s">
        <v>20</v>
      </c>
      <c r="D1352" s="8" t="s">
        <v>21</v>
      </c>
      <c r="E1352" s="8" t="s">
        <v>22</v>
      </c>
      <c r="F1352" s="9">
        <v>460</v>
      </c>
      <c r="G1352" s="9">
        <v>443</v>
      </c>
      <c r="H1352" s="9">
        <v>21</v>
      </c>
      <c r="I1352" s="9">
        <f t="shared" si="189"/>
        <v>422</v>
      </c>
      <c r="J1352" s="9">
        <v>37</v>
      </c>
      <c r="K1352" s="10">
        <f t="shared" si="190"/>
        <v>7.7083333333333337E-2</v>
      </c>
      <c r="L1352" s="17">
        <v>100</v>
      </c>
      <c r="M1352" s="17">
        <v>30800</v>
      </c>
      <c r="N1352" s="17">
        <f t="shared" si="191"/>
        <v>42200</v>
      </c>
      <c r="O1352" s="17">
        <f t="shared" si="192"/>
        <v>11400</v>
      </c>
      <c r="P1352" s="10">
        <f t="shared" si="193"/>
        <v>0.96304347826086956</v>
      </c>
      <c r="Q1352" s="10">
        <f t="shared" si="194"/>
        <v>4.740406320541761E-2</v>
      </c>
      <c r="R1352" s="10">
        <f t="shared" si="195"/>
        <v>0.27014218009478674</v>
      </c>
      <c r="S1352" s="18">
        <f t="shared" si="196"/>
        <v>72.985781990521332</v>
      </c>
      <c r="T1352" s="8">
        <f>480-ProductionData[[#This Row],[Downtime Minutes]]</f>
        <v>443</v>
      </c>
      <c r="U1352" s="11">
        <f t="shared" si="197"/>
        <v>1</v>
      </c>
      <c r="V1352" s="18">
        <f>ProductionData[[#This Row],[Profit]]/ProductionData[[#This Row],[Good Units]]</f>
        <v>27.014218009478672</v>
      </c>
      <c r="W1352" s="11">
        <f>ProductionData[[#This Row],[Good Units]]/ProductionData[[#This Row],[Operating Minutes]]</f>
        <v>0.95259593679458243</v>
      </c>
    </row>
    <row r="1353" spans="1:23">
      <c r="A1353" s="7">
        <v>46354</v>
      </c>
      <c r="B1353" s="8" t="s">
        <v>32</v>
      </c>
      <c r="C1353" s="8" t="s">
        <v>20</v>
      </c>
      <c r="D1353" s="8" t="s">
        <v>23</v>
      </c>
      <c r="E1353" s="8" t="s">
        <v>24</v>
      </c>
      <c r="F1353" s="9">
        <v>410</v>
      </c>
      <c r="G1353" s="9">
        <v>389</v>
      </c>
      <c r="H1353" s="9">
        <v>15</v>
      </c>
      <c r="I1353" s="9">
        <f t="shared" si="189"/>
        <v>374</v>
      </c>
      <c r="J1353" s="9">
        <v>29</v>
      </c>
      <c r="K1353" s="10">
        <f t="shared" si="190"/>
        <v>6.0416666666666667E-2</v>
      </c>
      <c r="L1353" s="17">
        <v>120</v>
      </c>
      <c r="M1353" s="17">
        <v>30800</v>
      </c>
      <c r="N1353" s="17">
        <f t="shared" si="191"/>
        <v>44880</v>
      </c>
      <c r="O1353" s="17">
        <f t="shared" si="192"/>
        <v>14080</v>
      </c>
      <c r="P1353" s="10">
        <f t="shared" si="193"/>
        <v>0.948780487804878</v>
      </c>
      <c r="Q1353" s="10">
        <f t="shared" si="194"/>
        <v>3.8560411311053984E-2</v>
      </c>
      <c r="R1353" s="10">
        <f t="shared" si="195"/>
        <v>0.31372549019607843</v>
      </c>
      <c r="S1353" s="18">
        <f t="shared" si="196"/>
        <v>82.352941176470594</v>
      </c>
      <c r="T1353" s="8">
        <f>480-ProductionData[[#This Row],[Downtime Minutes]]</f>
        <v>451</v>
      </c>
      <c r="U1353" s="11">
        <f t="shared" si="197"/>
        <v>0.86252771618625279</v>
      </c>
      <c r="V1353" s="18">
        <f>ProductionData[[#This Row],[Profit]]/ProductionData[[#This Row],[Good Units]]</f>
        <v>37.647058823529413</v>
      </c>
      <c r="W1353" s="11">
        <f>ProductionData[[#This Row],[Good Units]]/ProductionData[[#This Row],[Operating Minutes]]</f>
        <v>0.82926829268292679</v>
      </c>
    </row>
    <row r="1354" spans="1:23">
      <c r="A1354" s="7">
        <v>46354</v>
      </c>
      <c r="B1354" s="8" t="s">
        <v>32</v>
      </c>
      <c r="C1354" s="8" t="s">
        <v>20</v>
      </c>
      <c r="D1354" s="8" t="s">
        <v>25</v>
      </c>
      <c r="E1354" s="8" t="s">
        <v>26</v>
      </c>
      <c r="F1354" s="9">
        <v>500</v>
      </c>
      <c r="G1354" s="9">
        <v>446</v>
      </c>
      <c r="H1354" s="9">
        <v>19</v>
      </c>
      <c r="I1354" s="9">
        <f t="shared" si="189"/>
        <v>427</v>
      </c>
      <c r="J1354" s="9">
        <v>33</v>
      </c>
      <c r="K1354" s="10">
        <f t="shared" si="190"/>
        <v>6.8750000000000006E-2</v>
      </c>
      <c r="L1354" s="17">
        <v>90</v>
      </c>
      <c r="M1354" s="17">
        <v>30800</v>
      </c>
      <c r="N1354" s="17">
        <f t="shared" si="191"/>
        <v>38430</v>
      </c>
      <c r="O1354" s="17">
        <f t="shared" si="192"/>
        <v>7630</v>
      </c>
      <c r="P1354" s="10">
        <f t="shared" si="193"/>
        <v>0.89200000000000002</v>
      </c>
      <c r="Q1354" s="10">
        <f t="shared" si="194"/>
        <v>4.2600896860986545E-2</v>
      </c>
      <c r="R1354" s="10">
        <f t="shared" si="195"/>
        <v>0.19854280510018216</v>
      </c>
      <c r="S1354" s="18">
        <f t="shared" si="196"/>
        <v>72.131147540983605</v>
      </c>
      <c r="T1354" s="8">
        <f>480-ProductionData[[#This Row],[Downtime Minutes]]</f>
        <v>447</v>
      </c>
      <c r="U1354" s="11">
        <f t="shared" si="197"/>
        <v>0.99776286353467558</v>
      </c>
      <c r="V1354" s="18">
        <f>ProductionData[[#This Row],[Profit]]/ProductionData[[#This Row],[Good Units]]</f>
        <v>17.868852459016395</v>
      </c>
      <c r="W1354" s="11">
        <f>ProductionData[[#This Row],[Good Units]]/ProductionData[[#This Row],[Operating Minutes]]</f>
        <v>0.95525727069351229</v>
      </c>
    </row>
    <row r="1355" spans="1:23">
      <c r="A1355" s="7">
        <v>46354</v>
      </c>
      <c r="B1355" s="8" t="s">
        <v>32</v>
      </c>
      <c r="C1355" s="8" t="s">
        <v>27</v>
      </c>
      <c r="D1355" s="8" t="s">
        <v>21</v>
      </c>
      <c r="E1355" s="8" t="s">
        <v>24</v>
      </c>
      <c r="F1355" s="9">
        <v>400</v>
      </c>
      <c r="G1355" s="9">
        <v>353</v>
      </c>
      <c r="H1355" s="9">
        <v>17</v>
      </c>
      <c r="I1355" s="9">
        <f t="shared" si="189"/>
        <v>336</v>
      </c>
      <c r="J1355" s="9">
        <v>42</v>
      </c>
      <c r="K1355" s="10">
        <f t="shared" si="190"/>
        <v>8.7499999999999994E-2</v>
      </c>
      <c r="L1355" s="17">
        <v>120</v>
      </c>
      <c r="M1355" s="17">
        <v>30800</v>
      </c>
      <c r="N1355" s="17">
        <f t="shared" si="191"/>
        <v>40320</v>
      </c>
      <c r="O1355" s="17">
        <f t="shared" si="192"/>
        <v>9520</v>
      </c>
      <c r="P1355" s="10">
        <f t="shared" si="193"/>
        <v>0.88249999999999995</v>
      </c>
      <c r="Q1355" s="10">
        <f t="shared" si="194"/>
        <v>4.8158640226628892E-2</v>
      </c>
      <c r="R1355" s="10">
        <f t="shared" si="195"/>
        <v>0.2361111111111111</v>
      </c>
      <c r="S1355" s="18">
        <f t="shared" si="196"/>
        <v>91.666666666666671</v>
      </c>
      <c r="T1355" s="8">
        <f>480-ProductionData[[#This Row],[Downtime Minutes]]</f>
        <v>438</v>
      </c>
      <c r="U1355" s="11">
        <f t="shared" si="197"/>
        <v>0.80593607305936077</v>
      </c>
      <c r="V1355" s="18">
        <f>ProductionData[[#This Row],[Profit]]/ProductionData[[#This Row],[Good Units]]</f>
        <v>28.333333333333332</v>
      </c>
      <c r="W1355" s="11">
        <f>ProductionData[[#This Row],[Good Units]]/ProductionData[[#This Row],[Operating Minutes]]</f>
        <v>0.76712328767123283</v>
      </c>
    </row>
    <row r="1356" spans="1:23">
      <c r="A1356" s="7">
        <v>46354</v>
      </c>
      <c r="B1356" s="8" t="s">
        <v>32</v>
      </c>
      <c r="C1356" s="8" t="s">
        <v>27</v>
      </c>
      <c r="D1356" s="8" t="s">
        <v>23</v>
      </c>
      <c r="E1356" s="8" t="s">
        <v>26</v>
      </c>
      <c r="F1356" s="9">
        <v>500</v>
      </c>
      <c r="G1356" s="9">
        <v>450</v>
      </c>
      <c r="H1356" s="9">
        <v>27</v>
      </c>
      <c r="I1356" s="9">
        <f t="shared" si="189"/>
        <v>423</v>
      </c>
      <c r="J1356" s="9">
        <v>44</v>
      </c>
      <c r="K1356" s="10">
        <f t="shared" si="190"/>
        <v>9.166666666666666E-2</v>
      </c>
      <c r="L1356" s="17">
        <v>90</v>
      </c>
      <c r="M1356" s="17">
        <v>30800</v>
      </c>
      <c r="N1356" s="17">
        <f t="shared" si="191"/>
        <v>38070</v>
      </c>
      <c r="O1356" s="17">
        <f t="shared" si="192"/>
        <v>7270</v>
      </c>
      <c r="P1356" s="10">
        <f t="shared" si="193"/>
        <v>0.9</v>
      </c>
      <c r="Q1356" s="10">
        <f t="shared" si="194"/>
        <v>0.06</v>
      </c>
      <c r="R1356" s="10">
        <f t="shared" si="195"/>
        <v>0.19096401365904911</v>
      </c>
      <c r="S1356" s="18">
        <f t="shared" si="196"/>
        <v>72.813238770685572</v>
      </c>
      <c r="T1356" s="8">
        <f>480-ProductionData[[#This Row],[Downtime Minutes]]</f>
        <v>436</v>
      </c>
      <c r="U1356" s="11">
        <f t="shared" si="197"/>
        <v>1.0321100917431192</v>
      </c>
      <c r="V1356" s="18">
        <f>ProductionData[[#This Row],[Profit]]/ProductionData[[#This Row],[Good Units]]</f>
        <v>17.186761229314421</v>
      </c>
      <c r="W1356" s="11">
        <f>ProductionData[[#This Row],[Good Units]]/ProductionData[[#This Row],[Operating Minutes]]</f>
        <v>0.97018348623853212</v>
      </c>
    </row>
    <row r="1357" spans="1:23">
      <c r="A1357" s="7">
        <v>46354</v>
      </c>
      <c r="B1357" s="8" t="s">
        <v>32</v>
      </c>
      <c r="C1357" s="8" t="s">
        <v>27</v>
      </c>
      <c r="D1357" s="8" t="s">
        <v>25</v>
      </c>
      <c r="E1357" s="8" t="s">
        <v>22</v>
      </c>
      <c r="F1357" s="9">
        <v>440</v>
      </c>
      <c r="G1357" s="9">
        <v>385</v>
      </c>
      <c r="H1357" s="9">
        <v>30</v>
      </c>
      <c r="I1357" s="9">
        <f t="shared" si="189"/>
        <v>355</v>
      </c>
      <c r="J1357" s="9">
        <v>56</v>
      </c>
      <c r="K1357" s="10">
        <f t="shared" si="190"/>
        <v>0.11666666666666667</v>
      </c>
      <c r="L1357" s="17">
        <v>100</v>
      </c>
      <c r="M1357" s="17">
        <v>30800</v>
      </c>
      <c r="N1357" s="17">
        <f t="shared" si="191"/>
        <v>35500</v>
      </c>
      <c r="O1357" s="17">
        <f t="shared" si="192"/>
        <v>4700</v>
      </c>
      <c r="P1357" s="10">
        <f t="shared" si="193"/>
        <v>0.875</v>
      </c>
      <c r="Q1357" s="10">
        <f t="shared" si="194"/>
        <v>7.792207792207792E-2</v>
      </c>
      <c r="R1357" s="10">
        <f t="shared" si="195"/>
        <v>0.13239436619718309</v>
      </c>
      <c r="S1357" s="18">
        <f t="shared" si="196"/>
        <v>86.760563380281695</v>
      </c>
      <c r="T1357" s="8">
        <f>480-ProductionData[[#This Row],[Downtime Minutes]]</f>
        <v>424</v>
      </c>
      <c r="U1357" s="11">
        <f t="shared" si="197"/>
        <v>0.90801886792452835</v>
      </c>
      <c r="V1357" s="18">
        <f>ProductionData[[#This Row],[Profit]]/ProductionData[[#This Row],[Good Units]]</f>
        <v>13.23943661971831</v>
      </c>
      <c r="W1357" s="11">
        <f>ProductionData[[#This Row],[Good Units]]/ProductionData[[#This Row],[Operating Minutes]]</f>
        <v>0.83726415094339623</v>
      </c>
    </row>
    <row r="1358" spans="1:23">
      <c r="A1358" s="7">
        <v>46354</v>
      </c>
      <c r="B1358" s="8" t="s">
        <v>32</v>
      </c>
      <c r="C1358" s="8" t="s">
        <v>28</v>
      </c>
      <c r="D1358" s="8" t="s">
        <v>21</v>
      </c>
      <c r="E1358" s="8" t="s">
        <v>26</v>
      </c>
      <c r="F1358" s="9">
        <v>500</v>
      </c>
      <c r="G1358" s="9">
        <v>482</v>
      </c>
      <c r="H1358" s="9">
        <v>13</v>
      </c>
      <c r="I1358" s="9">
        <f t="shared" si="189"/>
        <v>469</v>
      </c>
      <c r="J1358" s="9">
        <v>21</v>
      </c>
      <c r="K1358" s="10">
        <f t="shared" si="190"/>
        <v>4.3749999999999997E-2</v>
      </c>
      <c r="L1358" s="17">
        <v>90</v>
      </c>
      <c r="M1358" s="17">
        <v>30800</v>
      </c>
      <c r="N1358" s="17">
        <f t="shared" si="191"/>
        <v>42210</v>
      </c>
      <c r="O1358" s="17">
        <f t="shared" si="192"/>
        <v>11410</v>
      </c>
      <c r="P1358" s="10">
        <f t="shared" si="193"/>
        <v>0.96399999999999997</v>
      </c>
      <c r="Q1358" s="10">
        <f t="shared" si="194"/>
        <v>2.6970954356846474E-2</v>
      </c>
      <c r="R1358" s="10">
        <f t="shared" si="195"/>
        <v>0.27031509121061359</v>
      </c>
      <c r="S1358" s="18">
        <f t="shared" si="196"/>
        <v>65.671641791044777</v>
      </c>
      <c r="T1358" s="8">
        <f>480-ProductionData[[#This Row],[Downtime Minutes]]</f>
        <v>459</v>
      </c>
      <c r="U1358" s="11">
        <f t="shared" si="197"/>
        <v>1.0501089324618735</v>
      </c>
      <c r="V1358" s="18">
        <f>ProductionData[[#This Row],[Profit]]/ProductionData[[#This Row],[Good Units]]</f>
        <v>24.328358208955223</v>
      </c>
      <c r="W1358" s="11">
        <f>ProductionData[[#This Row],[Good Units]]/ProductionData[[#This Row],[Operating Minutes]]</f>
        <v>1.0217864923747277</v>
      </c>
    </row>
    <row r="1359" spans="1:23">
      <c r="A1359" s="7">
        <v>46354</v>
      </c>
      <c r="B1359" s="8" t="s">
        <v>32</v>
      </c>
      <c r="C1359" s="8" t="s">
        <v>28</v>
      </c>
      <c r="D1359" s="8" t="s">
        <v>23</v>
      </c>
      <c r="E1359" s="8" t="s">
        <v>22</v>
      </c>
      <c r="F1359" s="9">
        <v>460</v>
      </c>
      <c r="G1359" s="9">
        <v>435</v>
      </c>
      <c r="H1359" s="9">
        <v>16</v>
      </c>
      <c r="I1359" s="9">
        <f t="shared" si="189"/>
        <v>419</v>
      </c>
      <c r="J1359" s="9">
        <v>35</v>
      </c>
      <c r="K1359" s="10">
        <f t="shared" si="190"/>
        <v>7.2916666666666671E-2</v>
      </c>
      <c r="L1359" s="17">
        <v>100</v>
      </c>
      <c r="M1359" s="17">
        <v>30800</v>
      </c>
      <c r="N1359" s="17">
        <f t="shared" si="191"/>
        <v>41900</v>
      </c>
      <c r="O1359" s="17">
        <f t="shared" si="192"/>
        <v>11100</v>
      </c>
      <c r="P1359" s="10">
        <f t="shared" si="193"/>
        <v>0.94565217391304346</v>
      </c>
      <c r="Q1359" s="10">
        <f t="shared" si="194"/>
        <v>3.6781609195402298E-2</v>
      </c>
      <c r="R1359" s="10">
        <f t="shared" si="195"/>
        <v>0.2649164677804296</v>
      </c>
      <c r="S1359" s="18">
        <f t="shared" si="196"/>
        <v>73.508353221957037</v>
      </c>
      <c r="T1359" s="8">
        <f>480-ProductionData[[#This Row],[Downtime Minutes]]</f>
        <v>445</v>
      </c>
      <c r="U1359" s="11">
        <f t="shared" si="197"/>
        <v>0.97752808988764039</v>
      </c>
      <c r="V1359" s="18">
        <f>ProductionData[[#This Row],[Profit]]/ProductionData[[#This Row],[Good Units]]</f>
        <v>26.491646778042959</v>
      </c>
      <c r="W1359" s="11">
        <f>ProductionData[[#This Row],[Good Units]]/ProductionData[[#This Row],[Operating Minutes]]</f>
        <v>0.94157303370786516</v>
      </c>
    </row>
    <row r="1360" spans="1:23">
      <c r="A1360" s="7">
        <v>46354</v>
      </c>
      <c r="B1360" s="8" t="s">
        <v>32</v>
      </c>
      <c r="C1360" s="8" t="s">
        <v>28</v>
      </c>
      <c r="D1360" s="8" t="s">
        <v>25</v>
      </c>
      <c r="E1360" s="8" t="s">
        <v>24</v>
      </c>
      <c r="F1360" s="9">
        <v>400</v>
      </c>
      <c r="G1360" s="9">
        <v>358</v>
      </c>
      <c r="H1360" s="9">
        <v>12</v>
      </c>
      <c r="I1360" s="9">
        <f t="shared" si="189"/>
        <v>346</v>
      </c>
      <c r="J1360" s="9">
        <v>32</v>
      </c>
      <c r="K1360" s="10">
        <f t="shared" si="190"/>
        <v>6.6666666666666666E-2</v>
      </c>
      <c r="L1360" s="17">
        <v>120</v>
      </c>
      <c r="M1360" s="17">
        <v>30800</v>
      </c>
      <c r="N1360" s="17">
        <f t="shared" si="191"/>
        <v>41520</v>
      </c>
      <c r="O1360" s="17">
        <f t="shared" si="192"/>
        <v>10720</v>
      </c>
      <c r="P1360" s="10">
        <f t="shared" si="193"/>
        <v>0.89500000000000002</v>
      </c>
      <c r="Q1360" s="10">
        <f t="shared" si="194"/>
        <v>3.3519553072625698E-2</v>
      </c>
      <c r="R1360" s="10">
        <f t="shared" si="195"/>
        <v>0.25818882466281312</v>
      </c>
      <c r="S1360" s="18">
        <f t="shared" si="196"/>
        <v>89.017341040462426</v>
      </c>
      <c r="T1360" s="8">
        <f>480-ProductionData[[#This Row],[Downtime Minutes]]</f>
        <v>448</v>
      </c>
      <c r="U1360" s="11">
        <f t="shared" si="197"/>
        <v>0.7991071428571429</v>
      </c>
      <c r="V1360" s="18">
        <f>ProductionData[[#This Row],[Profit]]/ProductionData[[#This Row],[Good Units]]</f>
        <v>30.982658959537574</v>
      </c>
      <c r="W1360" s="11">
        <f>ProductionData[[#This Row],[Good Units]]/ProductionData[[#This Row],[Operating Minutes]]</f>
        <v>0.7723214285714286</v>
      </c>
    </row>
    <row r="1361" spans="1:23">
      <c r="A1361" s="7">
        <v>46355</v>
      </c>
      <c r="B1361" s="8" t="s">
        <v>32</v>
      </c>
      <c r="C1361" s="8" t="s">
        <v>20</v>
      </c>
      <c r="D1361" s="8" t="s">
        <v>21</v>
      </c>
      <c r="E1361" s="8" t="s">
        <v>24</v>
      </c>
      <c r="F1361" s="9">
        <v>410</v>
      </c>
      <c r="G1361" s="9">
        <v>377</v>
      </c>
      <c r="H1361" s="9">
        <v>12</v>
      </c>
      <c r="I1361" s="9">
        <f t="shared" si="189"/>
        <v>365</v>
      </c>
      <c r="J1361" s="9">
        <v>32</v>
      </c>
      <c r="K1361" s="10">
        <f t="shared" si="190"/>
        <v>6.6666666666666666E-2</v>
      </c>
      <c r="L1361" s="17">
        <v>120</v>
      </c>
      <c r="M1361" s="17">
        <v>30800</v>
      </c>
      <c r="N1361" s="17">
        <f t="shared" si="191"/>
        <v>43800</v>
      </c>
      <c r="O1361" s="17">
        <f t="shared" si="192"/>
        <v>13000</v>
      </c>
      <c r="P1361" s="10">
        <f t="shared" si="193"/>
        <v>0.91951219512195126</v>
      </c>
      <c r="Q1361" s="10">
        <f t="shared" si="194"/>
        <v>3.1830238726790451E-2</v>
      </c>
      <c r="R1361" s="10">
        <f t="shared" si="195"/>
        <v>0.29680365296803651</v>
      </c>
      <c r="S1361" s="18">
        <f t="shared" si="196"/>
        <v>84.38356164383562</v>
      </c>
      <c r="T1361" s="8">
        <f>480-ProductionData[[#This Row],[Downtime Minutes]]</f>
        <v>448</v>
      </c>
      <c r="U1361" s="11">
        <f t="shared" si="197"/>
        <v>0.8415178571428571</v>
      </c>
      <c r="V1361" s="18">
        <f>ProductionData[[#This Row],[Profit]]/ProductionData[[#This Row],[Good Units]]</f>
        <v>35.61643835616438</v>
      </c>
      <c r="W1361" s="11">
        <f>ProductionData[[#This Row],[Good Units]]/ProductionData[[#This Row],[Operating Minutes]]</f>
        <v>0.8147321428571429</v>
      </c>
    </row>
    <row r="1362" spans="1:23">
      <c r="A1362" s="7">
        <v>46355</v>
      </c>
      <c r="B1362" s="8" t="s">
        <v>32</v>
      </c>
      <c r="C1362" s="8" t="s">
        <v>20</v>
      </c>
      <c r="D1362" s="8" t="s">
        <v>23</v>
      </c>
      <c r="E1362" s="8" t="s">
        <v>26</v>
      </c>
      <c r="F1362" s="9">
        <v>510</v>
      </c>
      <c r="G1362" s="9">
        <v>471</v>
      </c>
      <c r="H1362" s="9">
        <v>20</v>
      </c>
      <c r="I1362" s="9">
        <f t="shared" si="189"/>
        <v>451</v>
      </c>
      <c r="J1362" s="9">
        <v>33</v>
      </c>
      <c r="K1362" s="10">
        <f t="shared" si="190"/>
        <v>6.8750000000000006E-2</v>
      </c>
      <c r="L1362" s="17">
        <v>90</v>
      </c>
      <c r="M1362" s="17">
        <v>30800</v>
      </c>
      <c r="N1362" s="17">
        <f t="shared" si="191"/>
        <v>40590</v>
      </c>
      <c r="O1362" s="17">
        <f t="shared" si="192"/>
        <v>9790</v>
      </c>
      <c r="P1362" s="10">
        <f t="shared" si="193"/>
        <v>0.92352941176470593</v>
      </c>
      <c r="Q1362" s="10">
        <f t="shared" si="194"/>
        <v>4.2462845010615709E-2</v>
      </c>
      <c r="R1362" s="10">
        <f t="shared" si="195"/>
        <v>0.24119241192411925</v>
      </c>
      <c r="S1362" s="18">
        <f t="shared" si="196"/>
        <v>68.292682926829272</v>
      </c>
      <c r="T1362" s="8">
        <f>480-ProductionData[[#This Row],[Downtime Minutes]]</f>
        <v>447</v>
      </c>
      <c r="U1362" s="11">
        <f t="shared" si="197"/>
        <v>1.0536912751677852</v>
      </c>
      <c r="V1362" s="18">
        <f>ProductionData[[#This Row],[Profit]]/ProductionData[[#This Row],[Good Units]]</f>
        <v>21.707317073170731</v>
      </c>
      <c r="W1362" s="11">
        <f>ProductionData[[#This Row],[Good Units]]/ProductionData[[#This Row],[Operating Minutes]]</f>
        <v>1.0089485458612975</v>
      </c>
    </row>
    <row r="1363" spans="1:23">
      <c r="A1363" s="7">
        <v>46355</v>
      </c>
      <c r="B1363" s="8" t="s">
        <v>32</v>
      </c>
      <c r="C1363" s="8" t="s">
        <v>20</v>
      </c>
      <c r="D1363" s="8" t="s">
        <v>25</v>
      </c>
      <c r="E1363" s="8" t="s">
        <v>22</v>
      </c>
      <c r="F1363" s="9">
        <v>440</v>
      </c>
      <c r="G1363" s="9">
        <v>401</v>
      </c>
      <c r="H1363" s="9">
        <v>20</v>
      </c>
      <c r="I1363" s="9">
        <f t="shared" si="189"/>
        <v>381</v>
      </c>
      <c r="J1363" s="9">
        <v>42</v>
      </c>
      <c r="K1363" s="10">
        <f t="shared" si="190"/>
        <v>8.7499999999999994E-2</v>
      </c>
      <c r="L1363" s="17">
        <v>100</v>
      </c>
      <c r="M1363" s="17">
        <v>30800</v>
      </c>
      <c r="N1363" s="17">
        <f t="shared" si="191"/>
        <v>38100</v>
      </c>
      <c r="O1363" s="17">
        <f t="shared" si="192"/>
        <v>7300</v>
      </c>
      <c r="P1363" s="10">
        <f t="shared" si="193"/>
        <v>0.91136363636363638</v>
      </c>
      <c r="Q1363" s="10">
        <f t="shared" si="194"/>
        <v>4.9875311720698257E-2</v>
      </c>
      <c r="R1363" s="10">
        <f t="shared" si="195"/>
        <v>0.19160104986876642</v>
      </c>
      <c r="S1363" s="18">
        <f t="shared" si="196"/>
        <v>80.839895013123353</v>
      </c>
      <c r="T1363" s="8">
        <f>480-ProductionData[[#This Row],[Downtime Minutes]]</f>
        <v>438</v>
      </c>
      <c r="U1363" s="11">
        <f t="shared" si="197"/>
        <v>0.91552511415525117</v>
      </c>
      <c r="V1363" s="18">
        <f>ProductionData[[#This Row],[Profit]]/ProductionData[[#This Row],[Good Units]]</f>
        <v>19.16010498687664</v>
      </c>
      <c r="W1363" s="11">
        <f>ProductionData[[#This Row],[Good Units]]/ProductionData[[#This Row],[Operating Minutes]]</f>
        <v>0.86986301369863017</v>
      </c>
    </row>
    <row r="1364" spans="1:23">
      <c r="A1364" s="7">
        <v>46355</v>
      </c>
      <c r="B1364" s="8" t="s">
        <v>32</v>
      </c>
      <c r="C1364" s="8" t="s">
        <v>27</v>
      </c>
      <c r="D1364" s="8" t="s">
        <v>21</v>
      </c>
      <c r="E1364" s="8" t="s">
        <v>26</v>
      </c>
      <c r="F1364" s="9">
        <v>500</v>
      </c>
      <c r="G1364" s="9">
        <v>459</v>
      </c>
      <c r="H1364" s="9">
        <v>27</v>
      </c>
      <c r="I1364" s="9">
        <f t="shared" si="189"/>
        <v>432</v>
      </c>
      <c r="J1364" s="9">
        <v>33</v>
      </c>
      <c r="K1364" s="10">
        <f t="shared" si="190"/>
        <v>6.8750000000000006E-2</v>
      </c>
      <c r="L1364" s="17">
        <v>90</v>
      </c>
      <c r="M1364" s="17">
        <v>30800</v>
      </c>
      <c r="N1364" s="17">
        <f t="shared" si="191"/>
        <v>38880</v>
      </c>
      <c r="O1364" s="17">
        <f t="shared" si="192"/>
        <v>8080</v>
      </c>
      <c r="P1364" s="10">
        <f t="shared" si="193"/>
        <v>0.91800000000000004</v>
      </c>
      <c r="Q1364" s="10">
        <f t="shared" si="194"/>
        <v>5.8823529411764705E-2</v>
      </c>
      <c r="R1364" s="10">
        <f t="shared" si="195"/>
        <v>0.20781893004115226</v>
      </c>
      <c r="S1364" s="18">
        <f t="shared" si="196"/>
        <v>71.296296296296291</v>
      </c>
      <c r="T1364" s="8">
        <f>480-ProductionData[[#This Row],[Downtime Minutes]]</f>
        <v>447</v>
      </c>
      <c r="U1364" s="11">
        <f t="shared" si="197"/>
        <v>1.0268456375838926</v>
      </c>
      <c r="V1364" s="18">
        <f>ProductionData[[#This Row],[Profit]]/ProductionData[[#This Row],[Good Units]]</f>
        <v>18.703703703703702</v>
      </c>
      <c r="W1364" s="11">
        <f>ProductionData[[#This Row],[Good Units]]/ProductionData[[#This Row],[Operating Minutes]]</f>
        <v>0.96644295302013428</v>
      </c>
    </row>
    <row r="1365" spans="1:23">
      <c r="A1365" s="7">
        <v>46355</v>
      </c>
      <c r="B1365" s="8" t="s">
        <v>32</v>
      </c>
      <c r="C1365" s="8" t="s">
        <v>27</v>
      </c>
      <c r="D1365" s="8" t="s">
        <v>23</v>
      </c>
      <c r="E1365" s="8" t="s">
        <v>22</v>
      </c>
      <c r="F1365" s="9">
        <v>460</v>
      </c>
      <c r="G1365" s="9">
        <v>396</v>
      </c>
      <c r="H1365" s="9">
        <v>26</v>
      </c>
      <c r="I1365" s="9">
        <f t="shared" si="189"/>
        <v>370</v>
      </c>
      <c r="J1365" s="9">
        <v>56</v>
      </c>
      <c r="K1365" s="10">
        <f t="shared" si="190"/>
        <v>0.11666666666666667</v>
      </c>
      <c r="L1365" s="17">
        <v>100</v>
      </c>
      <c r="M1365" s="17">
        <v>30800</v>
      </c>
      <c r="N1365" s="17">
        <f t="shared" si="191"/>
        <v>37000</v>
      </c>
      <c r="O1365" s="17">
        <f t="shared" si="192"/>
        <v>6200</v>
      </c>
      <c r="P1365" s="10">
        <f t="shared" si="193"/>
        <v>0.86086956521739133</v>
      </c>
      <c r="Q1365" s="10">
        <f t="shared" si="194"/>
        <v>6.5656565656565663E-2</v>
      </c>
      <c r="R1365" s="10">
        <f t="shared" si="195"/>
        <v>0.16756756756756758</v>
      </c>
      <c r="S1365" s="18">
        <f t="shared" si="196"/>
        <v>83.243243243243242</v>
      </c>
      <c r="T1365" s="8">
        <f>480-ProductionData[[#This Row],[Downtime Minutes]]</f>
        <v>424</v>
      </c>
      <c r="U1365" s="11">
        <f t="shared" si="197"/>
        <v>0.93396226415094341</v>
      </c>
      <c r="V1365" s="18">
        <f>ProductionData[[#This Row],[Profit]]/ProductionData[[#This Row],[Good Units]]</f>
        <v>16.756756756756758</v>
      </c>
      <c r="W1365" s="11">
        <f>ProductionData[[#This Row],[Good Units]]/ProductionData[[#This Row],[Operating Minutes]]</f>
        <v>0.87264150943396224</v>
      </c>
    </row>
    <row r="1366" spans="1:23">
      <c r="A1366" s="7">
        <v>46355</v>
      </c>
      <c r="B1366" s="8" t="s">
        <v>32</v>
      </c>
      <c r="C1366" s="8" t="s">
        <v>27</v>
      </c>
      <c r="D1366" s="8" t="s">
        <v>25</v>
      </c>
      <c r="E1366" s="8" t="s">
        <v>24</v>
      </c>
      <c r="F1366" s="9">
        <v>390</v>
      </c>
      <c r="G1366" s="9">
        <v>333</v>
      </c>
      <c r="H1366" s="9">
        <v>20</v>
      </c>
      <c r="I1366" s="9">
        <f t="shared" si="189"/>
        <v>313</v>
      </c>
      <c r="J1366" s="9">
        <v>53</v>
      </c>
      <c r="K1366" s="10">
        <f t="shared" si="190"/>
        <v>0.11041666666666666</v>
      </c>
      <c r="L1366" s="17">
        <v>120</v>
      </c>
      <c r="M1366" s="17">
        <v>30800</v>
      </c>
      <c r="N1366" s="17">
        <f t="shared" si="191"/>
        <v>37560</v>
      </c>
      <c r="O1366" s="17">
        <f t="shared" si="192"/>
        <v>6760</v>
      </c>
      <c r="P1366" s="10">
        <f t="shared" si="193"/>
        <v>0.85384615384615381</v>
      </c>
      <c r="Q1366" s="10">
        <f t="shared" si="194"/>
        <v>6.006006006006006E-2</v>
      </c>
      <c r="R1366" s="10">
        <f t="shared" si="195"/>
        <v>0.1799787007454739</v>
      </c>
      <c r="S1366" s="18">
        <f t="shared" si="196"/>
        <v>98.402555910543128</v>
      </c>
      <c r="T1366" s="8">
        <f>480-ProductionData[[#This Row],[Downtime Minutes]]</f>
        <v>427</v>
      </c>
      <c r="U1366" s="11">
        <f t="shared" si="197"/>
        <v>0.77985948477751754</v>
      </c>
      <c r="V1366" s="18">
        <f>ProductionData[[#This Row],[Profit]]/ProductionData[[#This Row],[Good Units]]</f>
        <v>21.597444089456868</v>
      </c>
      <c r="W1366" s="11">
        <f>ProductionData[[#This Row],[Good Units]]/ProductionData[[#This Row],[Operating Minutes]]</f>
        <v>0.7330210772833724</v>
      </c>
    </row>
    <row r="1367" spans="1:23">
      <c r="A1367" s="7">
        <v>46355</v>
      </c>
      <c r="B1367" s="8" t="s">
        <v>32</v>
      </c>
      <c r="C1367" s="8" t="s">
        <v>28</v>
      </c>
      <c r="D1367" s="8" t="s">
        <v>21</v>
      </c>
      <c r="E1367" s="8" t="s">
        <v>22</v>
      </c>
      <c r="F1367" s="9">
        <v>440</v>
      </c>
      <c r="G1367" s="9">
        <v>422</v>
      </c>
      <c r="H1367" s="9">
        <v>16</v>
      </c>
      <c r="I1367" s="9">
        <f t="shared" si="189"/>
        <v>406</v>
      </c>
      <c r="J1367" s="9">
        <v>16</v>
      </c>
      <c r="K1367" s="10">
        <f t="shared" si="190"/>
        <v>3.3333333333333333E-2</v>
      </c>
      <c r="L1367" s="17">
        <v>100</v>
      </c>
      <c r="M1367" s="17">
        <v>30800</v>
      </c>
      <c r="N1367" s="17">
        <f t="shared" si="191"/>
        <v>40600</v>
      </c>
      <c r="O1367" s="17">
        <f t="shared" si="192"/>
        <v>9800</v>
      </c>
      <c r="P1367" s="10">
        <f t="shared" si="193"/>
        <v>0.95909090909090911</v>
      </c>
      <c r="Q1367" s="10">
        <f t="shared" si="194"/>
        <v>3.7914691943127965E-2</v>
      </c>
      <c r="R1367" s="10">
        <f t="shared" si="195"/>
        <v>0.2413793103448276</v>
      </c>
      <c r="S1367" s="18">
        <f t="shared" si="196"/>
        <v>75.862068965517238</v>
      </c>
      <c r="T1367" s="8">
        <f>480-ProductionData[[#This Row],[Downtime Minutes]]</f>
        <v>464</v>
      </c>
      <c r="U1367" s="11">
        <f t="shared" si="197"/>
        <v>0.90948275862068961</v>
      </c>
      <c r="V1367" s="18">
        <f>ProductionData[[#This Row],[Profit]]/ProductionData[[#This Row],[Good Units]]</f>
        <v>24.137931034482758</v>
      </c>
      <c r="W1367" s="11">
        <f>ProductionData[[#This Row],[Good Units]]/ProductionData[[#This Row],[Operating Minutes]]</f>
        <v>0.875</v>
      </c>
    </row>
    <row r="1368" spans="1:23">
      <c r="A1368" s="7">
        <v>46355</v>
      </c>
      <c r="B1368" s="8" t="s">
        <v>32</v>
      </c>
      <c r="C1368" s="8" t="s">
        <v>28</v>
      </c>
      <c r="D1368" s="8" t="s">
        <v>23</v>
      </c>
      <c r="E1368" s="8" t="s">
        <v>24</v>
      </c>
      <c r="F1368" s="9">
        <v>410</v>
      </c>
      <c r="G1368" s="9">
        <v>387</v>
      </c>
      <c r="H1368" s="9">
        <v>11</v>
      </c>
      <c r="I1368" s="9">
        <f t="shared" si="189"/>
        <v>376</v>
      </c>
      <c r="J1368" s="9">
        <v>31</v>
      </c>
      <c r="K1368" s="10">
        <f t="shared" si="190"/>
        <v>6.458333333333334E-2</v>
      </c>
      <c r="L1368" s="17">
        <v>120</v>
      </c>
      <c r="M1368" s="17">
        <v>30800</v>
      </c>
      <c r="N1368" s="17">
        <f t="shared" si="191"/>
        <v>45120</v>
      </c>
      <c r="O1368" s="17">
        <f t="shared" si="192"/>
        <v>14320</v>
      </c>
      <c r="P1368" s="10">
        <f t="shared" si="193"/>
        <v>0.94390243902439019</v>
      </c>
      <c r="Q1368" s="10">
        <f t="shared" si="194"/>
        <v>2.8423772609819122E-2</v>
      </c>
      <c r="R1368" s="10">
        <f t="shared" si="195"/>
        <v>0.31737588652482268</v>
      </c>
      <c r="S1368" s="18">
        <f t="shared" si="196"/>
        <v>81.914893617021278</v>
      </c>
      <c r="T1368" s="8">
        <f>480-ProductionData[[#This Row],[Downtime Minutes]]</f>
        <v>449</v>
      </c>
      <c r="U1368" s="11">
        <f t="shared" si="197"/>
        <v>0.86191536748329622</v>
      </c>
      <c r="V1368" s="18">
        <f>ProductionData[[#This Row],[Profit]]/ProductionData[[#This Row],[Good Units]]</f>
        <v>38.085106382978722</v>
      </c>
      <c r="W1368" s="11">
        <f>ProductionData[[#This Row],[Good Units]]/ProductionData[[#This Row],[Operating Minutes]]</f>
        <v>0.83741648106904232</v>
      </c>
    </row>
    <row r="1369" spans="1:23">
      <c r="A1369" s="7">
        <v>46355</v>
      </c>
      <c r="B1369" s="8" t="s">
        <v>32</v>
      </c>
      <c r="C1369" s="8" t="s">
        <v>28</v>
      </c>
      <c r="D1369" s="8" t="s">
        <v>25</v>
      </c>
      <c r="E1369" s="8" t="s">
        <v>26</v>
      </c>
      <c r="F1369" s="9">
        <v>480</v>
      </c>
      <c r="G1369" s="9">
        <v>430</v>
      </c>
      <c r="H1369" s="9">
        <v>15</v>
      </c>
      <c r="I1369" s="9">
        <f t="shared" si="189"/>
        <v>415</v>
      </c>
      <c r="J1369" s="9">
        <v>38</v>
      </c>
      <c r="K1369" s="10">
        <f t="shared" si="190"/>
        <v>7.9166666666666663E-2</v>
      </c>
      <c r="L1369" s="17">
        <v>90</v>
      </c>
      <c r="M1369" s="17">
        <v>30800</v>
      </c>
      <c r="N1369" s="17">
        <f t="shared" si="191"/>
        <v>37350</v>
      </c>
      <c r="O1369" s="17">
        <f t="shared" si="192"/>
        <v>6550</v>
      </c>
      <c r="P1369" s="10">
        <f t="shared" si="193"/>
        <v>0.89583333333333337</v>
      </c>
      <c r="Q1369" s="10">
        <f t="shared" si="194"/>
        <v>3.4883720930232558E-2</v>
      </c>
      <c r="R1369" s="10">
        <f t="shared" si="195"/>
        <v>0.1753681392235609</v>
      </c>
      <c r="S1369" s="18">
        <f t="shared" si="196"/>
        <v>74.216867469879517</v>
      </c>
      <c r="T1369" s="8">
        <f>480-ProductionData[[#This Row],[Downtime Minutes]]</f>
        <v>442</v>
      </c>
      <c r="U1369" s="11">
        <f t="shared" si="197"/>
        <v>0.97285067873303166</v>
      </c>
      <c r="V1369" s="18">
        <f>ProductionData[[#This Row],[Profit]]/ProductionData[[#This Row],[Good Units]]</f>
        <v>15.783132530120483</v>
      </c>
      <c r="W1369" s="11">
        <f>ProductionData[[#This Row],[Good Units]]/ProductionData[[#This Row],[Operating Minutes]]</f>
        <v>0.93891402714932126</v>
      </c>
    </row>
    <row r="1370" spans="1:23">
      <c r="A1370" s="7">
        <v>46356</v>
      </c>
      <c r="B1370" s="8" t="s">
        <v>32</v>
      </c>
      <c r="C1370" s="8" t="s">
        <v>20</v>
      </c>
      <c r="D1370" s="8" t="s">
        <v>21</v>
      </c>
      <c r="E1370" s="8" t="s">
        <v>26</v>
      </c>
      <c r="F1370" s="9">
        <v>500</v>
      </c>
      <c r="G1370" s="9">
        <v>478</v>
      </c>
      <c r="H1370" s="9">
        <v>18</v>
      </c>
      <c r="I1370" s="9">
        <f t="shared" si="189"/>
        <v>460</v>
      </c>
      <c r="J1370" s="9">
        <v>26</v>
      </c>
      <c r="K1370" s="10">
        <f t="shared" si="190"/>
        <v>5.4166666666666669E-2</v>
      </c>
      <c r="L1370" s="17">
        <v>90</v>
      </c>
      <c r="M1370" s="17">
        <v>30800</v>
      </c>
      <c r="N1370" s="17">
        <f t="shared" si="191"/>
        <v>41400</v>
      </c>
      <c r="O1370" s="17">
        <f t="shared" si="192"/>
        <v>10600</v>
      </c>
      <c r="P1370" s="10">
        <f t="shared" si="193"/>
        <v>0.95599999999999996</v>
      </c>
      <c r="Q1370" s="10">
        <f t="shared" si="194"/>
        <v>3.7656903765690378E-2</v>
      </c>
      <c r="R1370" s="10">
        <f t="shared" si="195"/>
        <v>0.2560386473429952</v>
      </c>
      <c r="S1370" s="18">
        <f t="shared" si="196"/>
        <v>66.956521739130437</v>
      </c>
      <c r="T1370" s="8">
        <f>480-ProductionData[[#This Row],[Downtime Minutes]]</f>
        <v>454</v>
      </c>
      <c r="U1370" s="11">
        <f t="shared" si="197"/>
        <v>1.052863436123348</v>
      </c>
      <c r="V1370" s="18">
        <f>ProductionData[[#This Row],[Profit]]/ProductionData[[#This Row],[Good Units]]</f>
        <v>23.043478260869566</v>
      </c>
      <c r="W1370" s="11">
        <f>ProductionData[[#This Row],[Good Units]]/ProductionData[[#This Row],[Operating Minutes]]</f>
        <v>1.0132158590308371</v>
      </c>
    </row>
    <row r="1371" spans="1:23">
      <c r="A1371" s="7">
        <v>46356</v>
      </c>
      <c r="B1371" s="8" t="s">
        <v>32</v>
      </c>
      <c r="C1371" s="8" t="s">
        <v>20</v>
      </c>
      <c r="D1371" s="8" t="s">
        <v>23</v>
      </c>
      <c r="E1371" s="8" t="s">
        <v>22</v>
      </c>
      <c r="F1371" s="9">
        <v>450</v>
      </c>
      <c r="G1371" s="9">
        <v>426</v>
      </c>
      <c r="H1371" s="9">
        <v>19</v>
      </c>
      <c r="I1371" s="9">
        <f t="shared" si="189"/>
        <v>407</v>
      </c>
      <c r="J1371" s="9">
        <v>33</v>
      </c>
      <c r="K1371" s="10">
        <f t="shared" si="190"/>
        <v>6.8750000000000006E-2</v>
      </c>
      <c r="L1371" s="17">
        <v>100</v>
      </c>
      <c r="M1371" s="17">
        <v>30800</v>
      </c>
      <c r="N1371" s="17">
        <f t="shared" si="191"/>
        <v>40700</v>
      </c>
      <c r="O1371" s="17">
        <f t="shared" si="192"/>
        <v>9900</v>
      </c>
      <c r="P1371" s="10">
        <f t="shared" si="193"/>
        <v>0.94666666666666666</v>
      </c>
      <c r="Q1371" s="10">
        <f t="shared" si="194"/>
        <v>4.4600938967136149E-2</v>
      </c>
      <c r="R1371" s="10">
        <f t="shared" si="195"/>
        <v>0.24324324324324326</v>
      </c>
      <c r="S1371" s="18">
        <f t="shared" si="196"/>
        <v>75.675675675675677</v>
      </c>
      <c r="T1371" s="8">
        <f>480-ProductionData[[#This Row],[Downtime Minutes]]</f>
        <v>447</v>
      </c>
      <c r="U1371" s="11">
        <f t="shared" si="197"/>
        <v>0.95302013422818788</v>
      </c>
      <c r="V1371" s="18">
        <f>ProductionData[[#This Row],[Profit]]/ProductionData[[#This Row],[Good Units]]</f>
        <v>24.324324324324323</v>
      </c>
      <c r="W1371" s="11">
        <f>ProductionData[[#This Row],[Good Units]]/ProductionData[[#This Row],[Operating Minutes]]</f>
        <v>0.91051454138702459</v>
      </c>
    </row>
    <row r="1372" spans="1:23">
      <c r="A1372" s="7">
        <v>46356</v>
      </c>
      <c r="B1372" s="8" t="s">
        <v>32</v>
      </c>
      <c r="C1372" s="8" t="s">
        <v>20</v>
      </c>
      <c r="D1372" s="8" t="s">
        <v>25</v>
      </c>
      <c r="E1372" s="8" t="s">
        <v>24</v>
      </c>
      <c r="F1372" s="9">
        <v>400</v>
      </c>
      <c r="G1372" s="9">
        <v>374</v>
      </c>
      <c r="H1372" s="9">
        <v>16</v>
      </c>
      <c r="I1372" s="9">
        <f t="shared" si="189"/>
        <v>358</v>
      </c>
      <c r="J1372" s="9">
        <v>42</v>
      </c>
      <c r="K1372" s="10">
        <f t="shared" si="190"/>
        <v>8.7499999999999994E-2</v>
      </c>
      <c r="L1372" s="17">
        <v>120</v>
      </c>
      <c r="M1372" s="17">
        <v>30800</v>
      </c>
      <c r="N1372" s="17">
        <f t="shared" si="191"/>
        <v>42960</v>
      </c>
      <c r="O1372" s="17">
        <f t="shared" si="192"/>
        <v>12160</v>
      </c>
      <c r="P1372" s="10">
        <f t="shared" si="193"/>
        <v>0.93500000000000005</v>
      </c>
      <c r="Q1372" s="10">
        <f t="shared" si="194"/>
        <v>4.2780748663101602E-2</v>
      </c>
      <c r="R1372" s="10">
        <f t="shared" si="195"/>
        <v>0.28305400372439476</v>
      </c>
      <c r="S1372" s="18">
        <f t="shared" si="196"/>
        <v>86.033519553072622</v>
      </c>
      <c r="T1372" s="8">
        <f>480-ProductionData[[#This Row],[Downtime Minutes]]</f>
        <v>438</v>
      </c>
      <c r="U1372" s="11">
        <f t="shared" si="197"/>
        <v>0.85388127853881279</v>
      </c>
      <c r="V1372" s="18">
        <f>ProductionData[[#This Row],[Profit]]/ProductionData[[#This Row],[Good Units]]</f>
        <v>33.966480446927378</v>
      </c>
      <c r="W1372" s="11">
        <f>ProductionData[[#This Row],[Good Units]]/ProductionData[[#This Row],[Operating Minutes]]</f>
        <v>0.81735159817351599</v>
      </c>
    </row>
    <row r="1373" spans="1:23">
      <c r="A1373" s="7">
        <v>46356</v>
      </c>
      <c r="B1373" s="8" t="s">
        <v>32</v>
      </c>
      <c r="C1373" s="8" t="s">
        <v>27</v>
      </c>
      <c r="D1373" s="8" t="s">
        <v>21</v>
      </c>
      <c r="E1373" s="8" t="s">
        <v>22</v>
      </c>
      <c r="F1373" s="9">
        <v>450</v>
      </c>
      <c r="G1373" s="9">
        <v>402</v>
      </c>
      <c r="H1373" s="9">
        <v>23</v>
      </c>
      <c r="I1373" s="9">
        <f t="shared" si="189"/>
        <v>379</v>
      </c>
      <c r="J1373" s="9">
        <v>62</v>
      </c>
      <c r="K1373" s="10">
        <f t="shared" si="190"/>
        <v>0.12916666666666668</v>
      </c>
      <c r="L1373" s="17">
        <v>100</v>
      </c>
      <c r="M1373" s="17">
        <v>30800</v>
      </c>
      <c r="N1373" s="17">
        <f t="shared" si="191"/>
        <v>37900</v>
      </c>
      <c r="O1373" s="17">
        <f t="shared" si="192"/>
        <v>7100</v>
      </c>
      <c r="P1373" s="10">
        <f t="shared" si="193"/>
        <v>0.89333333333333331</v>
      </c>
      <c r="Q1373" s="10">
        <f t="shared" si="194"/>
        <v>5.721393034825871E-2</v>
      </c>
      <c r="R1373" s="10">
        <f t="shared" si="195"/>
        <v>0.18733509234828497</v>
      </c>
      <c r="S1373" s="18">
        <f t="shared" si="196"/>
        <v>81.266490765171497</v>
      </c>
      <c r="T1373" s="8">
        <f>480-ProductionData[[#This Row],[Downtime Minutes]]</f>
        <v>418</v>
      </c>
      <c r="U1373" s="11">
        <f t="shared" si="197"/>
        <v>0.96172248803827753</v>
      </c>
      <c r="V1373" s="18">
        <f>ProductionData[[#This Row],[Profit]]/ProductionData[[#This Row],[Good Units]]</f>
        <v>18.733509234828496</v>
      </c>
      <c r="W1373" s="11">
        <f>ProductionData[[#This Row],[Good Units]]/ProductionData[[#This Row],[Operating Minutes]]</f>
        <v>0.90669856459330145</v>
      </c>
    </row>
    <row r="1374" spans="1:23">
      <c r="A1374" s="7">
        <v>46356</v>
      </c>
      <c r="B1374" s="8" t="s">
        <v>32</v>
      </c>
      <c r="C1374" s="8" t="s">
        <v>27</v>
      </c>
      <c r="D1374" s="8" t="s">
        <v>23</v>
      </c>
      <c r="E1374" s="8" t="s">
        <v>24</v>
      </c>
      <c r="F1374" s="9">
        <v>420</v>
      </c>
      <c r="G1374" s="9">
        <v>380</v>
      </c>
      <c r="H1374" s="9">
        <v>19</v>
      </c>
      <c r="I1374" s="9">
        <f t="shared" si="189"/>
        <v>361</v>
      </c>
      <c r="J1374" s="9">
        <v>66</v>
      </c>
      <c r="K1374" s="10">
        <f t="shared" si="190"/>
        <v>0.13750000000000001</v>
      </c>
      <c r="L1374" s="17">
        <v>120</v>
      </c>
      <c r="M1374" s="17">
        <v>30800</v>
      </c>
      <c r="N1374" s="17">
        <f t="shared" si="191"/>
        <v>43320</v>
      </c>
      <c r="O1374" s="17">
        <f t="shared" si="192"/>
        <v>12520</v>
      </c>
      <c r="P1374" s="10">
        <f t="shared" si="193"/>
        <v>0.90476190476190477</v>
      </c>
      <c r="Q1374" s="10">
        <f t="shared" si="194"/>
        <v>0.05</v>
      </c>
      <c r="R1374" s="10">
        <f t="shared" si="195"/>
        <v>0.28901200369344415</v>
      </c>
      <c r="S1374" s="18">
        <f t="shared" si="196"/>
        <v>85.31855955678671</v>
      </c>
      <c r="T1374" s="8">
        <f>480-ProductionData[[#This Row],[Downtime Minutes]]</f>
        <v>414</v>
      </c>
      <c r="U1374" s="11">
        <f t="shared" si="197"/>
        <v>0.91787439613526567</v>
      </c>
      <c r="V1374" s="18">
        <f>ProductionData[[#This Row],[Profit]]/ProductionData[[#This Row],[Good Units]]</f>
        <v>34.681440443213297</v>
      </c>
      <c r="W1374" s="11">
        <f>ProductionData[[#This Row],[Good Units]]/ProductionData[[#This Row],[Operating Minutes]]</f>
        <v>0.8719806763285024</v>
      </c>
    </row>
    <row r="1375" spans="1:23">
      <c r="A1375" s="7">
        <v>46356</v>
      </c>
      <c r="B1375" s="8" t="s">
        <v>32</v>
      </c>
      <c r="C1375" s="8" t="s">
        <v>27</v>
      </c>
      <c r="D1375" s="8" t="s">
        <v>25</v>
      </c>
      <c r="E1375" s="8" t="s">
        <v>26</v>
      </c>
      <c r="F1375" s="9">
        <v>480</v>
      </c>
      <c r="G1375" s="9">
        <v>404</v>
      </c>
      <c r="H1375" s="9">
        <v>26</v>
      </c>
      <c r="I1375" s="9">
        <f t="shared" si="189"/>
        <v>378</v>
      </c>
      <c r="J1375" s="9">
        <v>48</v>
      </c>
      <c r="K1375" s="10">
        <f t="shared" si="190"/>
        <v>0.1</v>
      </c>
      <c r="L1375" s="17">
        <v>90</v>
      </c>
      <c r="M1375" s="17">
        <v>30800</v>
      </c>
      <c r="N1375" s="17">
        <f t="shared" si="191"/>
        <v>34020</v>
      </c>
      <c r="O1375" s="17">
        <f t="shared" si="192"/>
        <v>3220</v>
      </c>
      <c r="P1375" s="10">
        <f t="shared" si="193"/>
        <v>0.84166666666666667</v>
      </c>
      <c r="Q1375" s="10">
        <f t="shared" si="194"/>
        <v>6.4356435643564358E-2</v>
      </c>
      <c r="R1375" s="10">
        <f t="shared" si="195"/>
        <v>9.4650205761316872E-2</v>
      </c>
      <c r="S1375" s="18">
        <f t="shared" si="196"/>
        <v>81.481481481481481</v>
      </c>
      <c r="T1375" s="8">
        <f>480-ProductionData[[#This Row],[Downtime Minutes]]</f>
        <v>432</v>
      </c>
      <c r="U1375" s="11">
        <f t="shared" si="197"/>
        <v>0.93518518518518523</v>
      </c>
      <c r="V1375" s="18">
        <f>ProductionData[[#This Row],[Profit]]/ProductionData[[#This Row],[Good Units]]</f>
        <v>8.518518518518519</v>
      </c>
      <c r="W1375" s="11">
        <f>ProductionData[[#This Row],[Good Units]]/ProductionData[[#This Row],[Operating Minutes]]</f>
        <v>0.875</v>
      </c>
    </row>
    <row r="1376" spans="1:23">
      <c r="A1376" s="7">
        <v>46356</v>
      </c>
      <c r="B1376" s="8" t="s">
        <v>32</v>
      </c>
      <c r="C1376" s="8" t="s">
        <v>28</v>
      </c>
      <c r="D1376" s="8" t="s">
        <v>21</v>
      </c>
      <c r="E1376" s="8" t="s">
        <v>24</v>
      </c>
      <c r="F1376" s="9">
        <v>400</v>
      </c>
      <c r="G1376" s="9">
        <v>391</v>
      </c>
      <c r="H1376" s="9">
        <v>8</v>
      </c>
      <c r="I1376" s="9">
        <f t="shared" si="189"/>
        <v>383</v>
      </c>
      <c r="J1376" s="9">
        <v>11</v>
      </c>
      <c r="K1376" s="10">
        <f t="shared" si="190"/>
        <v>2.2916666666666665E-2</v>
      </c>
      <c r="L1376" s="17">
        <v>120</v>
      </c>
      <c r="M1376" s="17">
        <v>30800</v>
      </c>
      <c r="N1376" s="17">
        <f t="shared" si="191"/>
        <v>45960</v>
      </c>
      <c r="O1376" s="17">
        <f t="shared" si="192"/>
        <v>15160</v>
      </c>
      <c r="P1376" s="10">
        <f t="shared" si="193"/>
        <v>0.97750000000000004</v>
      </c>
      <c r="Q1376" s="10">
        <f t="shared" si="194"/>
        <v>2.0460358056265986E-2</v>
      </c>
      <c r="R1376" s="10">
        <f t="shared" si="195"/>
        <v>0.329852045256745</v>
      </c>
      <c r="S1376" s="18">
        <f t="shared" si="196"/>
        <v>80.417754569190606</v>
      </c>
      <c r="T1376" s="8">
        <f>480-ProductionData[[#This Row],[Downtime Minutes]]</f>
        <v>469</v>
      </c>
      <c r="U1376" s="11">
        <f t="shared" si="197"/>
        <v>0.83368869936034118</v>
      </c>
      <c r="V1376" s="18">
        <f>ProductionData[[#This Row],[Profit]]/ProductionData[[#This Row],[Good Units]]</f>
        <v>39.582245430809401</v>
      </c>
      <c r="W1376" s="11">
        <f>ProductionData[[#This Row],[Good Units]]/ProductionData[[#This Row],[Operating Minutes]]</f>
        <v>0.81663113006396593</v>
      </c>
    </row>
    <row r="1377" spans="1:23">
      <c r="A1377" s="7">
        <v>46356</v>
      </c>
      <c r="B1377" s="8" t="s">
        <v>32</v>
      </c>
      <c r="C1377" s="8" t="s">
        <v>28</v>
      </c>
      <c r="D1377" s="8" t="s">
        <v>23</v>
      </c>
      <c r="E1377" s="8" t="s">
        <v>26</v>
      </c>
      <c r="F1377" s="9">
        <v>490</v>
      </c>
      <c r="G1377" s="9">
        <v>473</v>
      </c>
      <c r="H1377" s="9">
        <v>18</v>
      </c>
      <c r="I1377" s="9">
        <f t="shared" si="189"/>
        <v>455</v>
      </c>
      <c r="J1377" s="9">
        <v>13</v>
      </c>
      <c r="K1377" s="10">
        <f t="shared" si="190"/>
        <v>2.7083333333333334E-2</v>
      </c>
      <c r="L1377" s="17">
        <v>90</v>
      </c>
      <c r="M1377" s="17">
        <v>30800</v>
      </c>
      <c r="N1377" s="17">
        <f t="shared" si="191"/>
        <v>40950</v>
      </c>
      <c r="O1377" s="17">
        <f t="shared" si="192"/>
        <v>10150</v>
      </c>
      <c r="P1377" s="10">
        <f t="shared" si="193"/>
        <v>0.96530612244897962</v>
      </c>
      <c r="Q1377" s="10">
        <f t="shared" si="194"/>
        <v>3.8054968287526428E-2</v>
      </c>
      <c r="R1377" s="10">
        <f t="shared" si="195"/>
        <v>0.24786324786324787</v>
      </c>
      <c r="S1377" s="18">
        <f t="shared" si="196"/>
        <v>67.692307692307693</v>
      </c>
      <c r="T1377" s="8">
        <f>480-ProductionData[[#This Row],[Downtime Minutes]]</f>
        <v>467</v>
      </c>
      <c r="U1377" s="11">
        <f t="shared" si="197"/>
        <v>1.0128479657387581</v>
      </c>
      <c r="V1377" s="18">
        <f>ProductionData[[#This Row],[Profit]]/ProductionData[[#This Row],[Good Units]]</f>
        <v>22.307692307692307</v>
      </c>
      <c r="W1377" s="11">
        <f>ProductionData[[#This Row],[Good Units]]/ProductionData[[#This Row],[Operating Minutes]]</f>
        <v>0.97430406852248397</v>
      </c>
    </row>
    <row r="1378" spans="1:23">
      <c r="A1378" s="7">
        <v>46356</v>
      </c>
      <c r="B1378" s="8" t="s">
        <v>32</v>
      </c>
      <c r="C1378" s="8" t="s">
        <v>28</v>
      </c>
      <c r="D1378" s="8" t="s">
        <v>25</v>
      </c>
      <c r="E1378" s="8" t="s">
        <v>22</v>
      </c>
      <c r="F1378" s="9">
        <v>440</v>
      </c>
      <c r="G1378" s="9">
        <v>411</v>
      </c>
      <c r="H1378" s="9">
        <v>18</v>
      </c>
      <c r="I1378" s="9">
        <f t="shared" si="189"/>
        <v>393</v>
      </c>
      <c r="J1378" s="9">
        <v>34</v>
      </c>
      <c r="K1378" s="10">
        <f t="shared" si="190"/>
        <v>7.0833333333333331E-2</v>
      </c>
      <c r="L1378" s="17">
        <v>100</v>
      </c>
      <c r="M1378" s="17">
        <v>30800</v>
      </c>
      <c r="N1378" s="17">
        <f t="shared" si="191"/>
        <v>39300</v>
      </c>
      <c r="O1378" s="17">
        <f t="shared" si="192"/>
        <v>8500</v>
      </c>
      <c r="P1378" s="10">
        <f t="shared" si="193"/>
        <v>0.93409090909090908</v>
      </c>
      <c r="Q1378" s="10">
        <f t="shared" si="194"/>
        <v>4.3795620437956206E-2</v>
      </c>
      <c r="R1378" s="10">
        <f t="shared" si="195"/>
        <v>0.21628498727735368</v>
      </c>
      <c r="S1378" s="18">
        <f t="shared" si="196"/>
        <v>78.371501272264638</v>
      </c>
      <c r="T1378" s="8">
        <f>480-ProductionData[[#This Row],[Downtime Minutes]]</f>
        <v>446</v>
      </c>
      <c r="U1378" s="11">
        <f t="shared" si="197"/>
        <v>0.92152466367713004</v>
      </c>
      <c r="V1378" s="18">
        <f>ProductionData[[#This Row],[Profit]]/ProductionData[[#This Row],[Good Units]]</f>
        <v>21.628498727735369</v>
      </c>
      <c r="W1378" s="11">
        <f>ProductionData[[#This Row],[Good Units]]/ProductionData[[#This Row],[Operating Minutes]]</f>
        <v>0.8811659192825112</v>
      </c>
    </row>
    <row r="1379" spans="1:23">
      <c r="A1379" s="7">
        <v>46357</v>
      </c>
      <c r="B1379" s="8" t="s">
        <v>33</v>
      </c>
      <c r="C1379" s="8" t="s">
        <v>20</v>
      </c>
      <c r="D1379" s="8" t="s">
        <v>21</v>
      </c>
      <c r="E1379" s="8" t="s">
        <v>22</v>
      </c>
      <c r="F1379" s="9">
        <v>440</v>
      </c>
      <c r="G1379" s="9">
        <v>406</v>
      </c>
      <c r="H1379" s="9">
        <v>20</v>
      </c>
      <c r="I1379" s="9">
        <f t="shared" si="189"/>
        <v>386</v>
      </c>
      <c r="J1379" s="9">
        <v>40</v>
      </c>
      <c r="K1379" s="10">
        <f t="shared" si="190"/>
        <v>8.3333333333333329E-2</v>
      </c>
      <c r="L1379" s="17">
        <v>100</v>
      </c>
      <c r="M1379" s="17">
        <v>30800</v>
      </c>
      <c r="N1379" s="17">
        <f t="shared" si="191"/>
        <v>38600</v>
      </c>
      <c r="O1379" s="17">
        <f t="shared" si="192"/>
        <v>7800</v>
      </c>
      <c r="P1379" s="10">
        <f t="shared" si="193"/>
        <v>0.92272727272727273</v>
      </c>
      <c r="Q1379" s="10">
        <f t="shared" si="194"/>
        <v>4.9261083743842367E-2</v>
      </c>
      <c r="R1379" s="10">
        <f t="shared" si="195"/>
        <v>0.20207253886010362</v>
      </c>
      <c r="S1379" s="18">
        <f t="shared" si="196"/>
        <v>79.792746113989637</v>
      </c>
      <c r="T1379" s="8">
        <f>480-ProductionData[[#This Row],[Downtime Minutes]]</f>
        <v>440</v>
      </c>
      <c r="U1379" s="11">
        <f t="shared" si="197"/>
        <v>0.92272727272727273</v>
      </c>
      <c r="V1379" s="18">
        <f>ProductionData[[#This Row],[Profit]]/ProductionData[[#This Row],[Good Units]]</f>
        <v>20.207253886010363</v>
      </c>
      <c r="W1379" s="11">
        <f>ProductionData[[#This Row],[Good Units]]/ProductionData[[#This Row],[Operating Minutes]]</f>
        <v>0.87727272727272732</v>
      </c>
    </row>
    <row r="1380" spans="1:23">
      <c r="A1380" s="7">
        <v>46357</v>
      </c>
      <c r="B1380" s="8" t="s">
        <v>33</v>
      </c>
      <c r="C1380" s="8" t="s">
        <v>20</v>
      </c>
      <c r="D1380" s="8" t="s">
        <v>23</v>
      </c>
      <c r="E1380" s="8" t="s">
        <v>24</v>
      </c>
      <c r="F1380" s="9">
        <v>410</v>
      </c>
      <c r="G1380" s="9">
        <v>393</v>
      </c>
      <c r="H1380" s="9">
        <v>14</v>
      </c>
      <c r="I1380" s="9">
        <f t="shared" si="189"/>
        <v>379</v>
      </c>
      <c r="J1380" s="9">
        <v>34</v>
      </c>
      <c r="K1380" s="10">
        <f t="shared" si="190"/>
        <v>7.0833333333333331E-2</v>
      </c>
      <c r="L1380" s="17">
        <v>120</v>
      </c>
      <c r="M1380" s="17">
        <v>30800</v>
      </c>
      <c r="N1380" s="17">
        <f t="shared" si="191"/>
        <v>45480</v>
      </c>
      <c r="O1380" s="17">
        <f t="shared" si="192"/>
        <v>14680</v>
      </c>
      <c r="P1380" s="10">
        <f t="shared" si="193"/>
        <v>0.95853658536585362</v>
      </c>
      <c r="Q1380" s="10">
        <f t="shared" si="194"/>
        <v>3.5623409669211195E-2</v>
      </c>
      <c r="R1380" s="10">
        <f t="shared" si="195"/>
        <v>0.3227792436235708</v>
      </c>
      <c r="S1380" s="18">
        <f t="shared" si="196"/>
        <v>81.266490765171497</v>
      </c>
      <c r="T1380" s="8">
        <f>480-ProductionData[[#This Row],[Downtime Minutes]]</f>
        <v>446</v>
      </c>
      <c r="U1380" s="11">
        <f t="shared" si="197"/>
        <v>0.8811659192825112</v>
      </c>
      <c r="V1380" s="18">
        <f>ProductionData[[#This Row],[Profit]]/ProductionData[[#This Row],[Good Units]]</f>
        <v>38.733509234828496</v>
      </c>
      <c r="W1380" s="11">
        <f>ProductionData[[#This Row],[Good Units]]/ProductionData[[#This Row],[Operating Minutes]]</f>
        <v>0.84977578475336324</v>
      </c>
    </row>
    <row r="1381" spans="1:23">
      <c r="A1381" s="7">
        <v>46357</v>
      </c>
      <c r="B1381" s="8" t="s">
        <v>33</v>
      </c>
      <c r="C1381" s="8" t="s">
        <v>20</v>
      </c>
      <c r="D1381" s="8" t="s">
        <v>25</v>
      </c>
      <c r="E1381" s="8" t="s">
        <v>26</v>
      </c>
      <c r="F1381" s="9">
        <v>510</v>
      </c>
      <c r="G1381" s="9">
        <v>469</v>
      </c>
      <c r="H1381" s="9">
        <v>18</v>
      </c>
      <c r="I1381" s="9">
        <f t="shared" si="189"/>
        <v>451</v>
      </c>
      <c r="J1381" s="9">
        <v>44</v>
      </c>
      <c r="K1381" s="10">
        <f t="shared" si="190"/>
        <v>9.166666666666666E-2</v>
      </c>
      <c r="L1381" s="17">
        <v>90</v>
      </c>
      <c r="M1381" s="17">
        <v>30800</v>
      </c>
      <c r="N1381" s="17">
        <f t="shared" si="191"/>
        <v>40590</v>
      </c>
      <c r="O1381" s="17">
        <f t="shared" si="192"/>
        <v>9790</v>
      </c>
      <c r="P1381" s="10">
        <f t="shared" si="193"/>
        <v>0.91960784313725485</v>
      </c>
      <c r="Q1381" s="10">
        <f t="shared" si="194"/>
        <v>3.8379530916844352E-2</v>
      </c>
      <c r="R1381" s="10">
        <f t="shared" si="195"/>
        <v>0.24119241192411925</v>
      </c>
      <c r="S1381" s="18">
        <f t="shared" si="196"/>
        <v>68.292682926829272</v>
      </c>
      <c r="T1381" s="8">
        <f>480-ProductionData[[#This Row],[Downtime Minutes]]</f>
        <v>436</v>
      </c>
      <c r="U1381" s="11">
        <f t="shared" si="197"/>
        <v>1.0756880733944953</v>
      </c>
      <c r="V1381" s="18">
        <f>ProductionData[[#This Row],[Profit]]/ProductionData[[#This Row],[Good Units]]</f>
        <v>21.707317073170731</v>
      </c>
      <c r="W1381" s="11">
        <f>ProductionData[[#This Row],[Good Units]]/ProductionData[[#This Row],[Operating Minutes]]</f>
        <v>1.0344036697247707</v>
      </c>
    </row>
    <row r="1382" spans="1:23">
      <c r="A1382" s="7">
        <v>46357</v>
      </c>
      <c r="B1382" s="8" t="s">
        <v>33</v>
      </c>
      <c r="C1382" s="8" t="s">
        <v>27</v>
      </c>
      <c r="D1382" s="8" t="s">
        <v>21</v>
      </c>
      <c r="E1382" s="8" t="s">
        <v>24</v>
      </c>
      <c r="F1382" s="9">
        <v>410</v>
      </c>
      <c r="G1382" s="9">
        <v>356</v>
      </c>
      <c r="H1382" s="9">
        <v>16</v>
      </c>
      <c r="I1382" s="9">
        <f t="shared" si="189"/>
        <v>340</v>
      </c>
      <c r="J1382" s="9">
        <v>47</v>
      </c>
      <c r="K1382" s="10">
        <f t="shared" si="190"/>
        <v>9.7916666666666666E-2</v>
      </c>
      <c r="L1382" s="17">
        <v>120</v>
      </c>
      <c r="M1382" s="17">
        <v>30800</v>
      </c>
      <c r="N1382" s="17">
        <f t="shared" si="191"/>
        <v>40800</v>
      </c>
      <c r="O1382" s="17">
        <f t="shared" si="192"/>
        <v>10000</v>
      </c>
      <c r="P1382" s="10">
        <f t="shared" si="193"/>
        <v>0.86829268292682926</v>
      </c>
      <c r="Q1382" s="10">
        <f t="shared" si="194"/>
        <v>4.49438202247191E-2</v>
      </c>
      <c r="R1382" s="10">
        <f t="shared" si="195"/>
        <v>0.24509803921568626</v>
      </c>
      <c r="S1382" s="18">
        <f t="shared" si="196"/>
        <v>90.588235294117652</v>
      </c>
      <c r="T1382" s="8">
        <f>480-ProductionData[[#This Row],[Downtime Minutes]]</f>
        <v>433</v>
      </c>
      <c r="U1382" s="11">
        <f t="shared" si="197"/>
        <v>0.8221709006928406</v>
      </c>
      <c r="V1382" s="18">
        <f>ProductionData[[#This Row],[Profit]]/ProductionData[[#This Row],[Good Units]]</f>
        <v>29.411764705882351</v>
      </c>
      <c r="W1382" s="11">
        <f>ProductionData[[#This Row],[Good Units]]/ProductionData[[#This Row],[Operating Minutes]]</f>
        <v>0.78521939953810627</v>
      </c>
    </row>
    <row r="1383" spans="1:23">
      <c r="A1383" s="7">
        <v>46357</v>
      </c>
      <c r="B1383" s="8" t="s">
        <v>33</v>
      </c>
      <c r="C1383" s="8" t="s">
        <v>27</v>
      </c>
      <c r="D1383" s="8" t="s">
        <v>23</v>
      </c>
      <c r="E1383" s="8" t="s">
        <v>26</v>
      </c>
      <c r="F1383" s="9">
        <v>500</v>
      </c>
      <c r="G1383" s="9">
        <v>456</v>
      </c>
      <c r="H1383" s="9">
        <v>23</v>
      </c>
      <c r="I1383" s="9">
        <f t="shared" si="189"/>
        <v>433</v>
      </c>
      <c r="J1383" s="9">
        <v>44</v>
      </c>
      <c r="K1383" s="10">
        <f t="shared" si="190"/>
        <v>9.166666666666666E-2</v>
      </c>
      <c r="L1383" s="17">
        <v>90</v>
      </c>
      <c r="M1383" s="17">
        <v>30800</v>
      </c>
      <c r="N1383" s="17">
        <f t="shared" si="191"/>
        <v>38970</v>
      </c>
      <c r="O1383" s="17">
        <f t="shared" si="192"/>
        <v>8170</v>
      </c>
      <c r="P1383" s="10">
        <f t="shared" si="193"/>
        <v>0.91200000000000003</v>
      </c>
      <c r="Q1383" s="10">
        <f t="shared" si="194"/>
        <v>5.0438596491228067E-2</v>
      </c>
      <c r="R1383" s="10">
        <f t="shared" si="195"/>
        <v>0.20964844752373621</v>
      </c>
      <c r="S1383" s="18">
        <f t="shared" si="196"/>
        <v>71.131639722863738</v>
      </c>
      <c r="T1383" s="8">
        <f>480-ProductionData[[#This Row],[Downtime Minutes]]</f>
        <v>436</v>
      </c>
      <c r="U1383" s="11">
        <f t="shared" si="197"/>
        <v>1.0458715596330275</v>
      </c>
      <c r="V1383" s="18">
        <f>ProductionData[[#This Row],[Profit]]/ProductionData[[#This Row],[Good Units]]</f>
        <v>18.868360277136258</v>
      </c>
      <c r="W1383" s="11">
        <f>ProductionData[[#This Row],[Good Units]]/ProductionData[[#This Row],[Operating Minutes]]</f>
        <v>0.99311926605504586</v>
      </c>
    </row>
    <row r="1384" spans="1:23">
      <c r="A1384" s="7">
        <v>46357</v>
      </c>
      <c r="B1384" s="8" t="s">
        <v>33</v>
      </c>
      <c r="C1384" s="8" t="s">
        <v>27</v>
      </c>
      <c r="D1384" s="8" t="s">
        <v>25</v>
      </c>
      <c r="E1384" s="8" t="s">
        <v>22</v>
      </c>
      <c r="F1384" s="9">
        <v>450</v>
      </c>
      <c r="G1384" s="9">
        <v>395</v>
      </c>
      <c r="H1384" s="9">
        <v>31</v>
      </c>
      <c r="I1384" s="9">
        <f t="shared" si="189"/>
        <v>364</v>
      </c>
      <c r="J1384" s="9">
        <v>71</v>
      </c>
      <c r="K1384" s="10">
        <f t="shared" si="190"/>
        <v>0.14791666666666667</v>
      </c>
      <c r="L1384" s="17">
        <v>100</v>
      </c>
      <c r="M1384" s="17">
        <v>30800</v>
      </c>
      <c r="N1384" s="17">
        <f t="shared" si="191"/>
        <v>36400</v>
      </c>
      <c r="O1384" s="17">
        <f t="shared" si="192"/>
        <v>5600</v>
      </c>
      <c r="P1384" s="10">
        <f t="shared" si="193"/>
        <v>0.87777777777777777</v>
      </c>
      <c r="Q1384" s="10">
        <f t="shared" si="194"/>
        <v>7.848101265822785E-2</v>
      </c>
      <c r="R1384" s="10">
        <f t="shared" si="195"/>
        <v>0.15384615384615385</v>
      </c>
      <c r="S1384" s="18">
        <f t="shared" si="196"/>
        <v>84.615384615384613</v>
      </c>
      <c r="T1384" s="8">
        <f>480-ProductionData[[#This Row],[Downtime Minutes]]</f>
        <v>409</v>
      </c>
      <c r="U1384" s="11">
        <f t="shared" si="197"/>
        <v>0.96577017114914421</v>
      </c>
      <c r="V1384" s="18">
        <f>ProductionData[[#This Row],[Profit]]/ProductionData[[#This Row],[Good Units]]</f>
        <v>15.384615384615385</v>
      </c>
      <c r="W1384" s="11">
        <f>ProductionData[[#This Row],[Good Units]]/ProductionData[[#This Row],[Operating Minutes]]</f>
        <v>0.88997555012224938</v>
      </c>
    </row>
    <row r="1385" spans="1:23">
      <c r="A1385" s="7">
        <v>46357</v>
      </c>
      <c r="B1385" s="8" t="s">
        <v>33</v>
      </c>
      <c r="C1385" s="8" t="s">
        <v>28</v>
      </c>
      <c r="D1385" s="8" t="s">
        <v>21</v>
      </c>
      <c r="E1385" s="8" t="s">
        <v>26</v>
      </c>
      <c r="F1385" s="9">
        <v>510</v>
      </c>
      <c r="G1385" s="9">
        <v>507</v>
      </c>
      <c r="H1385" s="9">
        <v>16</v>
      </c>
      <c r="I1385" s="9">
        <f t="shared" si="189"/>
        <v>491</v>
      </c>
      <c r="J1385" s="9">
        <v>27</v>
      </c>
      <c r="K1385" s="10">
        <f t="shared" si="190"/>
        <v>5.6250000000000001E-2</v>
      </c>
      <c r="L1385" s="17">
        <v>90</v>
      </c>
      <c r="M1385" s="17">
        <v>30800</v>
      </c>
      <c r="N1385" s="17">
        <f t="shared" si="191"/>
        <v>44190</v>
      </c>
      <c r="O1385" s="17">
        <f t="shared" si="192"/>
        <v>13390</v>
      </c>
      <c r="P1385" s="10">
        <f t="shared" si="193"/>
        <v>0.99411764705882355</v>
      </c>
      <c r="Q1385" s="10">
        <f t="shared" si="194"/>
        <v>3.1558185404339252E-2</v>
      </c>
      <c r="R1385" s="10">
        <f t="shared" si="195"/>
        <v>0.30300973070830506</v>
      </c>
      <c r="S1385" s="18">
        <f t="shared" si="196"/>
        <v>62.729124236252545</v>
      </c>
      <c r="T1385" s="8">
        <f>480-ProductionData[[#This Row],[Downtime Minutes]]</f>
        <v>453</v>
      </c>
      <c r="U1385" s="11">
        <f t="shared" si="197"/>
        <v>1.119205298013245</v>
      </c>
      <c r="V1385" s="18">
        <f>ProductionData[[#This Row],[Profit]]/ProductionData[[#This Row],[Good Units]]</f>
        <v>27.270875763747455</v>
      </c>
      <c r="W1385" s="11">
        <f>ProductionData[[#This Row],[Good Units]]/ProductionData[[#This Row],[Operating Minutes]]</f>
        <v>1.0838852097130243</v>
      </c>
    </row>
    <row r="1386" spans="1:23">
      <c r="A1386" s="7">
        <v>46357</v>
      </c>
      <c r="B1386" s="8" t="s">
        <v>33</v>
      </c>
      <c r="C1386" s="8" t="s">
        <v>28</v>
      </c>
      <c r="D1386" s="8" t="s">
        <v>23</v>
      </c>
      <c r="E1386" s="8" t="s">
        <v>22</v>
      </c>
      <c r="F1386" s="9">
        <v>460</v>
      </c>
      <c r="G1386" s="9">
        <v>449</v>
      </c>
      <c r="H1386" s="9">
        <v>19</v>
      </c>
      <c r="I1386" s="9">
        <f t="shared" si="189"/>
        <v>430</v>
      </c>
      <c r="J1386" s="9">
        <v>24</v>
      </c>
      <c r="K1386" s="10">
        <f t="shared" si="190"/>
        <v>0.05</v>
      </c>
      <c r="L1386" s="17">
        <v>100</v>
      </c>
      <c r="M1386" s="17">
        <v>30800</v>
      </c>
      <c r="N1386" s="17">
        <f t="shared" si="191"/>
        <v>43000</v>
      </c>
      <c r="O1386" s="17">
        <f t="shared" si="192"/>
        <v>12200</v>
      </c>
      <c r="P1386" s="10">
        <f t="shared" si="193"/>
        <v>0.97608695652173916</v>
      </c>
      <c r="Q1386" s="10">
        <f t="shared" si="194"/>
        <v>4.2316258351893093E-2</v>
      </c>
      <c r="R1386" s="10">
        <f t="shared" si="195"/>
        <v>0.28372093023255812</v>
      </c>
      <c r="S1386" s="18">
        <f t="shared" si="196"/>
        <v>71.627906976744185</v>
      </c>
      <c r="T1386" s="8">
        <f>480-ProductionData[[#This Row],[Downtime Minutes]]</f>
        <v>456</v>
      </c>
      <c r="U1386" s="11">
        <f t="shared" si="197"/>
        <v>0.98464912280701755</v>
      </c>
      <c r="V1386" s="18">
        <f>ProductionData[[#This Row],[Profit]]/ProductionData[[#This Row],[Good Units]]</f>
        <v>28.372093023255815</v>
      </c>
      <c r="W1386" s="11">
        <f>ProductionData[[#This Row],[Good Units]]/ProductionData[[#This Row],[Operating Minutes]]</f>
        <v>0.94298245614035092</v>
      </c>
    </row>
    <row r="1387" spans="1:23">
      <c r="A1387" s="7">
        <v>46357</v>
      </c>
      <c r="B1387" s="8" t="s">
        <v>33</v>
      </c>
      <c r="C1387" s="8" t="s">
        <v>28</v>
      </c>
      <c r="D1387" s="8" t="s">
        <v>25</v>
      </c>
      <c r="E1387" s="8" t="s">
        <v>24</v>
      </c>
      <c r="F1387" s="9">
        <v>410</v>
      </c>
      <c r="G1387" s="9">
        <v>391</v>
      </c>
      <c r="H1387" s="9">
        <v>14</v>
      </c>
      <c r="I1387" s="9">
        <f t="shared" si="189"/>
        <v>377</v>
      </c>
      <c r="J1387" s="9">
        <v>32</v>
      </c>
      <c r="K1387" s="10">
        <f t="shared" si="190"/>
        <v>6.6666666666666666E-2</v>
      </c>
      <c r="L1387" s="17">
        <v>120</v>
      </c>
      <c r="M1387" s="17">
        <v>30800</v>
      </c>
      <c r="N1387" s="17">
        <f t="shared" si="191"/>
        <v>45240</v>
      </c>
      <c r="O1387" s="17">
        <f t="shared" si="192"/>
        <v>14440</v>
      </c>
      <c r="P1387" s="10">
        <f t="shared" si="193"/>
        <v>0.95365853658536581</v>
      </c>
      <c r="Q1387" s="10">
        <f t="shared" si="194"/>
        <v>3.5805626598465472E-2</v>
      </c>
      <c r="R1387" s="10">
        <f t="shared" si="195"/>
        <v>0.31918656056587091</v>
      </c>
      <c r="S1387" s="18">
        <f t="shared" si="196"/>
        <v>81.697612732095493</v>
      </c>
      <c r="T1387" s="8">
        <f>480-ProductionData[[#This Row],[Downtime Minutes]]</f>
        <v>448</v>
      </c>
      <c r="U1387" s="11">
        <f t="shared" si="197"/>
        <v>0.8727678571428571</v>
      </c>
      <c r="V1387" s="18">
        <f>ProductionData[[#This Row],[Profit]]/ProductionData[[#This Row],[Good Units]]</f>
        <v>38.302387267904507</v>
      </c>
      <c r="W1387" s="11">
        <f>ProductionData[[#This Row],[Good Units]]/ProductionData[[#This Row],[Operating Minutes]]</f>
        <v>0.8415178571428571</v>
      </c>
    </row>
    <row r="1388" spans="1:23">
      <c r="A1388" s="7">
        <v>46358</v>
      </c>
      <c r="B1388" s="8" t="s">
        <v>33</v>
      </c>
      <c r="C1388" s="8" t="s">
        <v>20</v>
      </c>
      <c r="D1388" s="8" t="s">
        <v>21</v>
      </c>
      <c r="E1388" s="8" t="s">
        <v>24</v>
      </c>
      <c r="F1388" s="9">
        <v>390</v>
      </c>
      <c r="G1388" s="9">
        <v>369</v>
      </c>
      <c r="H1388" s="9">
        <v>13</v>
      </c>
      <c r="I1388" s="9">
        <f t="shared" si="189"/>
        <v>356</v>
      </c>
      <c r="J1388" s="9">
        <v>34</v>
      </c>
      <c r="K1388" s="10">
        <f t="shared" si="190"/>
        <v>7.0833333333333331E-2</v>
      </c>
      <c r="L1388" s="17">
        <v>120</v>
      </c>
      <c r="M1388" s="17">
        <v>30800</v>
      </c>
      <c r="N1388" s="17">
        <f t="shared" si="191"/>
        <v>42720</v>
      </c>
      <c r="O1388" s="17">
        <f t="shared" si="192"/>
        <v>11920</v>
      </c>
      <c r="P1388" s="10">
        <f t="shared" si="193"/>
        <v>0.94615384615384612</v>
      </c>
      <c r="Q1388" s="10">
        <f t="shared" si="194"/>
        <v>3.5230352303523033E-2</v>
      </c>
      <c r="R1388" s="10">
        <f t="shared" si="195"/>
        <v>0.27902621722846443</v>
      </c>
      <c r="S1388" s="18">
        <f t="shared" si="196"/>
        <v>86.516853932584269</v>
      </c>
      <c r="T1388" s="8">
        <f>480-ProductionData[[#This Row],[Downtime Minutes]]</f>
        <v>446</v>
      </c>
      <c r="U1388" s="11">
        <f t="shared" si="197"/>
        <v>0.82735426008968604</v>
      </c>
      <c r="V1388" s="18">
        <f>ProductionData[[#This Row],[Profit]]/ProductionData[[#This Row],[Good Units]]</f>
        <v>33.483146067415731</v>
      </c>
      <c r="W1388" s="11">
        <f>ProductionData[[#This Row],[Good Units]]/ProductionData[[#This Row],[Operating Minutes]]</f>
        <v>0.7982062780269058</v>
      </c>
    </row>
    <row r="1389" spans="1:23">
      <c r="A1389" s="7">
        <v>46358</v>
      </c>
      <c r="B1389" s="8" t="s">
        <v>33</v>
      </c>
      <c r="C1389" s="8" t="s">
        <v>20</v>
      </c>
      <c r="D1389" s="8" t="s">
        <v>23</v>
      </c>
      <c r="E1389" s="8" t="s">
        <v>26</v>
      </c>
      <c r="F1389" s="9">
        <v>490</v>
      </c>
      <c r="G1389" s="9">
        <v>454</v>
      </c>
      <c r="H1389" s="9">
        <v>19</v>
      </c>
      <c r="I1389" s="9">
        <f t="shared" si="189"/>
        <v>435</v>
      </c>
      <c r="J1389" s="9">
        <v>23</v>
      </c>
      <c r="K1389" s="10">
        <f t="shared" si="190"/>
        <v>4.791666666666667E-2</v>
      </c>
      <c r="L1389" s="17">
        <v>90</v>
      </c>
      <c r="M1389" s="17">
        <v>30800</v>
      </c>
      <c r="N1389" s="17">
        <f t="shared" si="191"/>
        <v>39150</v>
      </c>
      <c r="O1389" s="17">
        <f t="shared" si="192"/>
        <v>8350</v>
      </c>
      <c r="P1389" s="10">
        <f t="shared" si="193"/>
        <v>0.92653061224489797</v>
      </c>
      <c r="Q1389" s="10">
        <f t="shared" si="194"/>
        <v>4.185022026431718E-2</v>
      </c>
      <c r="R1389" s="10">
        <f t="shared" si="195"/>
        <v>0.21328224776500637</v>
      </c>
      <c r="S1389" s="18">
        <f t="shared" si="196"/>
        <v>70.804597701149419</v>
      </c>
      <c r="T1389" s="8">
        <f>480-ProductionData[[#This Row],[Downtime Minutes]]</f>
        <v>457</v>
      </c>
      <c r="U1389" s="11">
        <f t="shared" si="197"/>
        <v>0.99343544857768051</v>
      </c>
      <c r="V1389" s="18">
        <f>ProductionData[[#This Row],[Profit]]/ProductionData[[#This Row],[Good Units]]</f>
        <v>19.195402298850574</v>
      </c>
      <c r="W1389" s="11">
        <f>ProductionData[[#This Row],[Good Units]]/ProductionData[[#This Row],[Operating Minutes]]</f>
        <v>0.9518599562363238</v>
      </c>
    </row>
    <row r="1390" spans="1:23">
      <c r="A1390" s="7">
        <v>46358</v>
      </c>
      <c r="B1390" s="8" t="s">
        <v>33</v>
      </c>
      <c r="C1390" s="8" t="s">
        <v>20</v>
      </c>
      <c r="D1390" s="8" t="s">
        <v>25</v>
      </c>
      <c r="E1390" s="8" t="s">
        <v>22</v>
      </c>
      <c r="F1390" s="9">
        <v>440</v>
      </c>
      <c r="G1390" s="9">
        <v>405</v>
      </c>
      <c r="H1390" s="9">
        <v>24</v>
      </c>
      <c r="I1390" s="9">
        <f t="shared" si="189"/>
        <v>381</v>
      </c>
      <c r="J1390" s="9">
        <v>45</v>
      </c>
      <c r="K1390" s="10">
        <f t="shared" si="190"/>
        <v>9.375E-2</v>
      </c>
      <c r="L1390" s="17">
        <v>100</v>
      </c>
      <c r="M1390" s="17">
        <v>30800</v>
      </c>
      <c r="N1390" s="17">
        <f t="shared" si="191"/>
        <v>38100</v>
      </c>
      <c r="O1390" s="17">
        <f t="shared" si="192"/>
        <v>7300</v>
      </c>
      <c r="P1390" s="10">
        <f t="shared" si="193"/>
        <v>0.92045454545454541</v>
      </c>
      <c r="Q1390" s="10">
        <f t="shared" si="194"/>
        <v>5.9259259259259262E-2</v>
      </c>
      <c r="R1390" s="10">
        <f t="shared" si="195"/>
        <v>0.19160104986876642</v>
      </c>
      <c r="S1390" s="18">
        <f t="shared" si="196"/>
        <v>80.839895013123353</v>
      </c>
      <c r="T1390" s="8">
        <f>480-ProductionData[[#This Row],[Downtime Minutes]]</f>
        <v>435</v>
      </c>
      <c r="U1390" s="11">
        <f t="shared" si="197"/>
        <v>0.93103448275862066</v>
      </c>
      <c r="V1390" s="18">
        <f>ProductionData[[#This Row],[Profit]]/ProductionData[[#This Row],[Good Units]]</f>
        <v>19.16010498687664</v>
      </c>
      <c r="W1390" s="11">
        <f>ProductionData[[#This Row],[Good Units]]/ProductionData[[#This Row],[Operating Minutes]]</f>
        <v>0.87586206896551722</v>
      </c>
    </row>
    <row r="1391" spans="1:23">
      <c r="A1391" s="7">
        <v>46358</v>
      </c>
      <c r="B1391" s="8" t="s">
        <v>33</v>
      </c>
      <c r="C1391" s="8" t="s">
        <v>27</v>
      </c>
      <c r="D1391" s="8" t="s">
        <v>21</v>
      </c>
      <c r="E1391" s="8" t="s">
        <v>26</v>
      </c>
      <c r="F1391" s="9">
        <v>490</v>
      </c>
      <c r="G1391" s="9">
        <v>455</v>
      </c>
      <c r="H1391" s="9">
        <v>22</v>
      </c>
      <c r="I1391" s="9">
        <f t="shared" si="189"/>
        <v>433</v>
      </c>
      <c r="J1391" s="9">
        <v>55</v>
      </c>
      <c r="K1391" s="10">
        <f t="shared" si="190"/>
        <v>0.11458333333333333</v>
      </c>
      <c r="L1391" s="17">
        <v>90</v>
      </c>
      <c r="M1391" s="17">
        <v>30800</v>
      </c>
      <c r="N1391" s="17">
        <f t="shared" si="191"/>
        <v>38970</v>
      </c>
      <c r="O1391" s="17">
        <f t="shared" si="192"/>
        <v>8170</v>
      </c>
      <c r="P1391" s="10">
        <f t="shared" si="193"/>
        <v>0.9285714285714286</v>
      </c>
      <c r="Q1391" s="10">
        <f t="shared" si="194"/>
        <v>4.8351648351648353E-2</v>
      </c>
      <c r="R1391" s="10">
        <f t="shared" si="195"/>
        <v>0.20964844752373621</v>
      </c>
      <c r="S1391" s="18">
        <f t="shared" si="196"/>
        <v>71.131639722863738</v>
      </c>
      <c r="T1391" s="8">
        <f>480-ProductionData[[#This Row],[Downtime Minutes]]</f>
        <v>425</v>
      </c>
      <c r="U1391" s="11">
        <f t="shared" si="197"/>
        <v>1.0705882352941176</v>
      </c>
      <c r="V1391" s="18">
        <f>ProductionData[[#This Row],[Profit]]/ProductionData[[#This Row],[Good Units]]</f>
        <v>18.868360277136258</v>
      </c>
      <c r="W1391" s="11">
        <f>ProductionData[[#This Row],[Good Units]]/ProductionData[[#This Row],[Operating Minutes]]</f>
        <v>1.0188235294117647</v>
      </c>
    </row>
    <row r="1392" spans="1:23">
      <c r="A1392" s="7">
        <v>46358</v>
      </c>
      <c r="B1392" s="8" t="s">
        <v>33</v>
      </c>
      <c r="C1392" s="8" t="s">
        <v>27</v>
      </c>
      <c r="D1392" s="8" t="s">
        <v>23</v>
      </c>
      <c r="E1392" s="8" t="s">
        <v>22</v>
      </c>
      <c r="F1392" s="9">
        <v>430</v>
      </c>
      <c r="G1392" s="9">
        <v>389</v>
      </c>
      <c r="H1392" s="9">
        <v>28</v>
      </c>
      <c r="I1392" s="9">
        <f t="shared" si="189"/>
        <v>361</v>
      </c>
      <c r="J1392" s="9">
        <v>49</v>
      </c>
      <c r="K1392" s="10">
        <f t="shared" si="190"/>
        <v>0.10208333333333333</v>
      </c>
      <c r="L1392" s="17">
        <v>100</v>
      </c>
      <c r="M1392" s="17">
        <v>30800</v>
      </c>
      <c r="N1392" s="17">
        <f t="shared" si="191"/>
        <v>36100</v>
      </c>
      <c r="O1392" s="17">
        <f t="shared" si="192"/>
        <v>5300</v>
      </c>
      <c r="P1392" s="10">
        <f t="shared" si="193"/>
        <v>0.90465116279069768</v>
      </c>
      <c r="Q1392" s="10">
        <f t="shared" si="194"/>
        <v>7.1979434447300775E-2</v>
      </c>
      <c r="R1392" s="10">
        <f t="shared" si="195"/>
        <v>0.14681440443213298</v>
      </c>
      <c r="S1392" s="18">
        <f t="shared" si="196"/>
        <v>85.31855955678671</v>
      </c>
      <c r="T1392" s="8">
        <f>480-ProductionData[[#This Row],[Downtime Minutes]]</f>
        <v>431</v>
      </c>
      <c r="U1392" s="11">
        <f t="shared" si="197"/>
        <v>0.90255220417633408</v>
      </c>
      <c r="V1392" s="18">
        <f>ProductionData[[#This Row],[Profit]]/ProductionData[[#This Row],[Good Units]]</f>
        <v>14.681440443213296</v>
      </c>
      <c r="W1392" s="11">
        <f>ProductionData[[#This Row],[Good Units]]/ProductionData[[#This Row],[Operating Minutes]]</f>
        <v>0.83758700696055688</v>
      </c>
    </row>
    <row r="1393" spans="1:23">
      <c r="A1393" s="7">
        <v>46358</v>
      </c>
      <c r="B1393" s="8" t="s">
        <v>33</v>
      </c>
      <c r="C1393" s="8" t="s">
        <v>27</v>
      </c>
      <c r="D1393" s="8" t="s">
        <v>25</v>
      </c>
      <c r="E1393" s="8" t="s">
        <v>24</v>
      </c>
      <c r="F1393" s="9">
        <v>390</v>
      </c>
      <c r="G1393" s="9">
        <v>342</v>
      </c>
      <c r="H1393" s="9">
        <v>20</v>
      </c>
      <c r="I1393" s="9">
        <f t="shared" si="189"/>
        <v>322</v>
      </c>
      <c r="J1393" s="9">
        <v>50</v>
      </c>
      <c r="K1393" s="10">
        <f t="shared" si="190"/>
        <v>0.10416666666666667</v>
      </c>
      <c r="L1393" s="17">
        <v>120</v>
      </c>
      <c r="M1393" s="17">
        <v>30800</v>
      </c>
      <c r="N1393" s="17">
        <f t="shared" si="191"/>
        <v>38640</v>
      </c>
      <c r="O1393" s="17">
        <f t="shared" si="192"/>
        <v>7840</v>
      </c>
      <c r="P1393" s="10">
        <f t="shared" si="193"/>
        <v>0.87692307692307692</v>
      </c>
      <c r="Q1393" s="10">
        <f t="shared" si="194"/>
        <v>5.8479532163742687E-2</v>
      </c>
      <c r="R1393" s="10">
        <f t="shared" si="195"/>
        <v>0.20289855072463769</v>
      </c>
      <c r="S1393" s="18">
        <f t="shared" si="196"/>
        <v>95.652173913043484</v>
      </c>
      <c r="T1393" s="8">
        <f>480-ProductionData[[#This Row],[Downtime Minutes]]</f>
        <v>430</v>
      </c>
      <c r="U1393" s="11">
        <f t="shared" si="197"/>
        <v>0.79534883720930227</v>
      </c>
      <c r="V1393" s="18">
        <f>ProductionData[[#This Row],[Profit]]/ProductionData[[#This Row],[Good Units]]</f>
        <v>24.347826086956523</v>
      </c>
      <c r="W1393" s="11">
        <f>ProductionData[[#This Row],[Good Units]]/ProductionData[[#This Row],[Operating Minutes]]</f>
        <v>0.74883720930232556</v>
      </c>
    </row>
    <row r="1394" spans="1:23">
      <c r="A1394" s="7">
        <v>46358</v>
      </c>
      <c r="B1394" s="8" t="s">
        <v>33</v>
      </c>
      <c r="C1394" s="8" t="s">
        <v>28</v>
      </c>
      <c r="D1394" s="8" t="s">
        <v>21</v>
      </c>
      <c r="E1394" s="8" t="s">
        <v>22</v>
      </c>
      <c r="F1394" s="9">
        <v>440</v>
      </c>
      <c r="G1394" s="9">
        <v>420</v>
      </c>
      <c r="H1394" s="9">
        <v>13</v>
      </c>
      <c r="I1394" s="9">
        <f t="shared" si="189"/>
        <v>407</v>
      </c>
      <c r="J1394" s="9">
        <v>36</v>
      </c>
      <c r="K1394" s="10">
        <f t="shared" si="190"/>
        <v>7.4999999999999997E-2</v>
      </c>
      <c r="L1394" s="17">
        <v>100</v>
      </c>
      <c r="M1394" s="17">
        <v>30800</v>
      </c>
      <c r="N1394" s="17">
        <f t="shared" si="191"/>
        <v>40700</v>
      </c>
      <c r="O1394" s="17">
        <f t="shared" si="192"/>
        <v>9900</v>
      </c>
      <c r="P1394" s="10">
        <f t="shared" si="193"/>
        <v>0.95454545454545459</v>
      </c>
      <c r="Q1394" s="10">
        <f t="shared" si="194"/>
        <v>3.0952380952380953E-2</v>
      </c>
      <c r="R1394" s="10">
        <f t="shared" si="195"/>
        <v>0.24324324324324326</v>
      </c>
      <c r="S1394" s="18">
        <f t="shared" si="196"/>
        <v>75.675675675675677</v>
      </c>
      <c r="T1394" s="8">
        <f>480-ProductionData[[#This Row],[Downtime Minutes]]</f>
        <v>444</v>
      </c>
      <c r="U1394" s="11">
        <f t="shared" si="197"/>
        <v>0.94594594594594594</v>
      </c>
      <c r="V1394" s="18">
        <f>ProductionData[[#This Row],[Profit]]/ProductionData[[#This Row],[Good Units]]</f>
        <v>24.324324324324323</v>
      </c>
      <c r="W1394" s="11">
        <f>ProductionData[[#This Row],[Good Units]]/ProductionData[[#This Row],[Operating Minutes]]</f>
        <v>0.91666666666666663</v>
      </c>
    </row>
    <row r="1395" spans="1:23">
      <c r="A1395" s="7">
        <v>46358</v>
      </c>
      <c r="B1395" s="8" t="s">
        <v>33</v>
      </c>
      <c r="C1395" s="8" t="s">
        <v>28</v>
      </c>
      <c r="D1395" s="8" t="s">
        <v>23</v>
      </c>
      <c r="E1395" s="8" t="s">
        <v>24</v>
      </c>
      <c r="F1395" s="9">
        <v>410</v>
      </c>
      <c r="G1395" s="9">
        <v>400</v>
      </c>
      <c r="H1395" s="9">
        <v>13</v>
      </c>
      <c r="I1395" s="9">
        <f t="shared" si="189"/>
        <v>387</v>
      </c>
      <c r="J1395" s="9">
        <v>23</v>
      </c>
      <c r="K1395" s="10">
        <f t="shared" si="190"/>
        <v>4.791666666666667E-2</v>
      </c>
      <c r="L1395" s="17">
        <v>120</v>
      </c>
      <c r="M1395" s="17">
        <v>30800</v>
      </c>
      <c r="N1395" s="17">
        <f t="shared" si="191"/>
        <v>46440</v>
      </c>
      <c r="O1395" s="17">
        <f t="shared" si="192"/>
        <v>15640</v>
      </c>
      <c r="P1395" s="10">
        <f t="shared" si="193"/>
        <v>0.97560975609756095</v>
      </c>
      <c r="Q1395" s="10">
        <f t="shared" si="194"/>
        <v>3.2500000000000001E-2</v>
      </c>
      <c r="R1395" s="10">
        <f t="shared" si="195"/>
        <v>0.33677863910422051</v>
      </c>
      <c r="S1395" s="18">
        <f t="shared" si="196"/>
        <v>79.586563307493535</v>
      </c>
      <c r="T1395" s="8">
        <f>480-ProductionData[[#This Row],[Downtime Minutes]]</f>
        <v>457</v>
      </c>
      <c r="U1395" s="11">
        <f t="shared" si="197"/>
        <v>0.87527352297592997</v>
      </c>
      <c r="V1395" s="18">
        <f>ProductionData[[#This Row],[Profit]]/ProductionData[[#This Row],[Good Units]]</f>
        <v>40.413436692506458</v>
      </c>
      <c r="W1395" s="11">
        <f>ProductionData[[#This Row],[Good Units]]/ProductionData[[#This Row],[Operating Minutes]]</f>
        <v>0.84682713347921224</v>
      </c>
    </row>
    <row r="1396" spans="1:23">
      <c r="A1396" s="7">
        <v>46358</v>
      </c>
      <c r="B1396" s="8" t="s">
        <v>33</v>
      </c>
      <c r="C1396" s="8" t="s">
        <v>28</v>
      </c>
      <c r="D1396" s="8" t="s">
        <v>25</v>
      </c>
      <c r="E1396" s="8" t="s">
        <v>26</v>
      </c>
      <c r="F1396" s="9">
        <v>520</v>
      </c>
      <c r="G1396" s="9">
        <v>473</v>
      </c>
      <c r="H1396" s="9">
        <v>17</v>
      </c>
      <c r="I1396" s="9">
        <f t="shared" si="189"/>
        <v>456</v>
      </c>
      <c r="J1396" s="9">
        <v>20</v>
      </c>
      <c r="K1396" s="10">
        <f t="shared" si="190"/>
        <v>4.1666666666666664E-2</v>
      </c>
      <c r="L1396" s="17">
        <v>90</v>
      </c>
      <c r="M1396" s="17">
        <v>30800</v>
      </c>
      <c r="N1396" s="17">
        <f t="shared" si="191"/>
        <v>41040</v>
      </c>
      <c r="O1396" s="17">
        <f t="shared" si="192"/>
        <v>10240</v>
      </c>
      <c r="P1396" s="10">
        <f t="shared" si="193"/>
        <v>0.9096153846153846</v>
      </c>
      <c r="Q1396" s="10">
        <f t="shared" si="194"/>
        <v>3.5940803382663845E-2</v>
      </c>
      <c r="R1396" s="10">
        <f t="shared" si="195"/>
        <v>0.24951267056530213</v>
      </c>
      <c r="S1396" s="18">
        <f t="shared" si="196"/>
        <v>67.543859649122808</v>
      </c>
      <c r="T1396" s="8">
        <f>480-ProductionData[[#This Row],[Downtime Minutes]]</f>
        <v>460</v>
      </c>
      <c r="U1396" s="11">
        <f t="shared" si="197"/>
        <v>1.0282608695652173</v>
      </c>
      <c r="V1396" s="18">
        <f>ProductionData[[#This Row],[Profit]]/ProductionData[[#This Row],[Good Units]]</f>
        <v>22.456140350877192</v>
      </c>
      <c r="W1396" s="11">
        <f>ProductionData[[#This Row],[Good Units]]/ProductionData[[#This Row],[Operating Minutes]]</f>
        <v>0.99130434782608701</v>
      </c>
    </row>
    <row r="1397" spans="1:23">
      <c r="A1397" s="7">
        <v>46359</v>
      </c>
      <c r="B1397" s="8" t="s">
        <v>33</v>
      </c>
      <c r="C1397" s="8" t="s">
        <v>20</v>
      </c>
      <c r="D1397" s="8" t="s">
        <v>21</v>
      </c>
      <c r="E1397" s="8" t="s">
        <v>26</v>
      </c>
      <c r="F1397" s="9">
        <v>510</v>
      </c>
      <c r="G1397" s="9">
        <v>498</v>
      </c>
      <c r="H1397" s="9">
        <v>20</v>
      </c>
      <c r="I1397" s="9">
        <f t="shared" si="189"/>
        <v>478</v>
      </c>
      <c r="J1397" s="9">
        <v>24</v>
      </c>
      <c r="K1397" s="10">
        <f t="shared" si="190"/>
        <v>0.05</v>
      </c>
      <c r="L1397" s="17">
        <v>90</v>
      </c>
      <c r="M1397" s="17">
        <v>30800</v>
      </c>
      <c r="N1397" s="17">
        <f t="shared" si="191"/>
        <v>43020</v>
      </c>
      <c r="O1397" s="17">
        <f t="shared" si="192"/>
        <v>12220</v>
      </c>
      <c r="P1397" s="10">
        <f t="shared" si="193"/>
        <v>0.97647058823529409</v>
      </c>
      <c r="Q1397" s="10">
        <f t="shared" si="194"/>
        <v>4.0160642570281124E-2</v>
      </c>
      <c r="R1397" s="10">
        <f t="shared" si="195"/>
        <v>0.28405392840539284</v>
      </c>
      <c r="S1397" s="18">
        <f t="shared" si="196"/>
        <v>64.43514644351464</v>
      </c>
      <c r="T1397" s="8">
        <f>480-ProductionData[[#This Row],[Downtime Minutes]]</f>
        <v>456</v>
      </c>
      <c r="U1397" s="11">
        <f t="shared" si="197"/>
        <v>1.0921052631578947</v>
      </c>
      <c r="V1397" s="18">
        <f>ProductionData[[#This Row],[Profit]]/ProductionData[[#This Row],[Good Units]]</f>
        <v>25.564853556485357</v>
      </c>
      <c r="W1397" s="11">
        <f>ProductionData[[#This Row],[Good Units]]/ProductionData[[#This Row],[Operating Minutes]]</f>
        <v>1.0482456140350878</v>
      </c>
    </row>
    <row r="1398" spans="1:23">
      <c r="A1398" s="7">
        <v>46359</v>
      </c>
      <c r="B1398" s="8" t="s">
        <v>33</v>
      </c>
      <c r="C1398" s="8" t="s">
        <v>20</v>
      </c>
      <c r="D1398" s="8" t="s">
        <v>23</v>
      </c>
      <c r="E1398" s="8" t="s">
        <v>22</v>
      </c>
      <c r="F1398" s="9">
        <v>440</v>
      </c>
      <c r="G1398" s="9">
        <v>414</v>
      </c>
      <c r="H1398" s="9">
        <v>22</v>
      </c>
      <c r="I1398" s="9">
        <f t="shared" si="189"/>
        <v>392</v>
      </c>
      <c r="J1398" s="9">
        <v>37</v>
      </c>
      <c r="K1398" s="10">
        <f t="shared" si="190"/>
        <v>7.7083333333333337E-2</v>
      </c>
      <c r="L1398" s="17">
        <v>100</v>
      </c>
      <c r="M1398" s="17">
        <v>30800</v>
      </c>
      <c r="N1398" s="17">
        <f t="shared" si="191"/>
        <v>39200</v>
      </c>
      <c r="O1398" s="17">
        <f t="shared" si="192"/>
        <v>8400</v>
      </c>
      <c r="P1398" s="10">
        <f t="shared" si="193"/>
        <v>0.94090909090909092</v>
      </c>
      <c r="Q1398" s="10">
        <f t="shared" si="194"/>
        <v>5.3140096618357488E-2</v>
      </c>
      <c r="R1398" s="10">
        <f t="shared" si="195"/>
        <v>0.21428571428571427</v>
      </c>
      <c r="S1398" s="18">
        <f t="shared" si="196"/>
        <v>78.571428571428569</v>
      </c>
      <c r="T1398" s="8">
        <f>480-ProductionData[[#This Row],[Downtime Minutes]]</f>
        <v>443</v>
      </c>
      <c r="U1398" s="11">
        <f t="shared" si="197"/>
        <v>0.93453724604966137</v>
      </c>
      <c r="V1398" s="18">
        <f>ProductionData[[#This Row],[Profit]]/ProductionData[[#This Row],[Good Units]]</f>
        <v>21.428571428571427</v>
      </c>
      <c r="W1398" s="11">
        <f>ProductionData[[#This Row],[Good Units]]/ProductionData[[#This Row],[Operating Minutes]]</f>
        <v>0.88487584650112872</v>
      </c>
    </row>
    <row r="1399" spans="1:23">
      <c r="A1399" s="7">
        <v>46359</v>
      </c>
      <c r="B1399" s="8" t="s">
        <v>33</v>
      </c>
      <c r="C1399" s="8" t="s">
        <v>20</v>
      </c>
      <c r="D1399" s="8" t="s">
        <v>25</v>
      </c>
      <c r="E1399" s="8" t="s">
        <v>24</v>
      </c>
      <c r="F1399" s="9">
        <v>400</v>
      </c>
      <c r="G1399" s="9">
        <v>354</v>
      </c>
      <c r="H1399" s="9">
        <v>15</v>
      </c>
      <c r="I1399" s="9">
        <f t="shared" si="189"/>
        <v>339</v>
      </c>
      <c r="J1399" s="9">
        <v>31</v>
      </c>
      <c r="K1399" s="10">
        <f t="shared" si="190"/>
        <v>6.458333333333334E-2</v>
      </c>
      <c r="L1399" s="17">
        <v>120</v>
      </c>
      <c r="M1399" s="17">
        <v>30800</v>
      </c>
      <c r="N1399" s="17">
        <f t="shared" si="191"/>
        <v>40680</v>
      </c>
      <c r="O1399" s="17">
        <f t="shared" si="192"/>
        <v>9880</v>
      </c>
      <c r="P1399" s="10">
        <f t="shared" si="193"/>
        <v>0.88500000000000001</v>
      </c>
      <c r="Q1399" s="10">
        <f t="shared" si="194"/>
        <v>4.2372881355932202E-2</v>
      </c>
      <c r="R1399" s="10">
        <f t="shared" si="195"/>
        <v>0.24287118977384464</v>
      </c>
      <c r="S1399" s="18">
        <f t="shared" si="196"/>
        <v>90.855457227138643</v>
      </c>
      <c r="T1399" s="8">
        <f>480-ProductionData[[#This Row],[Downtime Minutes]]</f>
        <v>449</v>
      </c>
      <c r="U1399" s="11">
        <f t="shared" si="197"/>
        <v>0.7884187082405345</v>
      </c>
      <c r="V1399" s="18">
        <f>ProductionData[[#This Row],[Profit]]/ProductionData[[#This Row],[Good Units]]</f>
        <v>29.144542772861357</v>
      </c>
      <c r="W1399" s="11">
        <f>ProductionData[[#This Row],[Good Units]]/ProductionData[[#This Row],[Operating Minutes]]</f>
        <v>0.75501113585746105</v>
      </c>
    </row>
    <row r="1400" spans="1:23">
      <c r="A1400" s="7">
        <v>46359</v>
      </c>
      <c r="B1400" s="8" t="s">
        <v>33</v>
      </c>
      <c r="C1400" s="8" t="s">
        <v>27</v>
      </c>
      <c r="D1400" s="8" t="s">
        <v>21</v>
      </c>
      <c r="E1400" s="8" t="s">
        <v>22</v>
      </c>
      <c r="F1400" s="9">
        <v>440</v>
      </c>
      <c r="G1400" s="9">
        <v>388</v>
      </c>
      <c r="H1400" s="9">
        <v>23</v>
      </c>
      <c r="I1400" s="9">
        <f t="shared" si="189"/>
        <v>365</v>
      </c>
      <c r="J1400" s="9">
        <v>65</v>
      </c>
      <c r="K1400" s="10">
        <f t="shared" si="190"/>
        <v>0.13541666666666666</v>
      </c>
      <c r="L1400" s="17">
        <v>100</v>
      </c>
      <c r="M1400" s="17">
        <v>30800</v>
      </c>
      <c r="N1400" s="17">
        <f t="shared" si="191"/>
        <v>36500</v>
      </c>
      <c r="O1400" s="17">
        <f t="shared" si="192"/>
        <v>5700</v>
      </c>
      <c r="P1400" s="10">
        <f t="shared" si="193"/>
        <v>0.88181818181818183</v>
      </c>
      <c r="Q1400" s="10">
        <f t="shared" si="194"/>
        <v>5.9278350515463915E-2</v>
      </c>
      <c r="R1400" s="10">
        <f t="shared" si="195"/>
        <v>0.15616438356164383</v>
      </c>
      <c r="S1400" s="18">
        <f t="shared" si="196"/>
        <v>84.38356164383562</v>
      </c>
      <c r="T1400" s="8">
        <f>480-ProductionData[[#This Row],[Downtime Minutes]]</f>
        <v>415</v>
      </c>
      <c r="U1400" s="11">
        <f t="shared" si="197"/>
        <v>0.93493975903614457</v>
      </c>
      <c r="V1400" s="18">
        <f>ProductionData[[#This Row],[Profit]]/ProductionData[[#This Row],[Good Units]]</f>
        <v>15.616438356164384</v>
      </c>
      <c r="W1400" s="11">
        <f>ProductionData[[#This Row],[Good Units]]/ProductionData[[#This Row],[Operating Minutes]]</f>
        <v>0.87951807228915657</v>
      </c>
    </row>
    <row r="1401" spans="1:23">
      <c r="A1401" s="7">
        <v>46359</v>
      </c>
      <c r="B1401" s="8" t="s">
        <v>33</v>
      </c>
      <c r="C1401" s="8" t="s">
        <v>27</v>
      </c>
      <c r="D1401" s="8" t="s">
        <v>23</v>
      </c>
      <c r="E1401" s="8" t="s">
        <v>24</v>
      </c>
      <c r="F1401" s="9">
        <v>380</v>
      </c>
      <c r="G1401" s="9">
        <v>343</v>
      </c>
      <c r="H1401" s="9">
        <v>20</v>
      </c>
      <c r="I1401" s="9">
        <f t="shared" si="189"/>
        <v>323</v>
      </c>
      <c r="J1401" s="9">
        <v>59</v>
      </c>
      <c r="K1401" s="10">
        <f t="shared" si="190"/>
        <v>0.12291666666666666</v>
      </c>
      <c r="L1401" s="17">
        <v>120</v>
      </c>
      <c r="M1401" s="17">
        <v>30800</v>
      </c>
      <c r="N1401" s="17">
        <f t="shared" si="191"/>
        <v>38760</v>
      </c>
      <c r="O1401" s="17">
        <f t="shared" si="192"/>
        <v>7960</v>
      </c>
      <c r="P1401" s="10">
        <f t="shared" si="193"/>
        <v>0.90263157894736845</v>
      </c>
      <c r="Q1401" s="10">
        <f t="shared" si="194"/>
        <v>5.8309037900874633E-2</v>
      </c>
      <c r="R1401" s="10">
        <f t="shared" si="195"/>
        <v>0.20536635706914344</v>
      </c>
      <c r="S1401" s="18">
        <f t="shared" si="196"/>
        <v>95.356037151702793</v>
      </c>
      <c r="T1401" s="8">
        <f>480-ProductionData[[#This Row],[Downtime Minutes]]</f>
        <v>421</v>
      </c>
      <c r="U1401" s="11">
        <f t="shared" si="197"/>
        <v>0.81472684085510694</v>
      </c>
      <c r="V1401" s="18">
        <f>ProductionData[[#This Row],[Profit]]/ProductionData[[#This Row],[Good Units]]</f>
        <v>24.643962848297214</v>
      </c>
      <c r="W1401" s="11">
        <f>ProductionData[[#This Row],[Good Units]]/ProductionData[[#This Row],[Operating Minutes]]</f>
        <v>0.76722090261282661</v>
      </c>
    </row>
    <row r="1402" spans="1:23">
      <c r="A1402" s="7">
        <v>46359</v>
      </c>
      <c r="B1402" s="8" t="s">
        <v>33</v>
      </c>
      <c r="C1402" s="8" t="s">
        <v>27</v>
      </c>
      <c r="D1402" s="8" t="s">
        <v>25</v>
      </c>
      <c r="E1402" s="8" t="s">
        <v>26</v>
      </c>
      <c r="F1402" s="9">
        <v>490</v>
      </c>
      <c r="G1402" s="9">
        <v>424</v>
      </c>
      <c r="H1402" s="9">
        <v>26</v>
      </c>
      <c r="I1402" s="9">
        <f t="shared" si="189"/>
        <v>398</v>
      </c>
      <c r="J1402" s="9">
        <v>47</v>
      </c>
      <c r="K1402" s="10">
        <f t="shared" si="190"/>
        <v>9.7916666666666666E-2</v>
      </c>
      <c r="L1402" s="17">
        <v>90</v>
      </c>
      <c r="M1402" s="17">
        <v>30800</v>
      </c>
      <c r="N1402" s="17">
        <f t="shared" si="191"/>
        <v>35820</v>
      </c>
      <c r="O1402" s="17">
        <f t="shared" si="192"/>
        <v>5020</v>
      </c>
      <c r="P1402" s="10">
        <f t="shared" si="193"/>
        <v>0.86530612244897964</v>
      </c>
      <c r="Q1402" s="10">
        <f t="shared" si="194"/>
        <v>6.1320754716981132E-2</v>
      </c>
      <c r="R1402" s="10">
        <f t="shared" si="195"/>
        <v>0.14014517029592408</v>
      </c>
      <c r="S1402" s="18">
        <f t="shared" si="196"/>
        <v>77.386934673366838</v>
      </c>
      <c r="T1402" s="8">
        <f>480-ProductionData[[#This Row],[Downtime Minutes]]</f>
        <v>433</v>
      </c>
      <c r="U1402" s="11">
        <f t="shared" si="197"/>
        <v>0.97921478060046185</v>
      </c>
      <c r="V1402" s="18">
        <f>ProductionData[[#This Row],[Profit]]/ProductionData[[#This Row],[Good Units]]</f>
        <v>12.613065326633166</v>
      </c>
      <c r="W1402" s="11">
        <f>ProductionData[[#This Row],[Good Units]]/ProductionData[[#This Row],[Operating Minutes]]</f>
        <v>0.91916859122401851</v>
      </c>
    </row>
    <row r="1403" spans="1:23">
      <c r="A1403" s="7">
        <v>46359</v>
      </c>
      <c r="B1403" s="8" t="s">
        <v>33</v>
      </c>
      <c r="C1403" s="8" t="s">
        <v>28</v>
      </c>
      <c r="D1403" s="8" t="s">
        <v>21</v>
      </c>
      <c r="E1403" s="8" t="s">
        <v>24</v>
      </c>
      <c r="F1403" s="9">
        <v>410</v>
      </c>
      <c r="G1403" s="9">
        <v>410</v>
      </c>
      <c r="H1403" s="9">
        <v>9</v>
      </c>
      <c r="I1403" s="9">
        <f t="shared" si="189"/>
        <v>401</v>
      </c>
      <c r="J1403" s="9">
        <v>26</v>
      </c>
      <c r="K1403" s="10">
        <f t="shared" si="190"/>
        <v>5.4166666666666669E-2</v>
      </c>
      <c r="L1403" s="17">
        <v>120</v>
      </c>
      <c r="M1403" s="17">
        <v>30800</v>
      </c>
      <c r="N1403" s="17">
        <f t="shared" si="191"/>
        <v>48120</v>
      </c>
      <c r="O1403" s="17">
        <f t="shared" si="192"/>
        <v>17320</v>
      </c>
      <c r="P1403" s="10">
        <f t="shared" si="193"/>
        <v>1</v>
      </c>
      <c r="Q1403" s="10">
        <f t="shared" si="194"/>
        <v>2.1951219512195121E-2</v>
      </c>
      <c r="R1403" s="10">
        <f t="shared" si="195"/>
        <v>0.35993349958437243</v>
      </c>
      <c r="S1403" s="18">
        <f t="shared" si="196"/>
        <v>76.807980049875312</v>
      </c>
      <c r="T1403" s="8">
        <f>480-ProductionData[[#This Row],[Downtime Minutes]]</f>
        <v>454</v>
      </c>
      <c r="U1403" s="11">
        <f t="shared" si="197"/>
        <v>0.90308370044052866</v>
      </c>
      <c r="V1403" s="18">
        <f>ProductionData[[#This Row],[Profit]]/ProductionData[[#This Row],[Good Units]]</f>
        <v>43.192019950124688</v>
      </c>
      <c r="W1403" s="11">
        <f>ProductionData[[#This Row],[Good Units]]/ProductionData[[#This Row],[Operating Minutes]]</f>
        <v>0.88325991189427311</v>
      </c>
    </row>
    <row r="1404" spans="1:23">
      <c r="A1404" s="7">
        <v>46359</v>
      </c>
      <c r="B1404" s="8" t="s">
        <v>33</v>
      </c>
      <c r="C1404" s="8" t="s">
        <v>28</v>
      </c>
      <c r="D1404" s="8" t="s">
        <v>23</v>
      </c>
      <c r="E1404" s="8" t="s">
        <v>26</v>
      </c>
      <c r="F1404" s="9">
        <v>500</v>
      </c>
      <c r="G1404" s="9">
        <v>488</v>
      </c>
      <c r="H1404" s="9">
        <v>14</v>
      </c>
      <c r="I1404" s="9">
        <f t="shared" si="189"/>
        <v>474</v>
      </c>
      <c r="J1404" s="9">
        <v>26</v>
      </c>
      <c r="K1404" s="10">
        <f t="shared" si="190"/>
        <v>5.4166666666666669E-2</v>
      </c>
      <c r="L1404" s="17">
        <v>90</v>
      </c>
      <c r="M1404" s="17">
        <v>30800</v>
      </c>
      <c r="N1404" s="17">
        <f t="shared" si="191"/>
        <v>42660</v>
      </c>
      <c r="O1404" s="17">
        <f t="shared" si="192"/>
        <v>11860</v>
      </c>
      <c r="P1404" s="10">
        <f t="shared" si="193"/>
        <v>0.97599999999999998</v>
      </c>
      <c r="Q1404" s="10">
        <f t="shared" si="194"/>
        <v>2.8688524590163935E-2</v>
      </c>
      <c r="R1404" s="10">
        <f t="shared" si="195"/>
        <v>0.27801218940459449</v>
      </c>
      <c r="S1404" s="18">
        <f t="shared" si="196"/>
        <v>64.978902953586498</v>
      </c>
      <c r="T1404" s="8">
        <f>480-ProductionData[[#This Row],[Downtime Minutes]]</f>
        <v>454</v>
      </c>
      <c r="U1404" s="11">
        <f t="shared" si="197"/>
        <v>1.0748898678414096</v>
      </c>
      <c r="V1404" s="18">
        <f>ProductionData[[#This Row],[Profit]]/ProductionData[[#This Row],[Good Units]]</f>
        <v>25.021097046413502</v>
      </c>
      <c r="W1404" s="11">
        <f>ProductionData[[#This Row],[Good Units]]/ProductionData[[#This Row],[Operating Minutes]]</f>
        <v>1.0440528634361232</v>
      </c>
    </row>
    <row r="1405" spans="1:23">
      <c r="A1405" s="7">
        <v>46359</v>
      </c>
      <c r="B1405" s="8" t="s">
        <v>33</v>
      </c>
      <c r="C1405" s="8" t="s">
        <v>28</v>
      </c>
      <c r="D1405" s="8" t="s">
        <v>25</v>
      </c>
      <c r="E1405" s="8" t="s">
        <v>22</v>
      </c>
      <c r="F1405" s="9">
        <v>450</v>
      </c>
      <c r="G1405" s="9">
        <v>418</v>
      </c>
      <c r="H1405" s="9">
        <v>20</v>
      </c>
      <c r="I1405" s="9">
        <f t="shared" si="189"/>
        <v>398</v>
      </c>
      <c r="J1405" s="9">
        <v>37</v>
      </c>
      <c r="K1405" s="10">
        <f t="shared" si="190"/>
        <v>7.7083333333333337E-2</v>
      </c>
      <c r="L1405" s="17">
        <v>100</v>
      </c>
      <c r="M1405" s="17">
        <v>30800</v>
      </c>
      <c r="N1405" s="17">
        <f t="shared" si="191"/>
        <v>39800</v>
      </c>
      <c r="O1405" s="17">
        <f t="shared" si="192"/>
        <v>9000</v>
      </c>
      <c r="P1405" s="10">
        <f t="shared" si="193"/>
        <v>0.92888888888888888</v>
      </c>
      <c r="Q1405" s="10">
        <f t="shared" si="194"/>
        <v>4.784688995215311E-2</v>
      </c>
      <c r="R1405" s="10">
        <f t="shared" si="195"/>
        <v>0.22613065326633167</v>
      </c>
      <c r="S1405" s="18">
        <f t="shared" si="196"/>
        <v>77.386934673366838</v>
      </c>
      <c r="T1405" s="8">
        <f>480-ProductionData[[#This Row],[Downtime Minutes]]</f>
        <v>443</v>
      </c>
      <c r="U1405" s="11">
        <f t="shared" si="197"/>
        <v>0.94356659142212185</v>
      </c>
      <c r="V1405" s="18">
        <f>ProductionData[[#This Row],[Profit]]/ProductionData[[#This Row],[Good Units]]</f>
        <v>22.613065326633166</v>
      </c>
      <c r="W1405" s="11">
        <f>ProductionData[[#This Row],[Good Units]]/ProductionData[[#This Row],[Operating Minutes]]</f>
        <v>0.89841986455981937</v>
      </c>
    </row>
    <row r="1406" spans="1:23">
      <c r="A1406" s="7">
        <v>46360</v>
      </c>
      <c r="B1406" s="8" t="s">
        <v>33</v>
      </c>
      <c r="C1406" s="8" t="s">
        <v>20</v>
      </c>
      <c r="D1406" s="8" t="s">
        <v>21</v>
      </c>
      <c r="E1406" s="8" t="s">
        <v>22</v>
      </c>
      <c r="F1406" s="9">
        <v>460</v>
      </c>
      <c r="G1406" s="9">
        <v>426</v>
      </c>
      <c r="H1406" s="9">
        <v>19</v>
      </c>
      <c r="I1406" s="9">
        <f t="shared" si="189"/>
        <v>407</v>
      </c>
      <c r="J1406" s="9">
        <v>35</v>
      </c>
      <c r="K1406" s="10">
        <f t="shared" si="190"/>
        <v>7.2916666666666671E-2</v>
      </c>
      <c r="L1406" s="17">
        <v>100</v>
      </c>
      <c r="M1406" s="17">
        <v>30800</v>
      </c>
      <c r="N1406" s="17">
        <f t="shared" si="191"/>
        <v>40700</v>
      </c>
      <c r="O1406" s="17">
        <f t="shared" si="192"/>
        <v>9900</v>
      </c>
      <c r="P1406" s="10">
        <f t="shared" si="193"/>
        <v>0.92608695652173911</v>
      </c>
      <c r="Q1406" s="10">
        <f t="shared" si="194"/>
        <v>4.4600938967136149E-2</v>
      </c>
      <c r="R1406" s="10">
        <f t="shared" si="195"/>
        <v>0.24324324324324326</v>
      </c>
      <c r="S1406" s="18">
        <f t="shared" si="196"/>
        <v>75.675675675675677</v>
      </c>
      <c r="T1406" s="8">
        <f>480-ProductionData[[#This Row],[Downtime Minutes]]</f>
        <v>445</v>
      </c>
      <c r="U1406" s="11">
        <f t="shared" si="197"/>
        <v>0.95730337078651684</v>
      </c>
      <c r="V1406" s="18">
        <f>ProductionData[[#This Row],[Profit]]/ProductionData[[#This Row],[Good Units]]</f>
        <v>24.324324324324323</v>
      </c>
      <c r="W1406" s="11">
        <f>ProductionData[[#This Row],[Good Units]]/ProductionData[[#This Row],[Operating Minutes]]</f>
        <v>0.91460674157303368</v>
      </c>
    </row>
    <row r="1407" spans="1:23">
      <c r="A1407" s="7">
        <v>46360</v>
      </c>
      <c r="B1407" s="8" t="s">
        <v>33</v>
      </c>
      <c r="C1407" s="8" t="s">
        <v>20</v>
      </c>
      <c r="D1407" s="8" t="s">
        <v>23</v>
      </c>
      <c r="E1407" s="8" t="s">
        <v>24</v>
      </c>
      <c r="F1407" s="9">
        <v>400</v>
      </c>
      <c r="G1407" s="9">
        <v>382</v>
      </c>
      <c r="H1407" s="9">
        <v>14</v>
      </c>
      <c r="I1407" s="9">
        <f t="shared" si="189"/>
        <v>368</v>
      </c>
      <c r="J1407" s="9">
        <v>39</v>
      </c>
      <c r="K1407" s="10">
        <f t="shared" si="190"/>
        <v>8.1250000000000003E-2</v>
      </c>
      <c r="L1407" s="17">
        <v>120</v>
      </c>
      <c r="M1407" s="17">
        <v>30800</v>
      </c>
      <c r="N1407" s="17">
        <f t="shared" si="191"/>
        <v>44160</v>
      </c>
      <c r="O1407" s="17">
        <f t="shared" si="192"/>
        <v>13360</v>
      </c>
      <c r="P1407" s="10">
        <f t="shared" si="193"/>
        <v>0.95499999999999996</v>
      </c>
      <c r="Q1407" s="10">
        <f t="shared" si="194"/>
        <v>3.6649214659685861E-2</v>
      </c>
      <c r="R1407" s="10">
        <f t="shared" si="195"/>
        <v>0.30253623188405798</v>
      </c>
      <c r="S1407" s="18">
        <f t="shared" si="196"/>
        <v>83.695652173913047</v>
      </c>
      <c r="T1407" s="8">
        <f>480-ProductionData[[#This Row],[Downtime Minutes]]</f>
        <v>441</v>
      </c>
      <c r="U1407" s="11">
        <f t="shared" si="197"/>
        <v>0.86621315192743764</v>
      </c>
      <c r="V1407" s="18">
        <f>ProductionData[[#This Row],[Profit]]/ProductionData[[#This Row],[Good Units]]</f>
        <v>36.304347826086953</v>
      </c>
      <c r="W1407" s="11">
        <f>ProductionData[[#This Row],[Good Units]]/ProductionData[[#This Row],[Operating Minutes]]</f>
        <v>0.8344671201814059</v>
      </c>
    </row>
    <row r="1408" spans="1:23">
      <c r="A1408" s="7">
        <v>46360</v>
      </c>
      <c r="B1408" s="8" t="s">
        <v>33</v>
      </c>
      <c r="C1408" s="8" t="s">
        <v>20</v>
      </c>
      <c r="D1408" s="8" t="s">
        <v>25</v>
      </c>
      <c r="E1408" s="8" t="s">
        <v>26</v>
      </c>
      <c r="F1408" s="9">
        <v>500</v>
      </c>
      <c r="G1408" s="9">
        <v>449</v>
      </c>
      <c r="H1408" s="9">
        <v>23</v>
      </c>
      <c r="I1408" s="9">
        <f t="shared" si="189"/>
        <v>426</v>
      </c>
      <c r="J1408" s="9">
        <v>32</v>
      </c>
      <c r="K1408" s="10">
        <f t="shared" si="190"/>
        <v>6.6666666666666666E-2</v>
      </c>
      <c r="L1408" s="17">
        <v>90</v>
      </c>
      <c r="M1408" s="17">
        <v>30800</v>
      </c>
      <c r="N1408" s="17">
        <f t="shared" si="191"/>
        <v>38340</v>
      </c>
      <c r="O1408" s="17">
        <f t="shared" si="192"/>
        <v>7540</v>
      </c>
      <c r="P1408" s="10">
        <f t="shared" si="193"/>
        <v>0.89800000000000002</v>
      </c>
      <c r="Q1408" s="10">
        <f t="shared" si="194"/>
        <v>5.1224944320712694E-2</v>
      </c>
      <c r="R1408" s="10">
        <f t="shared" si="195"/>
        <v>0.19666145018257694</v>
      </c>
      <c r="S1408" s="18">
        <f t="shared" si="196"/>
        <v>72.300469483568079</v>
      </c>
      <c r="T1408" s="8">
        <f>480-ProductionData[[#This Row],[Downtime Minutes]]</f>
        <v>448</v>
      </c>
      <c r="U1408" s="11">
        <f t="shared" si="197"/>
        <v>1.0022321428571428</v>
      </c>
      <c r="V1408" s="18">
        <f>ProductionData[[#This Row],[Profit]]/ProductionData[[#This Row],[Good Units]]</f>
        <v>17.699530516431924</v>
      </c>
      <c r="W1408" s="11">
        <f>ProductionData[[#This Row],[Good Units]]/ProductionData[[#This Row],[Operating Minutes]]</f>
        <v>0.9508928571428571</v>
      </c>
    </row>
    <row r="1409" spans="1:23">
      <c r="A1409" s="7">
        <v>46360</v>
      </c>
      <c r="B1409" s="8" t="s">
        <v>33</v>
      </c>
      <c r="C1409" s="8" t="s">
        <v>27</v>
      </c>
      <c r="D1409" s="8" t="s">
        <v>21</v>
      </c>
      <c r="E1409" s="8" t="s">
        <v>24</v>
      </c>
      <c r="F1409" s="9">
        <v>410</v>
      </c>
      <c r="G1409" s="9">
        <v>377</v>
      </c>
      <c r="H1409" s="9">
        <v>20</v>
      </c>
      <c r="I1409" s="9">
        <f t="shared" si="189"/>
        <v>357</v>
      </c>
      <c r="J1409" s="9">
        <v>47</v>
      </c>
      <c r="K1409" s="10">
        <f t="shared" si="190"/>
        <v>9.7916666666666666E-2</v>
      </c>
      <c r="L1409" s="17">
        <v>120</v>
      </c>
      <c r="M1409" s="17">
        <v>30800</v>
      </c>
      <c r="N1409" s="17">
        <f t="shared" si="191"/>
        <v>42840</v>
      </c>
      <c r="O1409" s="17">
        <f t="shared" si="192"/>
        <v>12040</v>
      </c>
      <c r="P1409" s="10">
        <f t="shared" si="193"/>
        <v>0.91951219512195126</v>
      </c>
      <c r="Q1409" s="10">
        <f t="shared" si="194"/>
        <v>5.3050397877984087E-2</v>
      </c>
      <c r="R1409" s="10">
        <f t="shared" si="195"/>
        <v>0.28104575163398693</v>
      </c>
      <c r="S1409" s="18">
        <f t="shared" si="196"/>
        <v>86.274509803921575</v>
      </c>
      <c r="T1409" s="8">
        <f>480-ProductionData[[#This Row],[Downtime Minutes]]</f>
        <v>433</v>
      </c>
      <c r="U1409" s="11">
        <f t="shared" si="197"/>
        <v>0.87066974595842961</v>
      </c>
      <c r="V1409" s="18">
        <f>ProductionData[[#This Row],[Profit]]/ProductionData[[#This Row],[Good Units]]</f>
        <v>33.725490196078432</v>
      </c>
      <c r="W1409" s="11">
        <f>ProductionData[[#This Row],[Good Units]]/ProductionData[[#This Row],[Operating Minutes]]</f>
        <v>0.82448036951501158</v>
      </c>
    </row>
    <row r="1410" spans="1:23">
      <c r="A1410" s="7">
        <v>46360</v>
      </c>
      <c r="B1410" s="8" t="s">
        <v>33</v>
      </c>
      <c r="C1410" s="8" t="s">
        <v>27</v>
      </c>
      <c r="D1410" s="8" t="s">
        <v>23</v>
      </c>
      <c r="E1410" s="8" t="s">
        <v>26</v>
      </c>
      <c r="F1410" s="9">
        <v>480</v>
      </c>
      <c r="G1410" s="9">
        <v>433</v>
      </c>
      <c r="H1410" s="9">
        <v>25</v>
      </c>
      <c r="I1410" s="9">
        <f t="shared" ref="I1410:I1473" si="198">G1410-H1410</f>
        <v>408</v>
      </c>
      <c r="J1410" s="9">
        <v>50</v>
      </c>
      <c r="K1410" s="10">
        <f t="shared" ref="K1410:K1473" si="199">J1410/480</f>
        <v>0.10416666666666667</v>
      </c>
      <c r="L1410" s="17">
        <v>90</v>
      </c>
      <c r="M1410" s="17">
        <v>30800</v>
      </c>
      <c r="N1410" s="17">
        <f t="shared" ref="N1410:N1473" si="200">I1410*L1410</f>
        <v>36720</v>
      </c>
      <c r="O1410" s="17">
        <f t="shared" ref="O1410:O1473" si="201">N1410-M1410</f>
        <v>5920</v>
      </c>
      <c r="P1410" s="10">
        <f t="shared" ref="P1410:P1473" si="202">G1410/F1410</f>
        <v>0.90208333333333335</v>
      </c>
      <c r="Q1410" s="10">
        <f t="shared" ref="Q1410:Q1473" si="203">H1410/G1410</f>
        <v>5.7736720554272515E-2</v>
      </c>
      <c r="R1410" s="10">
        <f t="shared" ref="R1410:R1473" si="204">O1410/N1410</f>
        <v>0.16122004357298475</v>
      </c>
      <c r="S1410" s="18">
        <f t="shared" ref="S1410:S1473" si="205">M1410/I1410</f>
        <v>75.490196078431367</v>
      </c>
      <c r="T1410" s="8">
        <f>480-ProductionData[[#This Row],[Downtime Minutes]]</f>
        <v>430</v>
      </c>
      <c r="U1410" s="11">
        <f t="shared" ref="U1410:U1473" si="206">G1410/T1410</f>
        <v>1.0069767441860464</v>
      </c>
      <c r="V1410" s="18">
        <f>ProductionData[[#This Row],[Profit]]/ProductionData[[#This Row],[Good Units]]</f>
        <v>14.509803921568627</v>
      </c>
      <c r="W1410" s="11">
        <f>ProductionData[[#This Row],[Good Units]]/ProductionData[[#This Row],[Operating Minutes]]</f>
        <v>0.94883720930232562</v>
      </c>
    </row>
    <row r="1411" spans="1:23">
      <c r="A1411" s="7">
        <v>46360</v>
      </c>
      <c r="B1411" s="8" t="s">
        <v>33</v>
      </c>
      <c r="C1411" s="8" t="s">
        <v>27</v>
      </c>
      <c r="D1411" s="8" t="s">
        <v>25</v>
      </c>
      <c r="E1411" s="8" t="s">
        <v>22</v>
      </c>
      <c r="F1411" s="9">
        <v>450</v>
      </c>
      <c r="G1411" s="9">
        <v>392</v>
      </c>
      <c r="H1411" s="9">
        <v>27</v>
      </c>
      <c r="I1411" s="9">
        <f t="shared" si="198"/>
        <v>365</v>
      </c>
      <c r="J1411" s="9">
        <v>66</v>
      </c>
      <c r="K1411" s="10">
        <f t="shared" si="199"/>
        <v>0.13750000000000001</v>
      </c>
      <c r="L1411" s="17">
        <v>100</v>
      </c>
      <c r="M1411" s="17">
        <v>30800</v>
      </c>
      <c r="N1411" s="17">
        <f t="shared" si="200"/>
        <v>36500</v>
      </c>
      <c r="O1411" s="17">
        <f t="shared" si="201"/>
        <v>5700</v>
      </c>
      <c r="P1411" s="10">
        <f t="shared" si="202"/>
        <v>0.87111111111111106</v>
      </c>
      <c r="Q1411" s="10">
        <f t="shared" si="203"/>
        <v>6.8877551020408156E-2</v>
      </c>
      <c r="R1411" s="10">
        <f t="shared" si="204"/>
        <v>0.15616438356164383</v>
      </c>
      <c r="S1411" s="18">
        <f t="shared" si="205"/>
        <v>84.38356164383562</v>
      </c>
      <c r="T1411" s="8">
        <f>480-ProductionData[[#This Row],[Downtime Minutes]]</f>
        <v>414</v>
      </c>
      <c r="U1411" s="11">
        <f t="shared" si="206"/>
        <v>0.9468599033816425</v>
      </c>
      <c r="V1411" s="18">
        <f>ProductionData[[#This Row],[Profit]]/ProductionData[[#This Row],[Good Units]]</f>
        <v>15.616438356164384</v>
      </c>
      <c r="W1411" s="11">
        <f>ProductionData[[#This Row],[Good Units]]/ProductionData[[#This Row],[Operating Minutes]]</f>
        <v>0.88164251207729472</v>
      </c>
    </row>
    <row r="1412" spans="1:23">
      <c r="A1412" s="7">
        <v>46360</v>
      </c>
      <c r="B1412" s="8" t="s">
        <v>33</v>
      </c>
      <c r="C1412" s="8" t="s">
        <v>28</v>
      </c>
      <c r="D1412" s="8" t="s">
        <v>21</v>
      </c>
      <c r="E1412" s="8" t="s">
        <v>26</v>
      </c>
      <c r="F1412" s="9">
        <v>510</v>
      </c>
      <c r="G1412" s="9">
        <v>510</v>
      </c>
      <c r="H1412" s="9">
        <v>15</v>
      </c>
      <c r="I1412" s="9">
        <f t="shared" si="198"/>
        <v>495</v>
      </c>
      <c r="J1412" s="9">
        <v>10</v>
      </c>
      <c r="K1412" s="10">
        <f t="shared" si="199"/>
        <v>2.0833333333333332E-2</v>
      </c>
      <c r="L1412" s="17">
        <v>90</v>
      </c>
      <c r="M1412" s="17">
        <v>30800</v>
      </c>
      <c r="N1412" s="17">
        <f t="shared" si="200"/>
        <v>44550</v>
      </c>
      <c r="O1412" s="17">
        <f t="shared" si="201"/>
        <v>13750</v>
      </c>
      <c r="P1412" s="10">
        <f t="shared" si="202"/>
        <v>1</v>
      </c>
      <c r="Q1412" s="10">
        <f t="shared" si="203"/>
        <v>2.9411764705882353E-2</v>
      </c>
      <c r="R1412" s="10">
        <f t="shared" si="204"/>
        <v>0.30864197530864196</v>
      </c>
      <c r="S1412" s="18">
        <f t="shared" si="205"/>
        <v>62.222222222222221</v>
      </c>
      <c r="T1412" s="8">
        <f>480-ProductionData[[#This Row],[Downtime Minutes]]</f>
        <v>470</v>
      </c>
      <c r="U1412" s="11">
        <f t="shared" si="206"/>
        <v>1.0851063829787233</v>
      </c>
      <c r="V1412" s="18">
        <f>ProductionData[[#This Row],[Profit]]/ProductionData[[#This Row],[Good Units]]</f>
        <v>27.777777777777779</v>
      </c>
      <c r="W1412" s="11">
        <f>ProductionData[[#This Row],[Good Units]]/ProductionData[[#This Row],[Operating Minutes]]</f>
        <v>1.053191489361702</v>
      </c>
    </row>
    <row r="1413" spans="1:23">
      <c r="A1413" s="7">
        <v>46360</v>
      </c>
      <c r="B1413" s="8" t="s">
        <v>33</v>
      </c>
      <c r="C1413" s="8" t="s">
        <v>28</v>
      </c>
      <c r="D1413" s="8" t="s">
        <v>23</v>
      </c>
      <c r="E1413" s="8" t="s">
        <v>22</v>
      </c>
      <c r="F1413" s="9">
        <v>450</v>
      </c>
      <c r="G1413" s="9">
        <v>424</v>
      </c>
      <c r="H1413" s="9">
        <v>16</v>
      </c>
      <c r="I1413" s="9">
        <f t="shared" si="198"/>
        <v>408</v>
      </c>
      <c r="J1413" s="9">
        <v>34</v>
      </c>
      <c r="K1413" s="10">
        <f t="shared" si="199"/>
        <v>7.0833333333333331E-2</v>
      </c>
      <c r="L1413" s="17">
        <v>100</v>
      </c>
      <c r="M1413" s="17">
        <v>30800</v>
      </c>
      <c r="N1413" s="17">
        <f t="shared" si="200"/>
        <v>40800</v>
      </c>
      <c r="O1413" s="17">
        <f t="shared" si="201"/>
        <v>10000</v>
      </c>
      <c r="P1413" s="10">
        <f t="shared" si="202"/>
        <v>0.94222222222222218</v>
      </c>
      <c r="Q1413" s="10">
        <f t="shared" si="203"/>
        <v>3.7735849056603772E-2</v>
      </c>
      <c r="R1413" s="10">
        <f t="shared" si="204"/>
        <v>0.24509803921568626</v>
      </c>
      <c r="S1413" s="18">
        <f t="shared" si="205"/>
        <v>75.490196078431367</v>
      </c>
      <c r="T1413" s="8">
        <f>480-ProductionData[[#This Row],[Downtime Minutes]]</f>
        <v>446</v>
      </c>
      <c r="U1413" s="11">
        <f t="shared" si="206"/>
        <v>0.95067264573991028</v>
      </c>
      <c r="V1413" s="18">
        <f>ProductionData[[#This Row],[Profit]]/ProductionData[[#This Row],[Good Units]]</f>
        <v>24.509803921568629</v>
      </c>
      <c r="W1413" s="11">
        <f>ProductionData[[#This Row],[Good Units]]/ProductionData[[#This Row],[Operating Minutes]]</f>
        <v>0.91479820627802688</v>
      </c>
    </row>
    <row r="1414" spans="1:23">
      <c r="A1414" s="7">
        <v>46360</v>
      </c>
      <c r="B1414" s="8" t="s">
        <v>33</v>
      </c>
      <c r="C1414" s="8" t="s">
        <v>28</v>
      </c>
      <c r="D1414" s="8" t="s">
        <v>25</v>
      </c>
      <c r="E1414" s="8" t="s">
        <v>24</v>
      </c>
      <c r="F1414" s="9">
        <v>390</v>
      </c>
      <c r="G1414" s="9">
        <v>361</v>
      </c>
      <c r="H1414" s="9">
        <v>13</v>
      </c>
      <c r="I1414" s="9">
        <f t="shared" si="198"/>
        <v>348</v>
      </c>
      <c r="J1414" s="9">
        <v>47</v>
      </c>
      <c r="K1414" s="10">
        <f t="shared" si="199"/>
        <v>9.7916666666666666E-2</v>
      </c>
      <c r="L1414" s="17">
        <v>120</v>
      </c>
      <c r="M1414" s="17">
        <v>30800</v>
      </c>
      <c r="N1414" s="17">
        <f t="shared" si="200"/>
        <v>41760</v>
      </c>
      <c r="O1414" s="17">
        <f t="shared" si="201"/>
        <v>10960</v>
      </c>
      <c r="P1414" s="10">
        <f t="shared" si="202"/>
        <v>0.92564102564102568</v>
      </c>
      <c r="Q1414" s="10">
        <f t="shared" si="203"/>
        <v>3.6011080332409975E-2</v>
      </c>
      <c r="R1414" s="10">
        <f t="shared" si="204"/>
        <v>0.26245210727969348</v>
      </c>
      <c r="S1414" s="18">
        <f t="shared" si="205"/>
        <v>88.505747126436788</v>
      </c>
      <c r="T1414" s="8">
        <f>480-ProductionData[[#This Row],[Downtime Minutes]]</f>
        <v>433</v>
      </c>
      <c r="U1414" s="11">
        <f t="shared" si="206"/>
        <v>0.83371824480369516</v>
      </c>
      <c r="V1414" s="18">
        <f>ProductionData[[#This Row],[Profit]]/ProductionData[[#This Row],[Good Units]]</f>
        <v>31.494252873563219</v>
      </c>
      <c r="W1414" s="11">
        <f>ProductionData[[#This Row],[Good Units]]/ProductionData[[#This Row],[Operating Minutes]]</f>
        <v>0.80369515011547343</v>
      </c>
    </row>
    <row r="1415" spans="1:23">
      <c r="A1415" s="7">
        <v>46361</v>
      </c>
      <c r="B1415" s="8" t="s">
        <v>33</v>
      </c>
      <c r="C1415" s="8" t="s">
        <v>20</v>
      </c>
      <c r="D1415" s="8" t="s">
        <v>21</v>
      </c>
      <c r="E1415" s="8" t="s">
        <v>24</v>
      </c>
      <c r="F1415" s="9">
        <v>400</v>
      </c>
      <c r="G1415" s="9">
        <v>387</v>
      </c>
      <c r="H1415" s="9">
        <v>13</v>
      </c>
      <c r="I1415" s="9">
        <f t="shared" si="198"/>
        <v>374</v>
      </c>
      <c r="J1415" s="9">
        <v>30</v>
      </c>
      <c r="K1415" s="10">
        <f t="shared" si="199"/>
        <v>6.25E-2</v>
      </c>
      <c r="L1415" s="17">
        <v>120</v>
      </c>
      <c r="M1415" s="17">
        <v>30800</v>
      </c>
      <c r="N1415" s="17">
        <f t="shared" si="200"/>
        <v>44880</v>
      </c>
      <c r="O1415" s="17">
        <f t="shared" si="201"/>
        <v>14080</v>
      </c>
      <c r="P1415" s="10">
        <f t="shared" si="202"/>
        <v>0.96750000000000003</v>
      </c>
      <c r="Q1415" s="10">
        <f t="shared" si="203"/>
        <v>3.3591731266149873E-2</v>
      </c>
      <c r="R1415" s="10">
        <f t="shared" si="204"/>
        <v>0.31372549019607843</v>
      </c>
      <c r="S1415" s="18">
        <f t="shared" si="205"/>
        <v>82.352941176470594</v>
      </c>
      <c r="T1415" s="8">
        <f>480-ProductionData[[#This Row],[Downtime Minutes]]</f>
        <v>450</v>
      </c>
      <c r="U1415" s="11">
        <f t="shared" si="206"/>
        <v>0.86</v>
      </c>
      <c r="V1415" s="18">
        <f>ProductionData[[#This Row],[Profit]]/ProductionData[[#This Row],[Good Units]]</f>
        <v>37.647058823529413</v>
      </c>
      <c r="W1415" s="11">
        <f>ProductionData[[#This Row],[Good Units]]/ProductionData[[#This Row],[Operating Minutes]]</f>
        <v>0.83111111111111113</v>
      </c>
    </row>
    <row r="1416" spans="1:23">
      <c r="A1416" s="7">
        <v>46361</v>
      </c>
      <c r="B1416" s="8" t="s">
        <v>33</v>
      </c>
      <c r="C1416" s="8" t="s">
        <v>20</v>
      </c>
      <c r="D1416" s="8" t="s">
        <v>23</v>
      </c>
      <c r="E1416" s="8" t="s">
        <v>26</v>
      </c>
      <c r="F1416" s="9">
        <v>500</v>
      </c>
      <c r="G1416" s="9">
        <v>474</v>
      </c>
      <c r="H1416" s="9">
        <v>17</v>
      </c>
      <c r="I1416" s="9">
        <f t="shared" si="198"/>
        <v>457</v>
      </c>
      <c r="J1416" s="9">
        <v>35</v>
      </c>
      <c r="K1416" s="10">
        <f t="shared" si="199"/>
        <v>7.2916666666666671E-2</v>
      </c>
      <c r="L1416" s="17">
        <v>90</v>
      </c>
      <c r="M1416" s="17">
        <v>30800</v>
      </c>
      <c r="N1416" s="17">
        <f t="shared" si="200"/>
        <v>41130</v>
      </c>
      <c r="O1416" s="17">
        <f t="shared" si="201"/>
        <v>10330</v>
      </c>
      <c r="P1416" s="10">
        <f t="shared" si="202"/>
        <v>0.94799999999999995</v>
      </c>
      <c r="Q1416" s="10">
        <f t="shared" si="203"/>
        <v>3.5864978902953586E-2</v>
      </c>
      <c r="R1416" s="10">
        <f t="shared" si="204"/>
        <v>0.2511548747872599</v>
      </c>
      <c r="S1416" s="18">
        <f t="shared" si="205"/>
        <v>67.396061269146614</v>
      </c>
      <c r="T1416" s="8">
        <f>480-ProductionData[[#This Row],[Downtime Minutes]]</f>
        <v>445</v>
      </c>
      <c r="U1416" s="11">
        <f t="shared" si="206"/>
        <v>1.0651685393258428</v>
      </c>
      <c r="V1416" s="18">
        <f>ProductionData[[#This Row],[Profit]]/ProductionData[[#This Row],[Good Units]]</f>
        <v>22.603938730853393</v>
      </c>
      <c r="W1416" s="11">
        <f>ProductionData[[#This Row],[Good Units]]/ProductionData[[#This Row],[Operating Minutes]]</f>
        <v>1.0269662921348315</v>
      </c>
    </row>
    <row r="1417" spans="1:23">
      <c r="A1417" s="7">
        <v>46361</v>
      </c>
      <c r="B1417" s="8" t="s">
        <v>33</v>
      </c>
      <c r="C1417" s="8" t="s">
        <v>20</v>
      </c>
      <c r="D1417" s="8" t="s">
        <v>25</v>
      </c>
      <c r="E1417" s="8" t="s">
        <v>22</v>
      </c>
      <c r="F1417" s="9">
        <v>440</v>
      </c>
      <c r="G1417" s="9">
        <v>409</v>
      </c>
      <c r="H1417" s="9">
        <v>21</v>
      </c>
      <c r="I1417" s="9">
        <f t="shared" si="198"/>
        <v>388</v>
      </c>
      <c r="J1417" s="9">
        <v>44</v>
      </c>
      <c r="K1417" s="10">
        <f t="shared" si="199"/>
        <v>9.166666666666666E-2</v>
      </c>
      <c r="L1417" s="17">
        <v>100</v>
      </c>
      <c r="M1417" s="17">
        <v>30800</v>
      </c>
      <c r="N1417" s="17">
        <f t="shared" si="200"/>
        <v>38800</v>
      </c>
      <c r="O1417" s="17">
        <f t="shared" si="201"/>
        <v>8000</v>
      </c>
      <c r="P1417" s="10">
        <f t="shared" si="202"/>
        <v>0.92954545454545456</v>
      </c>
      <c r="Q1417" s="10">
        <f t="shared" si="203"/>
        <v>5.1344743276283619E-2</v>
      </c>
      <c r="R1417" s="10">
        <f t="shared" si="204"/>
        <v>0.20618556701030927</v>
      </c>
      <c r="S1417" s="18">
        <f t="shared" si="205"/>
        <v>79.381443298969074</v>
      </c>
      <c r="T1417" s="8">
        <f>480-ProductionData[[#This Row],[Downtime Minutes]]</f>
        <v>436</v>
      </c>
      <c r="U1417" s="11">
        <f t="shared" si="206"/>
        <v>0.93807339449541283</v>
      </c>
      <c r="V1417" s="18">
        <f>ProductionData[[#This Row],[Profit]]/ProductionData[[#This Row],[Good Units]]</f>
        <v>20.618556701030929</v>
      </c>
      <c r="W1417" s="11">
        <f>ProductionData[[#This Row],[Good Units]]/ProductionData[[#This Row],[Operating Minutes]]</f>
        <v>0.88990825688073394</v>
      </c>
    </row>
    <row r="1418" spans="1:23">
      <c r="A1418" s="7">
        <v>46361</v>
      </c>
      <c r="B1418" s="8" t="s">
        <v>33</v>
      </c>
      <c r="C1418" s="8" t="s">
        <v>27</v>
      </c>
      <c r="D1418" s="8" t="s">
        <v>21</v>
      </c>
      <c r="E1418" s="8" t="s">
        <v>26</v>
      </c>
      <c r="F1418" s="9">
        <v>500</v>
      </c>
      <c r="G1418" s="9">
        <v>455</v>
      </c>
      <c r="H1418" s="9">
        <v>20</v>
      </c>
      <c r="I1418" s="9">
        <f t="shared" si="198"/>
        <v>435</v>
      </c>
      <c r="J1418" s="9">
        <v>34</v>
      </c>
      <c r="K1418" s="10">
        <f t="shared" si="199"/>
        <v>7.0833333333333331E-2</v>
      </c>
      <c r="L1418" s="17">
        <v>90</v>
      </c>
      <c r="M1418" s="17">
        <v>30800</v>
      </c>
      <c r="N1418" s="17">
        <f t="shared" si="200"/>
        <v>39150</v>
      </c>
      <c r="O1418" s="17">
        <f t="shared" si="201"/>
        <v>8350</v>
      </c>
      <c r="P1418" s="10">
        <f t="shared" si="202"/>
        <v>0.91</v>
      </c>
      <c r="Q1418" s="10">
        <f t="shared" si="203"/>
        <v>4.3956043956043959E-2</v>
      </c>
      <c r="R1418" s="10">
        <f t="shared" si="204"/>
        <v>0.21328224776500637</v>
      </c>
      <c r="S1418" s="18">
        <f t="shared" si="205"/>
        <v>70.804597701149419</v>
      </c>
      <c r="T1418" s="8">
        <f>480-ProductionData[[#This Row],[Downtime Minutes]]</f>
        <v>446</v>
      </c>
      <c r="U1418" s="11">
        <f t="shared" si="206"/>
        <v>1.0201793721973094</v>
      </c>
      <c r="V1418" s="18">
        <f>ProductionData[[#This Row],[Profit]]/ProductionData[[#This Row],[Good Units]]</f>
        <v>19.195402298850574</v>
      </c>
      <c r="W1418" s="11">
        <f>ProductionData[[#This Row],[Good Units]]/ProductionData[[#This Row],[Operating Minutes]]</f>
        <v>0.9753363228699552</v>
      </c>
    </row>
    <row r="1419" spans="1:23">
      <c r="A1419" s="7">
        <v>46361</v>
      </c>
      <c r="B1419" s="8" t="s">
        <v>33</v>
      </c>
      <c r="C1419" s="8" t="s">
        <v>27</v>
      </c>
      <c r="D1419" s="8" t="s">
        <v>23</v>
      </c>
      <c r="E1419" s="8" t="s">
        <v>22</v>
      </c>
      <c r="F1419" s="9">
        <v>460</v>
      </c>
      <c r="G1419" s="9">
        <v>410</v>
      </c>
      <c r="H1419" s="9">
        <v>24</v>
      </c>
      <c r="I1419" s="9">
        <f t="shared" si="198"/>
        <v>386</v>
      </c>
      <c r="J1419" s="9">
        <v>53</v>
      </c>
      <c r="K1419" s="10">
        <f t="shared" si="199"/>
        <v>0.11041666666666666</v>
      </c>
      <c r="L1419" s="17">
        <v>100</v>
      </c>
      <c r="M1419" s="17">
        <v>30800</v>
      </c>
      <c r="N1419" s="17">
        <f t="shared" si="200"/>
        <v>38600</v>
      </c>
      <c r="O1419" s="17">
        <f t="shared" si="201"/>
        <v>7800</v>
      </c>
      <c r="P1419" s="10">
        <f t="shared" si="202"/>
        <v>0.89130434782608692</v>
      </c>
      <c r="Q1419" s="10">
        <f t="shared" si="203"/>
        <v>5.8536585365853662E-2</v>
      </c>
      <c r="R1419" s="10">
        <f t="shared" si="204"/>
        <v>0.20207253886010362</v>
      </c>
      <c r="S1419" s="18">
        <f t="shared" si="205"/>
        <v>79.792746113989637</v>
      </c>
      <c r="T1419" s="8">
        <f>480-ProductionData[[#This Row],[Downtime Minutes]]</f>
        <v>427</v>
      </c>
      <c r="U1419" s="11">
        <f t="shared" si="206"/>
        <v>0.96018735362997654</v>
      </c>
      <c r="V1419" s="18">
        <f>ProductionData[[#This Row],[Profit]]/ProductionData[[#This Row],[Good Units]]</f>
        <v>20.207253886010363</v>
      </c>
      <c r="W1419" s="11">
        <f>ProductionData[[#This Row],[Good Units]]/ProductionData[[#This Row],[Operating Minutes]]</f>
        <v>0.90398126463700235</v>
      </c>
    </row>
    <row r="1420" spans="1:23">
      <c r="A1420" s="7">
        <v>46361</v>
      </c>
      <c r="B1420" s="8" t="s">
        <v>33</v>
      </c>
      <c r="C1420" s="8" t="s">
        <v>27</v>
      </c>
      <c r="D1420" s="8" t="s">
        <v>25</v>
      </c>
      <c r="E1420" s="8" t="s">
        <v>24</v>
      </c>
      <c r="F1420" s="9">
        <v>400</v>
      </c>
      <c r="G1420" s="9">
        <v>341</v>
      </c>
      <c r="H1420" s="9">
        <v>19</v>
      </c>
      <c r="I1420" s="9">
        <f t="shared" si="198"/>
        <v>322</v>
      </c>
      <c r="J1420" s="9">
        <v>68</v>
      </c>
      <c r="K1420" s="10">
        <f t="shared" si="199"/>
        <v>0.14166666666666666</v>
      </c>
      <c r="L1420" s="17">
        <v>120</v>
      </c>
      <c r="M1420" s="17">
        <v>30800</v>
      </c>
      <c r="N1420" s="17">
        <f t="shared" si="200"/>
        <v>38640</v>
      </c>
      <c r="O1420" s="17">
        <f t="shared" si="201"/>
        <v>7840</v>
      </c>
      <c r="P1420" s="10">
        <f t="shared" si="202"/>
        <v>0.85250000000000004</v>
      </c>
      <c r="Q1420" s="10">
        <f t="shared" si="203"/>
        <v>5.5718475073313782E-2</v>
      </c>
      <c r="R1420" s="10">
        <f t="shared" si="204"/>
        <v>0.20289855072463769</v>
      </c>
      <c r="S1420" s="18">
        <f t="shared" si="205"/>
        <v>95.652173913043484</v>
      </c>
      <c r="T1420" s="8">
        <f>480-ProductionData[[#This Row],[Downtime Minutes]]</f>
        <v>412</v>
      </c>
      <c r="U1420" s="11">
        <f t="shared" si="206"/>
        <v>0.82766990291262132</v>
      </c>
      <c r="V1420" s="18">
        <f>ProductionData[[#This Row],[Profit]]/ProductionData[[#This Row],[Good Units]]</f>
        <v>24.347826086956523</v>
      </c>
      <c r="W1420" s="11">
        <f>ProductionData[[#This Row],[Good Units]]/ProductionData[[#This Row],[Operating Minutes]]</f>
        <v>0.78155339805825241</v>
      </c>
    </row>
    <row r="1421" spans="1:23">
      <c r="A1421" s="7">
        <v>46361</v>
      </c>
      <c r="B1421" s="8" t="s">
        <v>33</v>
      </c>
      <c r="C1421" s="8" t="s">
        <v>28</v>
      </c>
      <c r="D1421" s="8" t="s">
        <v>21</v>
      </c>
      <c r="E1421" s="8" t="s">
        <v>22</v>
      </c>
      <c r="F1421" s="9">
        <v>460</v>
      </c>
      <c r="G1421" s="9">
        <v>452</v>
      </c>
      <c r="H1421" s="9">
        <v>17</v>
      </c>
      <c r="I1421" s="9">
        <f t="shared" si="198"/>
        <v>435</v>
      </c>
      <c r="J1421" s="9">
        <v>30</v>
      </c>
      <c r="K1421" s="10">
        <f t="shared" si="199"/>
        <v>6.25E-2</v>
      </c>
      <c r="L1421" s="17">
        <v>100</v>
      </c>
      <c r="M1421" s="17">
        <v>30800</v>
      </c>
      <c r="N1421" s="17">
        <f t="shared" si="200"/>
        <v>43500</v>
      </c>
      <c r="O1421" s="17">
        <f t="shared" si="201"/>
        <v>12700</v>
      </c>
      <c r="P1421" s="10">
        <f t="shared" si="202"/>
        <v>0.9826086956521739</v>
      </c>
      <c r="Q1421" s="10">
        <f t="shared" si="203"/>
        <v>3.7610619469026552E-2</v>
      </c>
      <c r="R1421" s="10">
        <f t="shared" si="204"/>
        <v>0.29195402298850576</v>
      </c>
      <c r="S1421" s="18">
        <f t="shared" si="205"/>
        <v>70.804597701149419</v>
      </c>
      <c r="T1421" s="8">
        <f>480-ProductionData[[#This Row],[Downtime Minutes]]</f>
        <v>450</v>
      </c>
      <c r="U1421" s="11">
        <f t="shared" si="206"/>
        <v>1.0044444444444445</v>
      </c>
      <c r="V1421" s="18">
        <f>ProductionData[[#This Row],[Profit]]/ProductionData[[#This Row],[Good Units]]</f>
        <v>29.195402298850574</v>
      </c>
      <c r="W1421" s="11">
        <f>ProductionData[[#This Row],[Good Units]]/ProductionData[[#This Row],[Operating Minutes]]</f>
        <v>0.96666666666666667</v>
      </c>
    </row>
    <row r="1422" spans="1:23">
      <c r="A1422" s="7">
        <v>46361</v>
      </c>
      <c r="B1422" s="8" t="s">
        <v>33</v>
      </c>
      <c r="C1422" s="8" t="s">
        <v>28</v>
      </c>
      <c r="D1422" s="8" t="s">
        <v>23</v>
      </c>
      <c r="E1422" s="8" t="s">
        <v>24</v>
      </c>
      <c r="F1422" s="9">
        <v>390</v>
      </c>
      <c r="G1422" s="9">
        <v>379</v>
      </c>
      <c r="H1422" s="9">
        <v>10</v>
      </c>
      <c r="I1422" s="9">
        <f t="shared" si="198"/>
        <v>369</v>
      </c>
      <c r="J1422" s="9">
        <v>25</v>
      </c>
      <c r="K1422" s="10">
        <f t="shared" si="199"/>
        <v>5.2083333333333336E-2</v>
      </c>
      <c r="L1422" s="17">
        <v>120</v>
      </c>
      <c r="M1422" s="17">
        <v>30800</v>
      </c>
      <c r="N1422" s="17">
        <f t="shared" si="200"/>
        <v>44280</v>
      </c>
      <c r="O1422" s="17">
        <f t="shared" si="201"/>
        <v>13480</v>
      </c>
      <c r="P1422" s="10">
        <f t="shared" si="202"/>
        <v>0.97179487179487178</v>
      </c>
      <c r="Q1422" s="10">
        <f t="shared" si="203"/>
        <v>2.6385224274406333E-2</v>
      </c>
      <c r="R1422" s="10">
        <f t="shared" si="204"/>
        <v>0.30442637759710928</v>
      </c>
      <c r="S1422" s="18">
        <f t="shared" si="205"/>
        <v>83.468834688346888</v>
      </c>
      <c r="T1422" s="8">
        <f>480-ProductionData[[#This Row],[Downtime Minutes]]</f>
        <v>455</v>
      </c>
      <c r="U1422" s="11">
        <f t="shared" si="206"/>
        <v>0.83296703296703301</v>
      </c>
      <c r="V1422" s="18">
        <f>ProductionData[[#This Row],[Profit]]/ProductionData[[#This Row],[Good Units]]</f>
        <v>36.531165311653119</v>
      </c>
      <c r="W1422" s="11">
        <f>ProductionData[[#This Row],[Good Units]]/ProductionData[[#This Row],[Operating Minutes]]</f>
        <v>0.81098901098901099</v>
      </c>
    </row>
    <row r="1423" spans="1:23">
      <c r="A1423" s="7">
        <v>46361</v>
      </c>
      <c r="B1423" s="8" t="s">
        <v>33</v>
      </c>
      <c r="C1423" s="8" t="s">
        <v>28</v>
      </c>
      <c r="D1423" s="8" t="s">
        <v>25</v>
      </c>
      <c r="E1423" s="8" t="s">
        <v>26</v>
      </c>
      <c r="F1423" s="9">
        <v>490</v>
      </c>
      <c r="G1423" s="9">
        <v>467</v>
      </c>
      <c r="H1423" s="9">
        <v>19</v>
      </c>
      <c r="I1423" s="9">
        <f t="shared" si="198"/>
        <v>448</v>
      </c>
      <c r="J1423" s="9">
        <v>42</v>
      </c>
      <c r="K1423" s="10">
        <f t="shared" si="199"/>
        <v>8.7499999999999994E-2</v>
      </c>
      <c r="L1423" s="17">
        <v>90</v>
      </c>
      <c r="M1423" s="17">
        <v>30800</v>
      </c>
      <c r="N1423" s="17">
        <f t="shared" si="200"/>
        <v>40320</v>
      </c>
      <c r="O1423" s="17">
        <f t="shared" si="201"/>
        <v>9520</v>
      </c>
      <c r="P1423" s="10">
        <f t="shared" si="202"/>
        <v>0.95306122448979591</v>
      </c>
      <c r="Q1423" s="10">
        <f t="shared" si="203"/>
        <v>4.068522483940043E-2</v>
      </c>
      <c r="R1423" s="10">
        <f t="shared" si="204"/>
        <v>0.2361111111111111</v>
      </c>
      <c r="S1423" s="18">
        <f t="shared" si="205"/>
        <v>68.75</v>
      </c>
      <c r="T1423" s="8">
        <f>480-ProductionData[[#This Row],[Downtime Minutes]]</f>
        <v>438</v>
      </c>
      <c r="U1423" s="11">
        <f t="shared" si="206"/>
        <v>1.0662100456621004</v>
      </c>
      <c r="V1423" s="18">
        <f>ProductionData[[#This Row],[Profit]]/ProductionData[[#This Row],[Good Units]]</f>
        <v>21.25</v>
      </c>
      <c r="W1423" s="11">
        <f>ProductionData[[#This Row],[Good Units]]/ProductionData[[#This Row],[Operating Minutes]]</f>
        <v>1.0228310502283104</v>
      </c>
    </row>
    <row r="1424" spans="1:23">
      <c r="A1424" s="7">
        <v>46362</v>
      </c>
      <c r="B1424" s="8" t="s">
        <v>33</v>
      </c>
      <c r="C1424" s="8" t="s">
        <v>20</v>
      </c>
      <c r="D1424" s="8" t="s">
        <v>21</v>
      </c>
      <c r="E1424" s="8" t="s">
        <v>26</v>
      </c>
      <c r="F1424" s="9">
        <v>520</v>
      </c>
      <c r="G1424" s="9">
        <v>508</v>
      </c>
      <c r="H1424" s="9">
        <v>13</v>
      </c>
      <c r="I1424" s="9">
        <f t="shared" si="198"/>
        <v>495</v>
      </c>
      <c r="J1424" s="9">
        <v>27</v>
      </c>
      <c r="K1424" s="10">
        <f t="shared" si="199"/>
        <v>5.6250000000000001E-2</v>
      </c>
      <c r="L1424" s="17">
        <v>90</v>
      </c>
      <c r="M1424" s="17">
        <v>30800</v>
      </c>
      <c r="N1424" s="17">
        <f t="shared" si="200"/>
        <v>44550</v>
      </c>
      <c r="O1424" s="17">
        <f t="shared" si="201"/>
        <v>13750</v>
      </c>
      <c r="P1424" s="10">
        <f t="shared" si="202"/>
        <v>0.97692307692307689</v>
      </c>
      <c r="Q1424" s="10">
        <f t="shared" si="203"/>
        <v>2.5590551181102362E-2</v>
      </c>
      <c r="R1424" s="10">
        <f t="shared" si="204"/>
        <v>0.30864197530864196</v>
      </c>
      <c r="S1424" s="18">
        <f t="shared" si="205"/>
        <v>62.222222222222221</v>
      </c>
      <c r="T1424" s="8">
        <f>480-ProductionData[[#This Row],[Downtime Minutes]]</f>
        <v>453</v>
      </c>
      <c r="U1424" s="11">
        <f t="shared" si="206"/>
        <v>1.1214128035320088</v>
      </c>
      <c r="V1424" s="18">
        <f>ProductionData[[#This Row],[Profit]]/ProductionData[[#This Row],[Good Units]]</f>
        <v>27.777777777777779</v>
      </c>
      <c r="W1424" s="11">
        <f>ProductionData[[#This Row],[Good Units]]/ProductionData[[#This Row],[Operating Minutes]]</f>
        <v>1.0927152317880795</v>
      </c>
    </row>
    <row r="1425" spans="1:23">
      <c r="A1425" s="7">
        <v>46362</v>
      </c>
      <c r="B1425" s="8" t="s">
        <v>33</v>
      </c>
      <c r="C1425" s="8" t="s">
        <v>20</v>
      </c>
      <c r="D1425" s="8" t="s">
        <v>23</v>
      </c>
      <c r="E1425" s="8" t="s">
        <v>22</v>
      </c>
      <c r="F1425" s="9">
        <v>460</v>
      </c>
      <c r="G1425" s="9">
        <v>432</v>
      </c>
      <c r="H1425" s="9">
        <v>18</v>
      </c>
      <c r="I1425" s="9">
        <f t="shared" si="198"/>
        <v>414</v>
      </c>
      <c r="J1425" s="9">
        <v>35</v>
      </c>
      <c r="K1425" s="10">
        <f t="shared" si="199"/>
        <v>7.2916666666666671E-2</v>
      </c>
      <c r="L1425" s="17">
        <v>100</v>
      </c>
      <c r="M1425" s="17">
        <v>30800</v>
      </c>
      <c r="N1425" s="17">
        <f t="shared" si="200"/>
        <v>41400</v>
      </c>
      <c r="O1425" s="17">
        <f t="shared" si="201"/>
        <v>10600</v>
      </c>
      <c r="P1425" s="10">
        <f t="shared" si="202"/>
        <v>0.93913043478260871</v>
      </c>
      <c r="Q1425" s="10">
        <f t="shared" si="203"/>
        <v>4.1666666666666664E-2</v>
      </c>
      <c r="R1425" s="10">
        <f t="shared" si="204"/>
        <v>0.2560386473429952</v>
      </c>
      <c r="S1425" s="18">
        <f t="shared" si="205"/>
        <v>74.39613526570048</v>
      </c>
      <c r="T1425" s="8">
        <f>480-ProductionData[[#This Row],[Downtime Minutes]]</f>
        <v>445</v>
      </c>
      <c r="U1425" s="11">
        <f t="shared" si="206"/>
        <v>0.97078651685393258</v>
      </c>
      <c r="V1425" s="18">
        <f>ProductionData[[#This Row],[Profit]]/ProductionData[[#This Row],[Good Units]]</f>
        <v>25.603864734299517</v>
      </c>
      <c r="W1425" s="11">
        <f>ProductionData[[#This Row],[Good Units]]/ProductionData[[#This Row],[Operating Minutes]]</f>
        <v>0.93033707865168536</v>
      </c>
    </row>
    <row r="1426" spans="1:23">
      <c r="A1426" s="7">
        <v>46362</v>
      </c>
      <c r="B1426" s="8" t="s">
        <v>33</v>
      </c>
      <c r="C1426" s="8" t="s">
        <v>20</v>
      </c>
      <c r="D1426" s="8" t="s">
        <v>25</v>
      </c>
      <c r="E1426" s="8" t="s">
        <v>24</v>
      </c>
      <c r="F1426" s="9">
        <v>410</v>
      </c>
      <c r="G1426" s="9">
        <v>381</v>
      </c>
      <c r="H1426" s="9">
        <v>18</v>
      </c>
      <c r="I1426" s="9">
        <f t="shared" si="198"/>
        <v>363</v>
      </c>
      <c r="J1426" s="9">
        <v>36</v>
      </c>
      <c r="K1426" s="10">
        <f t="shared" si="199"/>
        <v>7.4999999999999997E-2</v>
      </c>
      <c r="L1426" s="17">
        <v>120</v>
      </c>
      <c r="M1426" s="17">
        <v>30800</v>
      </c>
      <c r="N1426" s="17">
        <f t="shared" si="200"/>
        <v>43560</v>
      </c>
      <c r="O1426" s="17">
        <f t="shared" si="201"/>
        <v>12760</v>
      </c>
      <c r="P1426" s="10">
        <f t="shared" si="202"/>
        <v>0.92926829268292688</v>
      </c>
      <c r="Q1426" s="10">
        <f t="shared" si="203"/>
        <v>4.7244094488188976E-2</v>
      </c>
      <c r="R1426" s="10">
        <f t="shared" si="204"/>
        <v>0.29292929292929293</v>
      </c>
      <c r="S1426" s="18">
        <f t="shared" si="205"/>
        <v>84.848484848484844</v>
      </c>
      <c r="T1426" s="8">
        <f>480-ProductionData[[#This Row],[Downtime Minutes]]</f>
        <v>444</v>
      </c>
      <c r="U1426" s="11">
        <f t="shared" si="206"/>
        <v>0.85810810810810811</v>
      </c>
      <c r="V1426" s="18">
        <f>ProductionData[[#This Row],[Profit]]/ProductionData[[#This Row],[Good Units]]</f>
        <v>35.151515151515149</v>
      </c>
      <c r="W1426" s="11">
        <f>ProductionData[[#This Row],[Good Units]]/ProductionData[[#This Row],[Operating Minutes]]</f>
        <v>0.81756756756756754</v>
      </c>
    </row>
    <row r="1427" spans="1:23">
      <c r="A1427" s="7">
        <v>46362</v>
      </c>
      <c r="B1427" s="8" t="s">
        <v>33</v>
      </c>
      <c r="C1427" s="8" t="s">
        <v>27</v>
      </c>
      <c r="D1427" s="8" t="s">
        <v>21</v>
      </c>
      <c r="E1427" s="8" t="s">
        <v>22</v>
      </c>
      <c r="F1427" s="9">
        <v>450</v>
      </c>
      <c r="G1427" s="9">
        <v>401</v>
      </c>
      <c r="H1427" s="9">
        <v>24</v>
      </c>
      <c r="I1427" s="9">
        <f t="shared" si="198"/>
        <v>377</v>
      </c>
      <c r="J1427" s="9">
        <v>65</v>
      </c>
      <c r="K1427" s="10">
        <f t="shared" si="199"/>
        <v>0.13541666666666666</v>
      </c>
      <c r="L1427" s="17">
        <v>100</v>
      </c>
      <c r="M1427" s="17">
        <v>30800</v>
      </c>
      <c r="N1427" s="17">
        <f t="shared" si="200"/>
        <v>37700</v>
      </c>
      <c r="O1427" s="17">
        <f t="shared" si="201"/>
        <v>6900</v>
      </c>
      <c r="P1427" s="10">
        <f t="shared" si="202"/>
        <v>0.89111111111111108</v>
      </c>
      <c r="Q1427" s="10">
        <f t="shared" si="203"/>
        <v>5.9850374064837904E-2</v>
      </c>
      <c r="R1427" s="10">
        <f t="shared" si="204"/>
        <v>0.1830238726790451</v>
      </c>
      <c r="S1427" s="18">
        <f t="shared" si="205"/>
        <v>81.697612732095493</v>
      </c>
      <c r="T1427" s="8">
        <f>480-ProductionData[[#This Row],[Downtime Minutes]]</f>
        <v>415</v>
      </c>
      <c r="U1427" s="11">
        <f t="shared" si="206"/>
        <v>0.96626506024096381</v>
      </c>
      <c r="V1427" s="18">
        <f>ProductionData[[#This Row],[Profit]]/ProductionData[[#This Row],[Good Units]]</f>
        <v>18.302387267904511</v>
      </c>
      <c r="W1427" s="11">
        <f>ProductionData[[#This Row],[Good Units]]/ProductionData[[#This Row],[Operating Minutes]]</f>
        <v>0.90843373493975899</v>
      </c>
    </row>
    <row r="1428" spans="1:23">
      <c r="A1428" s="7">
        <v>46362</v>
      </c>
      <c r="B1428" s="8" t="s">
        <v>33</v>
      </c>
      <c r="C1428" s="8" t="s">
        <v>27</v>
      </c>
      <c r="D1428" s="8" t="s">
        <v>23</v>
      </c>
      <c r="E1428" s="8" t="s">
        <v>24</v>
      </c>
      <c r="F1428" s="9">
        <v>400</v>
      </c>
      <c r="G1428" s="9">
        <v>357</v>
      </c>
      <c r="H1428" s="9">
        <v>19</v>
      </c>
      <c r="I1428" s="9">
        <f t="shared" si="198"/>
        <v>338</v>
      </c>
      <c r="J1428" s="9">
        <v>60</v>
      </c>
      <c r="K1428" s="10">
        <f t="shared" si="199"/>
        <v>0.125</v>
      </c>
      <c r="L1428" s="17">
        <v>120</v>
      </c>
      <c r="M1428" s="17">
        <v>30800</v>
      </c>
      <c r="N1428" s="17">
        <f t="shared" si="200"/>
        <v>40560</v>
      </c>
      <c r="O1428" s="17">
        <f t="shared" si="201"/>
        <v>9760</v>
      </c>
      <c r="P1428" s="10">
        <f t="shared" si="202"/>
        <v>0.89249999999999996</v>
      </c>
      <c r="Q1428" s="10">
        <f t="shared" si="203"/>
        <v>5.3221288515406161E-2</v>
      </c>
      <c r="R1428" s="10">
        <f t="shared" si="204"/>
        <v>0.24063116370808679</v>
      </c>
      <c r="S1428" s="18">
        <f t="shared" si="205"/>
        <v>91.124260355029591</v>
      </c>
      <c r="T1428" s="8">
        <f>480-ProductionData[[#This Row],[Downtime Minutes]]</f>
        <v>420</v>
      </c>
      <c r="U1428" s="11">
        <f t="shared" si="206"/>
        <v>0.85</v>
      </c>
      <c r="V1428" s="18">
        <f>ProductionData[[#This Row],[Profit]]/ProductionData[[#This Row],[Good Units]]</f>
        <v>28.875739644970412</v>
      </c>
      <c r="W1428" s="11">
        <f>ProductionData[[#This Row],[Good Units]]/ProductionData[[#This Row],[Operating Minutes]]</f>
        <v>0.80476190476190479</v>
      </c>
    </row>
    <row r="1429" spans="1:23">
      <c r="A1429" s="7">
        <v>46362</v>
      </c>
      <c r="B1429" s="8" t="s">
        <v>33</v>
      </c>
      <c r="C1429" s="8" t="s">
        <v>27</v>
      </c>
      <c r="D1429" s="8" t="s">
        <v>25</v>
      </c>
      <c r="E1429" s="8" t="s">
        <v>26</v>
      </c>
      <c r="F1429" s="9">
        <v>500</v>
      </c>
      <c r="G1429" s="9">
        <v>434</v>
      </c>
      <c r="H1429" s="9">
        <v>25</v>
      </c>
      <c r="I1429" s="9">
        <f t="shared" si="198"/>
        <v>409</v>
      </c>
      <c r="J1429" s="9">
        <v>45</v>
      </c>
      <c r="K1429" s="10">
        <f t="shared" si="199"/>
        <v>9.375E-2</v>
      </c>
      <c r="L1429" s="17">
        <v>90</v>
      </c>
      <c r="M1429" s="17">
        <v>30800</v>
      </c>
      <c r="N1429" s="17">
        <f t="shared" si="200"/>
        <v>36810</v>
      </c>
      <c r="O1429" s="17">
        <f t="shared" si="201"/>
        <v>6010</v>
      </c>
      <c r="P1429" s="10">
        <f t="shared" si="202"/>
        <v>0.86799999999999999</v>
      </c>
      <c r="Q1429" s="10">
        <f t="shared" si="203"/>
        <v>5.7603686635944701E-2</v>
      </c>
      <c r="R1429" s="10">
        <f t="shared" si="204"/>
        <v>0.16327085031241512</v>
      </c>
      <c r="S1429" s="18">
        <f t="shared" si="205"/>
        <v>75.30562347188264</v>
      </c>
      <c r="T1429" s="8">
        <f>480-ProductionData[[#This Row],[Downtime Minutes]]</f>
        <v>435</v>
      </c>
      <c r="U1429" s="11">
        <f t="shared" si="206"/>
        <v>0.99770114942528731</v>
      </c>
      <c r="V1429" s="18">
        <f>ProductionData[[#This Row],[Profit]]/ProductionData[[#This Row],[Good Units]]</f>
        <v>14.69437652811736</v>
      </c>
      <c r="W1429" s="11">
        <f>ProductionData[[#This Row],[Good Units]]/ProductionData[[#This Row],[Operating Minutes]]</f>
        <v>0.94022988505747129</v>
      </c>
    </row>
    <row r="1430" spans="1:23">
      <c r="A1430" s="7">
        <v>46362</v>
      </c>
      <c r="B1430" s="8" t="s">
        <v>33</v>
      </c>
      <c r="C1430" s="8" t="s">
        <v>28</v>
      </c>
      <c r="D1430" s="8" t="s">
        <v>21</v>
      </c>
      <c r="E1430" s="8" t="s">
        <v>24</v>
      </c>
      <c r="F1430" s="9">
        <v>390</v>
      </c>
      <c r="G1430" s="9">
        <v>382</v>
      </c>
      <c r="H1430" s="9">
        <v>8</v>
      </c>
      <c r="I1430" s="9">
        <f t="shared" si="198"/>
        <v>374</v>
      </c>
      <c r="J1430" s="9">
        <v>31</v>
      </c>
      <c r="K1430" s="10">
        <f t="shared" si="199"/>
        <v>6.458333333333334E-2</v>
      </c>
      <c r="L1430" s="17">
        <v>120</v>
      </c>
      <c r="M1430" s="17">
        <v>30800</v>
      </c>
      <c r="N1430" s="17">
        <f t="shared" si="200"/>
        <v>44880</v>
      </c>
      <c r="O1430" s="17">
        <f t="shared" si="201"/>
        <v>14080</v>
      </c>
      <c r="P1430" s="10">
        <f t="shared" si="202"/>
        <v>0.97948717948717945</v>
      </c>
      <c r="Q1430" s="10">
        <f t="shared" si="203"/>
        <v>2.0942408376963352E-2</v>
      </c>
      <c r="R1430" s="10">
        <f t="shared" si="204"/>
        <v>0.31372549019607843</v>
      </c>
      <c r="S1430" s="18">
        <f t="shared" si="205"/>
        <v>82.352941176470594</v>
      </c>
      <c r="T1430" s="8">
        <f>480-ProductionData[[#This Row],[Downtime Minutes]]</f>
        <v>449</v>
      </c>
      <c r="U1430" s="11">
        <f t="shared" si="206"/>
        <v>0.8507795100222717</v>
      </c>
      <c r="V1430" s="18">
        <f>ProductionData[[#This Row],[Profit]]/ProductionData[[#This Row],[Good Units]]</f>
        <v>37.647058823529413</v>
      </c>
      <c r="W1430" s="11">
        <f>ProductionData[[#This Row],[Good Units]]/ProductionData[[#This Row],[Operating Minutes]]</f>
        <v>0.83296213808463249</v>
      </c>
    </row>
    <row r="1431" spans="1:23">
      <c r="A1431" s="7">
        <v>46362</v>
      </c>
      <c r="B1431" s="8" t="s">
        <v>33</v>
      </c>
      <c r="C1431" s="8" t="s">
        <v>28</v>
      </c>
      <c r="D1431" s="8" t="s">
        <v>23</v>
      </c>
      <c r="E1431" s="8" t="s">
        <v>26</v>
      </c>
      <c r="F1431" s="9">
        <v>510</v>
      </c>
      <c r="G1431" s="9">
        <v>485</v>
      </c>
      <c r="H1431" s="9">
        <v>12</v>
      </c>
      <c r="I1431" s="9">
        <f t="shared" si="198"/>
        <v>473</v>
      </c>
      <c r="J1431" s="9">
        <v>30</v>
      </c>
      <c r="K1431" s="10">
        <f t="shared" si="199"/>
        <v>6.25E-2</v>
      </c>
      <c r="L1431" s="17">
        <v>90</v>
      </c>
      <c r="M1431" s="17">
        <v>30800</v>
      </c>
      <c r="N1431" s="17">
        <f t="shared" si="200"/>
        <v>42570</v>
      </c>
      <c r="O1431" s="17">
        <f t="shared" si="201"/>
        <v>11770</v>
      </c>
      <c r="P1431" s="10">
        <f t="shared" si="202"/>
        <v>0.9509803921568627</v>
      </c>
      <c r="Q1431" s="10">
        <f t="shared" si="203"/>
        <v>2.4742268041237112E-2</v>
      </c>
      <c r="R1431" s="10">
        <f t="shared" si="204"/>
        <v>0.27648578811369506</v>
      </c>
      <c r="S1431" s="18">
        <f t="shared" si="205"/>
        <v>65.116279069767444</v>
      </c>
      <c r="T1431" s="8">
        <f>480-ProductionData[[#This Row],[Downtime Minutes]]</f>
        <v>450</v>
      </c>
      <c r="U1431" s="11">
        <f t="shared" si="206"/>
        <v>1.0777777777777777</v>
      </c>
      <c r="V1431" s="18">
        <f>ProductionData[[#This Row],[Profit]]/ProductionData[[#This Row],[Good Units]]</f>
        <v>24.88372093023256</v>
      </c>
      <c r="W1431" s="11">
        <f>ProductionData[[#This Row],[Good Units]]/ProductionData[[#This Row],[Operating Minutes]]</f>
        <v>1.0511111111111111</v>
      </c>
    </row>
    <row r="1432" spans="1:23">
      <c r="A1432" s="7">
        <v>46362</v>
      </c>
      <c r="B1432" s="8" t="s">
        <v>33</v>
      </c>
      <c r="C1432" s="8" t="s">
        <v>28</v>
      </c>
      <c r="D1432" s="8" t="s">
        <v>25</v>
      </c>
      <c r="E1432" s="8" t="s">
        <v>22</v>
      </c>
      <c r="F1432" s="9">
        <v>440</v>
      </c>
      <c r="G1432" s="9">
        <v>407</v>
      </c>
      <c r="H1432" s="9">
        <v>23</v>
      </c>
      <c r="I1432" s="9">
        <f t="shared" si="198"/>
        <v>384</v>
      </c>
      <c r="J1432" s="9">
        <v>46</v>
      </c>
      <c r="K1432" s="10">
        <f t="shared" si="199"/>
        <v>9.583333333333334E-2</v>
      </c>
      <c r="L1432" s="17">
        <v>100</v>
      </c>
      <c r="M1432" s="17">
        <v>30800</v>
      </c>
      <c r="N1432" s="17">
        <f t="shared" si="200"/>
        <v>38400</v>
      </c>
      <c r="O1432" s="17">
        <f t="shared" si="201"/>
        <v>7600</v>
      </c>
      <c r="P1432" s="10">
        <f t="shared" si="202"/>
        <v>0.92500000000000004</v>
      </c>
      <c r="Q1432" s="10">
        <f t="shared" si="203"/>
        <v>5.6511056511056514E-2</v>
      </c>
      <c r="R1432" s="10">
        <f t="shared" si="204"/>
        <v>0.19791666666666666</v>
      </c>
      <c r="S1432" s="18">
        <f t="shared" si="205"/>
        <v>80.208333333333329</v>
      </c>
      <c r="T1432" s="8">
        <f>480-ProductionData[[#This Row],[Downtime Minutes]]</f>
        <v>434</v>
      </c>
      <c r="U1432" s="11">
        <f t="shared" si="206"/>
        <v>0.93778801843317972</v>
      </c>
      <c r="V1432" s="18">
        <f>ProductionData[[#This Row],[Profit]]/ProductionData[[#This Row],[Good Units]]</f>
        <v>19.791666666666668</v>
      </c>
      <c r="W1432" s="11">
        <f>ProductionData[[#This Row],[Good Units]]/ProductionData[[#This Row],[Operating Minutes]]</f>
        <v>0.88479262672811065</v>
      </c>
    </row>
    <row r="1433" spans="1:23">
      <c r="A1433" s="7">
        <v>46363</v>
      </c>
      <c r="B1433" s="8" t="s">
        <v>33</v>
      </c>
      <c r="C1433" s="8" t="s">
        <v>20</v>
      </c>
      <c r="D1433" s="8" t="s">
        <v>21</v>
      </c>
      <c r="E1433" s="8" t="s">
        <v>22</v>
      </c>
      <c r="F1433" s="9">
        <v>460</v>
      </c>
      <c r="G1433" s="9">
        <v>443</v>
      </c>
      <c r="H1433" s="9">
        <v>19</v>
      </c>
      <c r="I1433" s="9">
        <f t="shared" si="198"/>
        <v>424</v>
      </c>
      <c r="J1433" s="9">
        <v>36</v>
      </c>
      <c r="K1433" s="10">
        <f t="shared" si="199"/>
        <v>7.4999999999999997E-2</v>
      </c>
      <c r="L1433" s="17">
        <v>100</v>
      </c>
      <c r="M1433" s="17">
        <v>30800</v>
      </c>
      <c r="N1433" s="17">
        <f t="shared" si="200"/>
        <v>42400</v>
      </c>
      <c r="O1433" s="17">
        <f t="shared" si="201"/>
        <v>11600</v>
      </c>
      <c r="P1433" s="10">
        <f t="shared" si="202"/>
        <v>0.96304347826086956</v>
      </c>
      <c r="Q1433" s="10">
        <f t="shared" si="203"/>
        <v>4.2889390519187359E-2</v>
      </c>
      <c r="R1433" s="10">
        <f t="shared" si="204"/>
        <v>0.27358490566037735</v>
      </c>
      <c r="S1433" s="18">
        <f t="shared" si="205"/>
        <v>72.64150943396227</v>
      </c>
      <c r="T1433" s="8">
        <f>480-ProductionData[[#This Row],[Downtime Minutes]]</f>
        <v>444</v>
      </c>
      <c r="U1433" s="11">
        <f t="shared" si="206"/>
        <v>0.99774774774774777</v>
      </c>
      <c r="V1433" s="18">
        <f>ProductionData[[#This Row],[Profit]]/ProductionData[[#This Row],[Good Units]]</f>
        <v>27.358490566037737</v>
      </c>
      <c r="W1433" s="11">
        <f>ProductionData[[#This Row],[Good Units]]/ProductionData[[#This Row],[Operating Minutes]]</f>
        <v>0.95495495495495497</v>
      </c>
    </row>
    <row r="1434" spans="1:23">
      <c r="A1434" s="7">
        <v>46363</v>
      </c>
      <c r="B1434" s="8" t="s">
        <v>33</v>
      </c>
      <c r="C1434" s="8" t="s">
        <v>20</v>
      </c>
      <c r="D1434" s="8" t="s">
        <v>23</v>
      </c>
      <c r="E1434" s="8" t="s">
        <v>24</v>
      </c>
      <c r="F1434" s="9">
        <v>420</v>
      </c>
      <c r="G1434" s="9">
        <v>394</v>
      </c>
      <c r="H1434" s="9">
        <v>10</v>
      </c>
      <c r="I1434" s="9">
        <f t="shared" si="198"/>
        <v>384</v>
      </c>
      <c r="J1434" s="9">
        <v>32</v>
      </c>
      <c r="K1434" s="10">
        <f t="shared" si="199"/>
        <v>6.6666666666666666E-2</v>
      </c>
      <c r="L1434" s="17">
        <v>120</v>
      </c>
      <c r="M1434" s="17">
        <v>30800</v>
      </c>
      <c r="N1434" s="17">
        <f t="shared" si="200"/>
        <v>46080</v>
      </c>
      <c r="O1434" s="17">
        <f t="shared" si="201"/>
        <v>15280</v>
      </c>
      <c r="P1434" s="10">
        <f t="shared" si="202"/>
        <v>0.93809523809523809</v>
      </c>
      <c r="Q1434" s="10">
        <f t="shared" si="203"/>
        <v>2.5380710659898477E-2</v>
      </c>
      <c r="R1434" s="10">
        <f t="shared" si="204"/>
        <v>0.33159722222222221</v>
      </c>
      <c r="S1434" s="18">
        <f t="shared" si="205"/>
        <v>80.208333333333329</v>
      </c>
      <c r="T1434" s="8">
        <f>480-ProductionData[[#This Row],[Downtime Minutes]]</f>
        <v>448</v>
      </c>
      <c r="U1434" s="11">
        <f t="shared" si="206"/>
        <v>0.8794642857142857</v>
      </c>
      <c r="V1434" s="18">
        <f>ProductionData[[#This Row],[Profit]]/ProductionData[[#This Row],[Good Units]]</f>
        <v>39.791666666666664</v>
      </c>
      <c r="W1434" s="11">
        <f>ProductionData[[#This Row],[Good Units]]/ProductionData[[#This Row],[Operating Minutes]]</f>
        <v>0.8571428571428571</v>
      </c>
    </row>
    <row r="1435" spans="1:23">
      <c r="A1435" s="7">
        <v>46363</v>
      </c>
      <c r="B1435" s="8" t="s">
        <v>33</v>
      </c>
      <c r="C1435" s="8" t="s">
        <v>20</v>
      </c>
      <c r="D1435" s="8" t="s">
        <v>25</v>
      </c>
      <c r="E1435" s="8" t="s">
        <v>26</v>
      </c>
      <c r="F1435" s="9">
        <v>490</v>
      </c>
      <c r="G1435" s="9">
        <v>443</v>
      </c>
      <c r="H1435" s="9">
        <v>17</v>
      </c>
      <c r="I1435" s="9">
        <f t="shared" si="198"/>
        <v>426</v>
      </c>
      <c r="J1435" s="9">
        <v>48</v>
      </c>
      <c r="K1435" s="10">
        <f t="shared" si="199"/>
        <v>0.1</v>
      </c>
      <c r="L1435" s="17">
        <v>90</v>
      </c>
      <c r="M1435" s="17">
        <v>30800</v>
      </c>
      <c r="N1435" s="17">
        <f t="shared" si="200"/>
        <v>38340</v>
      </c>
      <c r="O1435" s="17">
        <f t="shared" si="201"/>
        <v>7540</v>
      </c>
      <c r="P1435" s="10">
        <f t="shared" si="202"/>
        <v>0.90408163265306118</v>
      </c>
      <c r="Q1435" s="10">
        <f t="shared" si="203"/>
        <v>3.8374717832957109E-2</v>
      </c>
      <c r="R1435" s="10">
        <f t="shared" si="204"/>
        <v>0.19666145018257694</v>
      </c>
      <c r="S1435" s="18">
        <f t="shared" si="205"/>
        <v>72.300469483568079</v>
      </c>
      <c r="T1435" s="8">
        <f>480-ProductionData[[#This Row],[Downtime Minutes]]</f>
        <v>432</v>
      </c>
      <c r="U1435" s="11">
        <f t="shared" si="206"/>
        <v>1.025462962962963</v>
      </c>
      <c r="V1435" s="18">
        <f>ProductionData[[#This Row],[Profit]]/ProductionData[[#This Row],[Good Units]]</f>
        <v>17.699530516431924</v>
      </c>
      <c r="W1435" s="11">
        <f>ProductionData[[#This Row],[Good Units]]/ProductionData[[#This Row],[Operating Minutes]]</f>
        <v>0.98611111111111116</v>
      </c>
    </row>
    <row r="1436" spans="1:23">
      <c r="A1436" s="7">
        <v>46363</v>
      </c>
      <c r="B1436" s="8" t="s">
        <v>33</v>
      </c>
      <c r="C1436" s="8" t="s">
        <v>27</v>
      </c>
      <c r="D1436" s="8" t="s">
        <v>21</v>
      </c>
      <c r="E1436" s="8" t="s">
        <v>24</v>
      </c>
      <c r="F1436" s="9">
        <v>410</v>
      </c>
      <c r="G1436" s="9">
        <v>361</v>
      </c>
      <c r="H1436" s="9">
        <v>15</v>
      </c>
      <c r="I1436" s="9">
        <f t="shared" si="198"/>
        <v>346</v>
      </c>
      <c r="J1436" s="9">
        <v>53</v>
      </c>
      <c r="K1436" s="10">
        <f t="shared" si="199"/>
        <v>0.11041666666666666</v>
      </c>
      <c r="L1436" s="17">
        <v>120</v>
      </c>
      <c r="M1436" s="17">
        <v>30800</v>
      </c>
      <c r="N1436" s="17">
        <f t="shared" si="200"/>
        <v>41520</v>
      </c>
      <c r="O1436" s="17">
        <f t="shared" si="201"/>
        <v>10720</v>
      </c>
      <c r="P1436" s="10">
        <f t="shared" si="202"/>
        <v>0.88048780487804879</v>
      </c>
      <c r="Q1436" s="10">
        <f t="shared" si="203"/>
        <v>4.1551246537396121E-2</v>
      </c>
      <c r="R1436" s="10">
        <f t="shared" si="204"/>
        <v>0.25818882466281312</v>
      </c>
      <c r="S1436" s="18">
        <f t="shared" si="205"/>
        <v>89.017341040462426</v>
      </c>
      <c r="T1436" s="8">
        <f>480-ProductionData[[#This Row],[Downtime Minutes]]</f>
        <v>427</v>
      </c>
      <c r="U1436" s="11">
        <f t="shared" si="206"/>
        <v>0.84543325526932089</v>
      </c>
      <c r="V1436" s="18">
        <f>ProductionData[[#This Row],[Profit]]/ProductionData[[#This Row],[Good Units]]</f>
        <v>30.982658959537574</v>
      </c>
      <c r="W1436" s="11">
        <f>ProductionData[[#This Row],[Good Units]]/ProductionData[[#This Row],[Operating Minutes]]</f>
        <v>0.81030444964871196</v>
      </c>
    </row>
    <row r="1437" spans="1:23">
      <c r="A1437" s="7">
        <v>46363</v>
      </c>
      <c r="B1437" s="8" t="s">
        <v>33</v>
      </c>
      <c r="C1437" s="8" t="s">
        <v>27</v>
      </c>
      <c r="D1437" s="8" t="s">
        <v>23</v>
      </c>
      <c r="E1437" s="8" t="s">
        <v>26</v>
      </c>
      <c r="F1437" s="9">
        <v>480</v>
      </c>
      <c r="G1437" s="9">
        <v>434</v>
      </c>
      <c r="H1437" s="9">
        <v>23</v>
      </c>
      <c r="I1437" s="9">
        <f t="shared" si="198"/>
        <v>411</v>
      </c>
      <c r="J1437" s="9">
        <v>54</v>
      </c>
      <c r="K1437" s="10">
        <f t="shared" si="199"/>
        <v>0.1125</v>
      </c>
      <c r="L1437" s="17">
        <v>90</v>
      </c>
      <c r="M1437" s="17">
        <v>30800</v>
      </c>
      <c r="N1437" s="17">
        <f t="shared" si="200"/>
        <v>36990</v>
      </c>
      <c r="O1437" s="17">
        <f t="shared" si="201"/>
        <v>6190</v>
      </c>
      <c r="P1437" s="10">
        <f t="shared" si="202"/>
        <v>0.90416666666666667</v>
      </c>
      <c r="Q1437" s="10">
        <f t="shared" si="203"/>
        <v>5.2995391705069124E-2</v>
      </c>
      <c r="R1437" s="10">
        <f t="shared" si="204"/>
        <v>0.16734252500675859</v>
      </c>
      <c r="S1437" s="18">
        <f t="shared" si="205"/>
        <v>74.93917274939173</v>
      </c>
      <c r="T1437" s="8">
        <f>480-ProductionData[[#This Row],[Downtime Minutes]]</f>
        <v>426</v>
      </c>
      <c r="U1437" s="11">
        <f t="shared" si="206"/>
        <v>1.0187793427230047</v>
      </c>
      <c r="V1437" s="18">
        <f>ProductionData[[#This Row],[Profit]]/ProductionData[[#This Row],[Good Units]]</f>
        <v>15.060827250608272</v>
      </c>
      <c r="W1437" s="11">
        <f>ProductionData[[#This Row],[Good Units]]/ProductionData[[#This Row],[Operating Minutes]]</f>
        <v>0.96478873239436624</v>
      </c>
    </row>
    <row r="1438" spans="1:23">
      <c r="A1438" s="7">
        <v>46363</v>
      </c>
      <c r="B1438" s="8" t="s">
        <v>33</v>
      </c>
      <c r="C1438" s="8" t="s">
        <v>27</v>
      </c>
      <c r="D1438" s="8" t="s">
        <v>25</v>
      </c>
      <c r="E1438" s="8" t="s">
        <v>22</v>
      </c>
      <c r="F1438" s="9">
        <v>440</v>
      </c>
      <c r="G1438" s="9">
        <v>386</v>
      </c>
      <c r="H1438" s="9">
        <v>29</v>
      </c>
      <c r="I1438" s="9">
        <f t="shared" si="198"/>
        <v>357</v>
      </c>
      <c r="J1438" s="9">
        <v>64</v>
      </c>
      <c r="K1438" s="10">
        <f t="shared" si="199"/>
        <v>0.13333333333333333</v>
      </c>
      <c r="L1438" s="17">
        <v>100</v>
      </c>
      <c r="M1438" s="17">
        <v>30800</v>
      </c>
      <c r="N1438" s="17">
        <f t="shared" si="200"/>
        <v>35700</v>
      </c>
      <c r="O1438" s="17">
        <f t="shared" si="201"/>
        <v>4900</v>
      </c>
      <c r="P1438" s="10">
        <f t="shared" si="202"/>
        <v>0.87727272727272732</v>
      </c>
      <c r="Q1438" s="10">
        <f t="shared" si="203"/>
        <v>7.512953367875648E-2</v>
      </c>
      <c r="R1438" s="10">
        <f t="shared" si="204"/>
        <v>0.13725490196078433</v>
      </c>
      <c r="S1438" s="18">
        <f t="shared" si="205"/>
        <v>86.274509803921575</v>
      </c>
      <c r="T1438" s="8">
        <f>480-ProductionData[[#This Row],[Downtime Minutes]]</f>
        <v>416</v>
      </c>
      <c r="U1438" s="11">
        <f t="shared" si="206"/>
        <v>0.92788461538461542</v>
      </c>
      <c r="V1438" s="18">
        <f>ProductionData[[#This Row],[Profit]]/ProductionData[[#This Row],[Good Units]]</f>
        <v>13.725490196078431</v>
      </c>
      <c r="W1438" s="11">
        <f>ProductionData[[#This Row],[Good Units]]/ProductionData[[#This Row],[Operating Minutes]]</f>
        <v>0.85817307692307687</v>
      </c>
    </row>
    <row r="1439" spans="1:23">
      <c r="A1439" s="7">
        <v>46363</v>
      </c>
      <c r="B1439" s="8" t="s">
        <v>33</v>
      </c>
      <c r="C1439" s="8" t="s">
        <v>28</v>
      </c>
      <c r="D1439" s="8" t="s">
        <v>21</v>
      </c>
      <c r="E1439" s="8" t="s">
        <v>26</v>
      </c>
      <c r="F1439" s="9">
        <v>500</v>
      </c>
      <c r="G1439" s="9">
        <v>482</v>
      </c>
      <c r="H1439" s="9">
        <v>9</v>
      </c>
      <c r="I1439" s="9">
        <f t="shared" si="198"/>
        <v>473</v>
      </c>
      <c r="J1439" s="9">
        <v>20</v>
      </c>
      <c r="K1439" s="10">
        <f t="shared" si="199"/>
        <v>4.1666666666666664E-2</v>
      </c>
      <c r="L1439" s="17">
        <v>90</v>
      </c>
      <c r="M1439" s="17">
        <v>30800</v>
      </c>
      <c r="N1439" s="17">
        <f t="shared" si="200"/>
        <v>42570</v>
      </c>
      <c r="O1439" s="17">
        <f t="shared" si="201"/>
        <v>11770</v>
      </c>
      <c r="P1439" s="10">
        <f t="shared" si="202"/>
        <v>0.96399999999999997</v>
      </c>
      <c r="Q1439" s="10">
        <f t="shared" si="203"/>
        <v>1.8672199170124481E-2</v>
      </c>
      <c r="R1439" s="10">
        <f t="shared" si="204"/>
        <v>0.27648578811369506</v>
      </c>
      <c r="S1439" s="18">
        <f t="shared" si="205"/>
        <v>65.116279069767444</v>
      </c>
      <c r="T1439" s="8">
        <f>480-ProductionData[[#This Row],[Downtime Minutes]]</f>
        <v>460</v>
      </c>
      <c r="U1439" s="11">
        <f t="shared" si="206"/>
        <v>1.0478260869565217</v>
      </c>
      <c r="V1439" s="18">
        <f>ProductionData[[#This Row],[Profit]]/ProductionData[[#This Row],[Good Units]]</f>
        <v>24.88372093023256</v>
      </c>
      <c r="W1439" s="11">
        <f>ProductionData[[#This Row],[Good Units]]/ProductionData[[#This Row],[Operating Minutes]]</f>
        <v>1.0282608695652173</v>
      </c>
    </row>
    <row r="1440" spans="1:23">
      <c r="A1440" s="7">
        <v>46363</v>
      </c>
      <c r="B1440" s="8" t="s">
        <v>33</v>
      </c>
      <c r="C1440" s="8" t="s">
        <v>28</v>
      </c>
      <c r="D1440" s="8" t="s">
        <v>23</v>
      </c>
      <c r="E1440" s="8" t="s">
        <v>22</v>
      </c>
      <c r="F1440" s="9">
        <v>460</v>
      </c>
      <c r="G1440" s="9">
        <v>436</v>
      </c>
      <c r="H1440" s="9">
        <v>19</v>
      </c>
      <c r="I1440" s="9">
        <f t="shared" si="198"/>
        <v>417</v>
      </c>
      <c r="J1440" s="9">
        <v>46</v>
      </c>
      <c r="K1440" s="10">
        <f t="shared" si="199"/>
        <v>9.583333333333334E-2</v>
      </c>
      <c r="L1440" s="17">
        <v>100</v>
      </c>
      <c r="M1440" s="17">
        <v>30800</v>
      </c>
      <c r="N1440" s="17">
        <f t="shared" si="200"/>
        <v>41700</v>
      </c>
      <c r="O1440" s="17">
        <f t="shared" si="201"/>
        <v>10900</v>
      </c>
      <c r="P1440" s="10">
        <f t="shared" si="202"/>
        <v>0.94782608695652171</v>
      </c>
      <c r="Q1440" s="10">
        <f t="shared" si="203"/>
        <v>4.3577981651376149E-2</v>
      </c>
      <c r="R1440" s="10">
        <f t="shared" si="204"/>
        <v>0.26139088729016785</v>
      </c>
      <c r="S1440" s="18">
        <f t="shared" si="205"/>
        <v>73.860911270983209</v>
      </c>
      <c r="T1440" s="8">
        <f>480-ProductionData[[#This Row],[Downtime Minutes]]</f>
        <v>434</v>
      </c>
      <c r="U1440" s="11">
        <f t="shared" si="206"/>
        <v>1.0046082949308757</v>
      </c>
      <c r="V1440" s="18">
        <f>ProductionData[[#This Row],[Profit]]/ProductionData[[#This Row],[Good Units]]</f>
        <v>26.139088729016787</v>
      </c>
      <c r="W1440" s="11">
        <f>ProductionData[[#This Row],[Good Units]]/ProductionData[[#This Row],[Operating Minutes]]</f>
        <v>0.96082949308755761</v>
      </c>
    </row>
    <row r="1441" spans="1:23">
      <c r="A1441" s="7">
        <v>46363</v>
      </c>
      <c r="B1441" s="8" t="s">
        <v>33</v>
      </c>
      <c r="C1441" s="8" t="s">
        <v>28</v>
      </c>
      <c r="D1441" s="8" t="s">
        <v>25</v>
      </c>
      <c r="E1441" s="8" t="s">
        <v>24</v>
      </c>
      <c r="F1441" s="9">
        <v>390</v>
      </c>
      <c r="G1441" s="9">
        <v>367</v>
      </c>
      <c r="H1441" s="9">
        <v>12</v>
      </c>
      <c r="I1441" s="9">
        <f t="shared" si="198"/>
        <v>355</v>
      </c>
      <c r="J1441" s="9">
        <v>36</v>
      </c>
      <c r="K1441" s="10">
        <f t="shared" si="199"/>
        <v>7.4999999999999997E-2</v>
      </c>
      <c r="L1441" s="17">
        <v>120</v>
      </c>
      <c r="M1441" s="17">
        <v>30800</v>
      </c>
      <c r="N1441" s="17">
        <f t="shared" si="200"/>
        <v>42600</v>
      </c>
      <c r="O1441" s="17">
        <f t="shared" si="201"/>
        <v>11800</v>
      </c>
      <c r="P1441" s="10">
        <f t="shared" si="202"/>
        <v>0.94102564102564101</v>
      </c>
      <c r="Q1441" s="10">
        <f t="shared" si="203"/>
        <v>3.2697547683923703E-2</v>
      </c>
      <c r="R1441" s="10">
        <f t="shared" si="204"/>
        <v>0.27699530516431925</v>
      </c>
      <c r="S1441" s="18">
        <f t="shared" si="205"/>
        <v>86.760563380281695</v>
      </c>
      <c r="T1441" s="8">
        <f>480-ProductionData[[#This Row],[Downtime Minutes]]</f>
        <v>444</v>
      </c>
      <c r="U1441" s="11">
        <f t="shared" si="206"/>
        <v>0.82657657657657657</v>
      </c>
      <c r="V1441" s="18">
        <f>ProductionData[[#This Row],[Profit]]/ProductionData[[#This Row],[Good Units]]</f>
        <v>33.239436619718312</v>
      </c>
      <c r="W1441" s="11">
        <f>ProductionData[[#This Row],[Good Units]]/ProductionData[[#This Row],[Operating Minutes]]</f>
        <v>0.7995495495495496</v>
      </c>
    </row>
    <row r="1442" spans="1:23">
      <c r="A1442" s="7">
        <v>46364</v>
      </c>
      <c r="B1442" s="8" t="s">
        <v>33</v>
      </c>
      <c r="C1442" s="8" t="s">
        <v>20</v>
      </c>
      <c r="D1442" s="8" t="s">
        <v>21</v>
      </c>
      <c r="E1442" s="8" t="s">
        <v>24</v>
      </c>
      <c r="F1442" s="9">
        <v>400</v>
      </c>
      <c r="G1442" s="9">
        <v>390</v>
      </c>
      <c r="H1442" s="9">
        <v>13</v>
      </c>
      <c r="I1442" s="9">
        <f t="shared" si="198"/>
        <v>377</v>
      </c>
      <c r="J1442" s="9">
        <v>35</v>
      </c>
      <c r="K1442" s="10">
        <f t="shared" si="199"/>
        <v>7.2916666666666671E-2</v>
      </c>
      <c r="L1442" s="17">
        <v>120</v>
      </c>
      <c r="M1442" s="17">
        <v>30800</v>
      </c>
      <c r="N1442" s="17">
        <f t="shared" si="200"/>
        <v>45240</v>
      </c>
      <c r="O1442" s="17">
        <f t="shared" si="201"/>
        <v>14440</v>
      </c>
      <c r="P1442" s="10">
        <f t="shared" si="202"/>
        <v>0.97499999999999998</v>
      </c>
      <c r="Q1442" s="10">
        <f t="shared" si="203"/>
        <v>3.3333333333333333E-2</v>
      </c>
      <c r="R1442" s="10">
        <f t="shared" si="204"/>
        <v>0.31918656056587091</v>
      </c>
      <c r="S1442" s="18">
        <f t="shared" si="205"/>
        <v>81.697612732095493</v>
      </c>
      <c r="T1442" s="8">
        <f>480-ProductionData[[#This Row],[Downtime Minutes]]</f>
        <v>445</v>
      </c>
      <c r="U1442" s="11">
        <f t="shared" si="206"/>
        <v>0.8764044943820225</v>
      </c>
      <c r="V1442" s="18">
        <f>ProductionData[[#This Row],[Profit]]/ProductionData[[#This Row],[Good Units]]</f>
        <v>38.302387267904507</v>
      </c>
      <c r="W1442" s="11">
        <f>ProductionData[[#This Row],[Good Units]]/ProductionData[[#This Row],[Operating Minutes]]</f>
        <v>0.84719101123595508</v>
      </c>
    </row>
    <row r="1443" spans="1:23">
      <c r="A1443" s="7">
        <v>46364</v>
      </c>
      <c r="B1443" s="8" t="s">
        <v>33</v>
      </c>
      <c r="C1443" s="8" t="s">
        <v>20</v>
      </c>
      <c r="D1443" s="8" t="s">
        <v>23</v>
      </c>
      <c r="E1443" s="8" t="s">
        <v>26</v>
      </c>
      <c r="F1443" s="9">
        <v>490</v>
      </c>
      <c r="G1443" s="9">
        <v>450</v>
      </c>
      <c r="H1443" s="9">
        <v>20</v>
      </c>
      <c r="I1443" s="9">
        <f t="shared" si="198"/>
        <v>430</v>
      </c>
      <c r="J1443" s="9">
        <v>32</v>
      </c>
      <c r="K1443" s="10">
        <f t="shared" si="199"/>
        <v>6.6666666666666666E-2</v>
      </c>
      <c r="L1443" s="17">
        <v>90</v>
      </c>
      <c r="M1443" s="17">
        <v>30800</v>
      </c>
      <c r="N1443" s="17">
        <f t="shared" si="200"/>
        <v>38700</v>
      </c>
      <c r="O1443" s="17">
        <f t="shared" si="201"/>
        <v>7900</v>
      </c>
      <c r="P1443" s="10">
        <f t="shared" si="202"/>
        <v>0.91836734693877553</v>
      </c>
      <c r="Q1443" s="10">
        <f t="shared" si="203"/>
        <v>4.4444444444444446E-2</v>
      </c>
      <c r="R1443" s="10">
        <f t="shared" si="204"/>
        <v>0.20413436692506459</v>
      </c>
      <c r="S1443" s="18">
        <f t="shared" si="205"/>
        <v>71.627906976744185</v>
      </c>
      <c r="T1443" s="8">
        <f>480-ProductionData[[#This Row],[Downtime Minutes]]</f>
        <v>448</v>
      </c>
      <c r="U1443" s="11">
        <f t="shared" si="206"/>
        <v>1.0044642857142858</v>
      </c>
      <c r="V1443" s="18">
        <f>ProductionData[[#This Row],[Profit]]/ProductionData[[#This Row],[Good Units]]</f>
        <v>18.372093023255815</v>
      </c>
      <c r="W1443" s="11">
        <f>ProductionData[[#This Row],[Good Units]]/ProductionData[[#This Row],[Operating Minutes]]</f>
        <v>0.9598214285714286</v>
      </c>
    </row>
    <row r="1444" spans="1:23">
      <c r="A1444" s="7">
        <v>46364</v>
      </c>
      <c r="B1444" s="8" t="s">
        <v>33</v>
      </c>
      <c r="C1444" s="8" t="s">
        <v>20</v>
      </c>
      <c r="D1444" s="8" t="s">
        <v>25</v>
      </c>
      <c r="E1444" s="8" t="s">
        <v>22</v>
      </c>
      <c r="F1444" s="9">
        <v>450</v>
      </c>
      <c r="G1444" s="9">
        <v>424</v>
      </c>
      <c r="H1444" s="9">
        <v>26</v>
      </c>
      <c r="I1444" s="9">
        <f t="shared" si="198"/>
        <v>398</v>
      </c>
      <c r="J1444" s="9">
        <v>54</v>
      </c>
      <c r="K1444" s="10">
        <f t="shared" si="199"/>
        <v>0.1125</v>
      </c>
      <c r="L1444" s="17">
        <v>100</v>
      </c>
      <c r="M1444" s="17">
        <v>30800</v>
      </c>
      <c r="N1444" s="17">
        <f t="shared" si="200"/>
        <v>39800</v>
      </c>
      <c r="O1444" s="17">
        <f t="shared" si="201"/>
        <v>9000</v>
      </c>
      <c r="P1444" s="10">
        <f t="shared" si="202"/>
        <v>0.94222222222222218</v>
      </c>
      <c r="Q1444" s="10">
        <f t="shared" si="203"/>
        <v>6.1320754716981132E-2</v>
      </c>
      <c r="R1444" s="10">
        <f t="shared" si="204"/>
        <v>0.22613065326633167</v>
      </c>
      <c r="S1444" s="18">
        <f t="shared" si="205"/>
        <v>77.386934673366838</v>
      </c>
      <c r="T1444" s="8">
        <f>480-ProductionData[[#This Row],[Downtime Minutes]]</f>
        <v>426</v>
      </c>
      <c r="U1444" s="11">
        <f t="shared" si="206"/>
        <v>0.99530516431924887</v>
      </c>
      <c r="V1444" s="18">
        <f>ProductionData[[#This Row],[Profit]]/ProductionData[[#This Row],[Good Units]]</f>
        <v>22.613065326633166</v>
      </c>
      <c r="W1444" s="11">
        <f>ProductionData[[#This Row],[Good Units]]/ProductionData[[#This Row],[Operating Minutes]]</f>
        <v>0.93427230046948362</v>
      </c>
    </row>
    <row r="1445" spans="1:23">
      <c r="A1445" s="7">
        <v>46364</v>
      </c>
      <c r="B1445" s="8" t="s">
        <v>33</v>
      </c>
      <c r="C1445" s="8" t="s">
        <v>27</v>
      </c>
      <c r="D1445" s="8" t="s">
        <v>21</v>
      </c>
      <c r="E1445" s="8" t="s">
        <v>26</v>
      </c>
      <c r="F1445" s="9">
        <v>500</v>
      </c>
      <c r="G1445" s="9">
        <v>446</v>
      </c>
      <c r="H1445" s="9">
        <v>23</v>
      </c>
      <c r="I1445" s="9">
        <f t="shared" si="198"/>
        <v>423</v>
      </c>
      <c r="J1445" s="9">
        <v>47</v>
      </c>
      <c r="K1445" s="10">
        <f t="shared" si="199"/>
        <v>9.7916666666666666E-2</v>
      </c>
      <c r="L1445" s="17">
        <v>90</v>
      </c>
      <c r="M1445" s="17">
        <v>30800</v>
      </c>
      <c r="N1445" s="17">
        <f t="shared" si="200"/>
        <v>38070</v>
      </c>
      <c r="O1445" s="17">
        <f t="shared" si="201"/>
        <v>7270</v>
      </c>
      <c r="P1445" s="10">
        <f t="shared" si="202"/>
        <v>0.89200000000000002</v>
      </c>
      <c r="Q1445" s="10">
        <f t="shared" si="203"/>
        <v>5.1569506726457402E-2</v>
      </c>
      <c r="R1445" s="10">
        <f t="shared" si="204"/>
        <v>0.19096401365904911</v>
      </c>
      <c r="S1445" s="18">
        <f t="shared" si="205"/>
        <v>72.813238770685572</v>
      </c>
      <c r="T1445" s="8">
        <f>480-ProductionData[[#This Row],[Downtime Minutes]]</f>
        <v>433</v>
      </c>
      <c r="U1445" s="11">
        <f t="shared" si="206"/>
        <v>1.0300230946882216</v>
      </c>
      <c r="V1445" s="18">
        <f>ProductionData[[#This Row],[Profit]]/ProductionData[[#This Row],[Good Units]]</f>
        <v>17.186761229314421</v>
      </c>
      <c r="W1445" s="11">
        <f>ProductionData[[#This Row],[Good Units]]/ProductionData[[#This Row],[Operating Minutes]]</f>
        <v>0.97690531177829099</v>
      </c>
    </row>
    <row r="1446" spans="1:23">
      <c r="A1446" s="7">
        <v>46364</v>
      </c>
      <c r="B1446" s="8" t="s">
        <v>33</v>
      </c>
      <c r="C1446" s="8" t="s">
        <v>27</v>
      </c>
      <c r="D1446" s="8" t="s">
        <v>23</v>
      </c>
      <c r="E1446" s="8" t="s">
        <v>22</v>
      </c>
      <c r="F1446" s="9">
        <v>450</v>
      </c>
      <c r="G1446" s="9">
        <v>399</v>
      </c>
      <c r="H1446" s="9">
        <v>24</v>
      </c>
      <c r="I1446" s="9">
        <f t="shared" si="198"/>
        <v>375</v>
      </c>
      <c r="J1446" s="9">
        <v>57</v>
      </c>
      <c r="K1446" s="10">
        <f t="shared" si="199"/>
        <v>0.11874999999999999</v>
      </c>
      <c r="L1446" s="17">
        <v>100</v>
      </c>
      <c r="M1446" s="17">
        <v>30800</v>
      </c>
      <c r="N1446" s="17">
        <f t="shared" si="200"/>
        <v>37500</v>
      </c>
      <c r="O1446" s="17">
        <f t="shared" si="201"/>
        <v>6700</v>
      </c>
      <c r="P1446" s="10">
        <f t="shared" si="202"/>
        <v>0.88666666666666671</v>
      </c>
      <c r="Q1446" s="10">
        <f t="shared" si="203"/>
        <v>6.0150375939849621E-2</v>
      </c>
      <c r="R1446" s="10">
        <f t="shared" si="204"/>
        <v>0.17866666666666667</v>
      </c>
      <c r="S1446" s="18">
        <f t="shared" si="205"/>
        <v>82.13333333333334</v>
      </c>
      <c r="T1446" s="8">
        <f>480-ProductionData[[#This Row],[Downtime Minutes]]</f>
        <v>423</v>
      </c>
      <c r="U1446" s="11">
        <f t="shared" si="206"/>
        <v>0.94326241134751776</v>
      </c>
      <c r="V1446" s="18">
        <f>ProductionData[[#This Row],[Profit]]/ProductionData[[#This Row],[Good Units]]</f>
        <v>17.866666666666667</v>
      </c>
      <c r="W1446" s="11">
        <f>ProductionData[[#This Row],[Good Units]]/ProductionData[[#This Row],[Operating Minutes]]</f>
        <v>0.88652482269503541</v>
      </c>
    </row>
    <row r="1447" spans="1:23">
      <c r="A1447" s="7">
        <v>46364</v>
      </c>
      <c r="B1447" s="8" t="s">
        <v>33</v>
      </c>
      <c r="C1447" s="8" t="s">
        <v>27</v>
      </c>
      <c r="D1447" s="8" t="s">
        <v>25</v>
      </c>
      <c r="E1447" s="8" t="s">
        <v>24</v>
      </c>
      <c r="F1447" s="9">
        <v>410</v>
      </c>
      <c r="G1447" s="9">
        <v>353</v>
      </c>
      <c r="H1447" s="9">
        <v>21</v>
      </c>
      <c r="I1447" s="9">
        <f t="shared" si="198"/>
        <v>332</v>
      </c>
      <c r="J1447" s="9">
        <v>55</v>
      </c>
      <c r="K1447" s="10">
        <f t="shared" si="199"/>
        <v>0.11458333333333333</v>
      </c>
      <c r="L1447" s="17">
        <v>120</v>
      </c>
      <c r="M1447" s="17">
        <v>30800</v>
      </c>
      <c r="N1447" s="17">
        <f t="shared" si="200"/>
        <v>39840</v>
      </c>
      <c r="O1447" s="17">
        <f t="shared" si="201"/>
        <v>9040</v>
      </c>
      <c r="P1447" s="10">
        <f t="shared" si="202"/>
        <v>0.86097560975609755</v>
      </c>
      <c r="Q1447" s="10">
        <f t="shared" si="203"/>
        <v>5.9490084985835696E-2</v>
      </c>
      <c r="R1447" s="10">
        <f t="shared" si="204"/>
        <v>0.22690763052208834</v>
      </c>
      <c r="S1447" s="18">
        <f t="shared" si="205"/>
        <v>92.771084337349393</v>
      </c>
      <c r="T1447" s="8">
        <f>480-ProductionData[[#This Row],[Downtime Minutes]]</f>
        <v>425</v>
      </c>
      <c r="U1447" s="11">
        <f t="shared" si="206"/>
        <v>0.83058823529411763</v>
      </c>
      <c r="V1447" s="18">
        <f>ProductionData[[#This Row],[Profit]]/ProductionData[[#This Row],[Good Units]]</f>
        <v>27.228915662650603</v>
      </c>
      <c r="W1447" s="11">
        <f>ProductionData[[#This Row],[Good Units]]/ProductionData[[#This Row],[Operating Minutes]]</f>
        <v>0.78117647058823525</v>
      </c>
    </row>
    <row r="1448" spans="1:23">
      <c r="A1448" s="7">
        <v>46364</v>
      </c>
      <c r="B1448" s="8" t="s">
        <v>33</v>
      </c>
      <c r="C1448" s="8" t="s">
        <v>28</v>
      </c>
      <c r="D1448" s="8" t="s">
        <v>21</v>
      </c>
      <c r="E1448" s="8" t="s">
        <v>22</v>
      </c>
      <c r="F1448" s="9">
        <v>450</v>
      </c>
      <c r="G1448" s="9">
        <v>442</v>
      </c>
      <c r="H1448" s="9">
        <v>16</v>
      </c>
      <c r="I1448" s="9">
        <f t="shared" si="198"/>
        <v>426</v>
      </c>
      <c r="J1448" s="9">
        <v>39</v>
      </c>
      <c r="K1448" s="10">
        <f t="shared" si="199"/>
        <v>8.1250000000000003E-2</v>
      </c>
      <c r="L1448" s="17">
        <v>100</v>
      </c>
      <c r="M1448" s="17">
        <v>30800</v>
      </c>
      <c r="N1448" s="17">
        <f t="shared" si="200"/>
        <v>42600</v>
      </c>
      <c r="O1448" s="17">
        <f t="shared" si="201"/>
        <v>11800</v>
      </c>
      <c r="P1448" s="10">
        <f t="shared" si="202"/>
        <v>0.98222222222222222</v>
      </c>
      <c r="Q1448" s="10">
        <f t="shared" si="203"/>
        <v>3.6199095022624438E-2</v>
      </c>
      <c r="R1448" s="10">
        <f t="shared" si="204"/>
        <v>0.27699530516431925</v>
      </c>
      <c r="S1448" s="18">
        <f t="shared" si="205"/>
        <v>72.300469483568079</v>
      </c>
      <c r="T1448" s="8">
        <f>480-ProductionData[[#This Row],[Downtime Minutes]]</f>
        <v>441</v>
      </c>
      <c r="U1448" s="11">
        <f t="shared" si="206"/>
        <v>1.0022675736961451</v>
      </c>
      <c r="V1448" s="18">
        <f>ProductionData[[#This Row],[Profit]]/ProductionData[[#This Row],[Good Units]]</f>
        <v>27.699530516431924</v>
      </c>
      <c r="W1448" s="11">
        <f>ProductionData[[#This Row],[Good Units]]/ProductionData[[#This Row],[Operating Minutes]]</f>
        <v>0.96598639455782309</v>
      </c>
    </row>
    <row r="1449" spans="1:23">
      <c r="A1449" s="7">
        <v>46364</v>
      </c>
      <c r="B1449" s="8" t="s">
        <v>33</v>
      </c>
      <c r="C1449" s="8" t="s">
        <v>28</v>
      </c>
      <c r="D1449" s="8" t="s">
        <v>23</v>
      </c>
      <c r="E1449" s="8" t="s">
        <v>24</v>
      </c>
      <c r="F1449" s="9">
        <v>390</v>
      </c>
      <c r="G1449" s="9">
        <v>365</v>
      </c>
      <c r="H1449" s="9">
        <v>11</v>
      </c>
      <c r="I1449" s="9">
        <f t="shared" si="198"/>
        <v>354</v>
      </c>
      <c r="J1449" s="9">
        <v>22</v>
      </c>
      <c r="K1449" s="10">
        <f t="shared" si="199"/>
        <v>4.583333333333333E-2</v>
      </c>
      <c r="L1449" s="17">
        <v>120</v>
      </c>
      <c r="M1449" s="17">
        <v>30800</v>
      </c>
      <c r="N1449" s="17">
        <f t="shared" si="200"/>
        <v>42480</v>
      </c>
      <c r="O1449" s="17">
        <f t="shared" si="201"/>
        <v>11680</v>
      </c>
      <c r="P1449" s="10">
        <f t="shared" si="202"/>
        <v>0.9358974358974359</v>
      </c>
      <c r="Q1449" s="10">
        <f t="shared" si="203"/>
        <v>3.0136986301369864E-2</v>
      </c>
      <c r="R1449" s="10">
        <f t="shared" si="204"/>
        <v>0.27495291902071561</v>
      </c>
      <c r="S1449" s="18">
        <f t="shared" si="205"/>
        <v>87.005649717514117</v>
      </c>
      <c r="T1449" s="8">
        <f>480-ProductionData[[#This Row],[Downtime Minutes]]</f>
        <v>458</v>
      </c>
      <c r="U1449" s="11">
        <f t="shared" si="206"/>
        <v>0.79694323144104806</v>
      </c>
      <c r="V1449" s="18">
        <f>ProductionData[[#This Row],[Profit]]/ProductionData[[#This Row],[Good Units]]</f>
        <v>32.994350282485875</v>
      </c>
      <c r="W1449" s="11">
        <f>ProductionData[[#This Row],[Good Units]]/ProductionData[[#This Row],[Operating Minutes]]</f>
        <v>0.77292576419213976</v>
      </c>
    </row>
    <row r="1450" spans="1:23">
      <c r="A1450" s="7">
        <v>46364</v>
      </c>
      <c r="B1450" s="8" t="s">
        <v>33</v>
      </c>
      <c r="C1450" s="8" t="s">
        <v>28</v>
      </c>
      <c r="D1450" s="8" t="s">
        <v>25</v>
      </c>
      <c r="E1450" s="8" t="s">
        <v>26</v>
      </c>
      <c r="F1450" s="9">
        <v>500</v>
      </c>
      <c r="G1450" s="9">
        <v>473</v>
      </c>
      <c r="H1450" s="9">
        <v>21</v>
      </c>
      <c r="I1450" s="9">
        <f t="shared" si="198"/>
        <v>452</v>
      </c>
      <c r="J1450" s="9">
        <v>32</v>
      </c>
      <c r="K1450" s="10">
        <f t="shared" si="199"/>
        <v>6.6666666666666666E-2</v>
      </c>
      <c r="L1450" s="17">
        <v>90</v>
      </c>
      <c r="M1450" s="17">
        <v>30800</v>
      </c>
      <c r="N1450" s="17">
        <f t="shared" si="200"/>
        <v>40680</v>
      </c>
      <c r="O1450" s="17">
        <f t="shared" si="201"/>
        <v>9880</v>
      </c>
      <c r="P1450" s="10">
        <f t="shared" si="202"/>
        <v>0.94599999999999995</v>
      </c>
      <c r="Q1450" s="10">
        <f t="shared" si="203"/>
        <v>4.4397463002114168E-2</v>
      </c>
      <c r="R1450" s="10">
        <f t="shared" si="204"/>
        <v>0.24287118977384464</v>
      </c>
      <c r="S1450" s="18">
        <f t="shared" si="205"/>
        <v>68.141592920353986</v>
      </c>
      <c r="T1450" s="8">
        <f>480-ProductionData[[#This Row],[Downtime Minutes]]</f>
        <v>448</v>
      </c>
      <c r="U1450" s="11">
        <f t="shared" si="206"/>
        <v>1.0558035714285714</v>
      </c>
      <c r="V1450" s="18">
        <f>ProductionData[[#This Row],[Profit]]/ProductionData[[#This Row],[Good Units]]</f>
        <v>21.858407079646017</v>
      </c>
      <c r="W1450" s="11">
        <f>ProductionData[[#This Row],[Good Units]]/ProductionData[[#This Row],[Operating Minutes]]</f>
        <v>1.0089285714285714</v>
      </c>
    </row>
    <row r="1451" spans="1:23">
      <c r="A1451" s="7">
        <v>46365</v>
      </c>
      <c r="B1451" s="8" t="s">
        <v>33</v>
      </c>
      <c r="C1451" s="8" t="s">
        <v>20</v>
      </c>
      <c r="D1451" s="8" t="s">
        <v>21</v>
      </c>
      <c r="E1451" s="8" t="s">
        <v>26</v>
      </c>
      <c r="F1451" s="9">
        <v>520</v>
      </c>
      <c r="G1451" s="9">
        <v>498</v>
      </c>
      <c r="H1451" s="9">
        <v>17</v>
      </c>
      <c r="I1451" s="9">
        <f t="shared" si="198"/>
        <v>481</v>
      </c>
      <c r="J1451" s="9">
        <v>37</v>
      </c>
      <c r="K1451" s="10">
        <f t="shared" si="199"/>
        <v>7.7083333333333337E-2</v>
      </c>
      <c r="L1451" s="17">
        <v>90</v>
      </c>
      <c r="M1451" s="17">
        <v>30800</v>
      </c>
      <c r="N1451" s="17">
        <f t="shared" si="200"/>
        <v>43290</v>
      </c>
      <c r="O1451" s="17">
        <f t="shared" si="201"/>
        <v>12490</v>
      </c>
      <c r="P1451" s="10">
        <f t="shared" si="202"/>
        <v>0.95769230769230773</v>
      </c>
      <c r="Q1451" s="10">
        <f t="shared" si="203"/>
        <v>3.4136546184738957E-2</v>
      </c>
      <c r="R1451" s="10">
        <f t="shared" si="204"/>
        <v>0.28851928851928854</v>
      </c>
      <c r="S1451" s="18">
        <f t="shared" si="205"/>
        <v>64.033264033264032</v>
      </c>
      <c r="T1451" s="8">
        <f>480-ProductionData[[#This Row],[Downtime Minutes]]</f>
        <v>443</v>
      </c>
      <c r="U1451" s="11">
        <f t="shared" si="206"/>
        <v>1.1241534988713318</v>
      </c>
      <c r="V1451" s="18">
        <f>ProductionData[[#This Row],[Profit]]/ProductionData[[#This Row],[Good Units]]</f>
        <v>25.966735966735968</v>
      </c>
      <c r="W1451" s="11">
        <f>ProductionData[[#This Row],[Good Units]]/ProductionData[[#This Row],[Operating Minutes]]</f>
        <v>1.0857787810383748</v>
      </c>
    </row>
    <row r="1452" spans="1:23">
      <c r="A1452" s="7">
        <v>46365</v>
      </c>
      <c r="B1452" s="8" t="s">
        <v>33</v>
      </c>
      <c r="C1452" s="8" t="s">
        <v>20</v>
      </c>
      <c r="D1452" s="8" t="s">
        <v>23</v>
      </c>
      <c r="E1452" s="8" t="s">
        <v>22</v>
      </c>
      <c r="F1452" s="9">
        <v>470</v>
      </c>
      <c r="G1452" s="9">
        <v>451</v>
      </c>
      <c r="H1452" s="9">
        <v>19</v>
      </c>
      <c r="I1452" s="9">
        <f t="shared" si="198"/>
        <v>432</v>
      </c>
      <c r="J1452" s="9">
        <v>36</v>
      </c>
      <c r="K1452" s="10">
        <f t="shared" si="199"/>
        <v>7.4999999999999997E-2</v>
      </c>
      <c r="L1452" s="17">
        <v>100</v>
      </c>
      <c r="M1452" s="17">
        <v>30800</v>
      </c>
      <c r="N1452" s="17">
        <f t="shared" si="200"/>
        <v>43200</v>
      </c>
      <c r="O1452" s="17">
        <f t="shared" si="201"/>
        <v>12400</v>
      </c>
      <c r="P1452" s="10">
        <f t="shared" si="202"/>
        <v>0.95957446808510638</v>
      </c>
      <c r="Q1452" s="10">
        <f t="shared" si="203"/>
        <v>4.2128603104212861E-2</v>
      </c>
      <c r="R1452" s="10">
        <f t="shared" si="204"/>
        <v>0.28703703703703703</v>
      </c>
      <c r="S1452" s="18">
        <f t="shared" si="205"/>
        <v>71.296296296296291</v>
      </c>
      <c r="T1452" s="8">
        <f>480-ProductionData[[#This Row],[Downtime Minutes]]</f>
        <v>444</v>
      </c>
      <c r="U1452" s="11">
        <f t="shared" si="206"/>
        <v>1.0157657657657657</v>
      </c>
      <c r="V1452" s="18">
        <f>ProductionData[[#This Row],[Profit]]/ProductionData[[#This Row],[Good Units]]</f>
        <v>28.703703703703702</v>
      </c>
      <c r="W1452" s="11">
        <f>ProductionData[[#This Row],[Good Units]]/ProductionData[[#This Row],[Operating Minutes]]</f>
        <v>0.97297297297297303</v>
      </c>
    </row>
    <row r="1453" spans="1:23">
      <c r="A1453" s="7">
        <v>46365</v>
      </c>
      <c r="B1453" s="8" t="s">
        <v>33</v>
      </c>
      <c r="C1453" s="8" t="s">
        <v>20</v>
      </c>
      <c r="D1453" s="8" t="s">
        <v>25</v>
      </c>
      <c r="E1453" s="8" t="s">
        <v>24</v>
      </c>
      <c r="F1453" s="9">
        <v>400</v>
      </c>
      <c r="G1453" s="9">
        <v>360</v>
      </c>
      <c r="H1453" s="9">
        <v>16</v>
      </c>
      <c r="I1453" s="9">
        <f t="shared" si="198"/>
        <v>344</v>
      </c>
      <c r="J1453" s="9">
        <v>55</v>
      </c>
      <c r="K1453" s="10">
        <f t="shared" si="199"/>
        <v>0.11458333333333333</v>
      </c>
      <c r="L1453" s="17">
        <v>120</v>
      </c>
      <c r="M1453" s="17">
        <v>30800</v>
      </c>
      <c r="N1453" s="17">
        <f t="shared" si="200"/>
        <v>41280</v>
      </c>
      <c r="O1453" s="17">
        <f t="shared" si="201"/>
        <v>10480</v>
      </c>
      <c r="P1453" s="10">
        <f t="shared" si="202"/>
        <v>0.9</v>
      </c>
      <c r="Q1453" s="10">
        <f t="shared" si="203"/>
        <v>4.4444444444444446E-2</v>
      </c>
      <c r="R1453" s="10">
        <f t="shared" si="204"/>
        <v>0.25387596899224807</v>
      </c>
      <c r="S1453" s="18">
        <f t="shared" si="205"/>
        <v>89.534883720930239</v>
      </c>
      <c r="T1453" s="8">
        <f>480-ProductionData[[#This Row],[Downtime Minutes]]</f>
        <v>425</v>
      </c>
      <c r="U1453" s="11">
        <f t="shared" si="206"/>
        <v>0.84705882352941175</v>
      </c>
      <c r="V1453" s="18">
        <f>ProductionData[[#This Row],[Profit]]/ProductionData[[#This Row],[Good Units]]</f>
        <v>30.465116279069768</v>
      </c>
      <c r="W1453" s="11">
        <f>ProductionData[[#This Row],[Good Units]]/ProductionData[[#This Row],[Operating Minutes]]</f>
        <v>0.80941176470588239</v>
      </c>
    </row>
    <row r="1454" spans="1:23">
      <c r="A1454" s="7">
        <v>46365</v>
      </c>
      <c r="B1454" s="8" t="s">
        <v>33</v>
      </c>
      <c r="C1454" s="8" t="s">
        <v>27</v>
      </c>
      <c r="D1454" s="8" t="s">
        <v>21</v>
      </c>
      <c r="E1454" s="8" t="s">
        <v>22</v>
      </c>
      <c r="F1454" s="9">
        <v>460</v>
      </c>
      <c r="G1454" s="9">
        <v>414</v>
      </c>
      <c r="H1454" s="9">
        <v>28</v>
      </c>
      <c r="I1454" s="9">
        <f t="shared" si="198"/>
        <v>386</v>
      </c>
      <c r="J1454" s="9">
        <v>43</v>
      </c>
      <c r="K1454" s="10">
        <f t="shared" si="199"/>
        <v>8.9583333333333334E-2</v>
      </c>
      <c r="L1454" s="17">
        <v>100</v>
      </c>
      <c r="M1454" s="17">
        <v>30800</v>
      </c>
      <c r="N1454" s="17">
        <f t="shared" si="200"/>
        <v>38600</v>
      </c>
      <c r="O1454" s="17">
        <f t="shared" si="201"/>
        <v>7800</v>
      </c>
      <c r="P1454" s="10">
        <f t="shared" si="202"/>
        <v>0.9</v>
      </c>
      <c r="Q1454" s="10">
        <f t="shared" si="203"/>
        <v>6.7632850241545889E-2</v>
      </c>
      <c r="R1454" s="10">
        <f t="shared" si="204"/>
        <v>0.20207253886010362</v>
      </c>
      <c r="S1454" s="18">
        <f t="shared" si="205"/>
        <v>79.792746113989637</v>
      </c>
      <c r="T1454" s="8">
        <f>480-ProductionData[[#This Row],[Downtime Minutes]]</f>
        <v>437</v>
      </c>
      <c r="U1454" s="11">
        <f t="shared" si="206"/>
        <v>0.94736842105263153</v>
      </c>
      <c r="V1454" s="18">
        <f>ProductionData[[#This Row],[Profit]]/ProductionData[[#This Row],[Good Units]]</f>
        <v>20.207253886010363</v>
      </c>
      <c r="W1454" s="11">
        <f>ProductionData[[#This Row],[Good Units]]/ProductionData[[#This Row],[Operating Minutes]]</f>
        <v>0.8832951945080092</v>
      </c>
    </row>
    <row r="1455" spans="1:23">
      <c r="A1455" s="7">
        <v>46365</v>
      </c>
      <c r="B1455" s="8" t="s">
        <v>33</v>
      </c>
      <c r="C1455" s="8" t="s">
        <v>27</v>
      </c>
      <c r="D1455" s="8" t="s">
        <v>23</v>
      </c>
      <c r="E1455" s="8" t="s">
        <v>24</v>
      </c>
      <c r="F1455" s="9">
        <v>390</v>
      </c>
      <c r="G1455" s="9">
        <v>347</v>
      </c>
      <c r="H1455" s="9">
        <v>19</v>
      </c>
      <c r="I1455" s="9">
        <f t="shared" si="198"/>
        <v>328</v>
      </c>
      <c r="J1455" s="9">
        <v>63</v>
      </c>
      <c r="K1455" s="10">
        <f t="shared" si="199"/>
        <v>0.13125000000000001</v>
      </c>
      <c r="L1455" s="17">
        <v>120</v>
      </c>
      <c r="M1455" s="17">
        <v>30800</v>
      </c>
      <c r="N1455" s="17">
        <f t="shared" si="200"/>
        <v>39360</v>
      </c>
      <c r="O1455" s="17">
        <f t="shared" si="201"/>
        <v>8560</v>
      </c>
      <c r="P1455" s="10">
        <f t="shared" si="202"/>
        <v>0.88974358974358969</v>
      </c>
      <c r="Q1455" s="10">
        <f t="shared" si="203"/>
        <v>5.4755043227665709E-2</v>
      </c>
      <c r="R1455" s="10">
        <f t="shared" si="204"/>
        <v>0.21747967479674796</v>
      </c>
      <c r="S1455" s="18">
        <f t="shared" si="205"/>
        <v>93.902439024390247</v>
      </c>
      <c r="T1455" s="8">
        <f>480-ProductionData[[#This Row],[Downtime Minutes]]</f>
        <v>417</v>
      </c>
      <c r="U1455" s="11">
        <f t="shared" si="206"/>
        <v>0.83213429256594729</v>
      </c>
      <c r="V1455" s="18">
        <f>ProductionData[[#This Row],[Profit]]/ProductionData[[#This Row],[Good Units]]</f>
        <v>26.097560975609756</v>
      </c>
      <c r="W1455" s="11">
        <f>ProductionData[[#This Row],[Good Units]]/ProductionData[[#This Row],[Operating Minutes]]</f>
        <v>0.78657074340527577</v>
      </c>
    </row>
    <row r="1456" spans="1:23">
      <c r="A1456" s="7">
        <v>46365</v>
      </c>
      <c r="B1456" s="8" t="s">
        <v>33</v>
      </c>
      <c r="C1456" s="8" t="s">
        <v>27</v>
      </c>
      <c r="D1456" s="8" t="s">
        <v>25</v>
      </c>
      <c r="E1456" s="8" t="s">
        <v>26</v>
      </c>
      <c r="F1456" s="9">
        <v>490</v>
      </c>
      <c r="G1456" s="9">
        <v>427</v>
      </c>
      <c r="H1456" s="9">
        <v>26</v>
      </c>
      <c r="I1456" s="9">
        <f t="shared" si="198"/>
        <v>401</v>
      </c>
      <c r="J1456" s="9">
        <v>47</v>
      </c>
      <c r="K1456" s="10">
        <f t="shared" si="199"/>
        <v>9.7916666666666666E-2</v>
      </c>
      <c r="L1456" s="17">
        <v>90</v>
      </c>
      <c r="M1456" s="17">
        <v>30800</v>
      </c>
      <c r="N1456" s="17">
        <f t="shared" si="200"/>
        <v>36090</v>
      </c>
      <c r="O1456" s="17">
        <f t="shared" si="201"/>
        <v>5290</v>
      </c>
      <c r="P1456" s="10">
        <f t="shared" si="202"/>
        <v>0.87142857142857144</v>
      </c>
      <c r="Q1456" s="10">
        <f t="shared" si="203"/>
        <v>6.0889929742388757E-2</v>
      </c>
      <c r="R1456" s="10">
        <f t="shared" si="204"/>
        <v>0.14657799944582986</v>
      </c>
      <c r="S1456" s="18">
        <f t="shared" si="205"/>
        <v>76.807980049875312</v>
      </c>
      <c r="T1456" s="8">
        <f>480-ProductionData[[#This Row],[Downtime Minutes]]</f>
        <v>433</v>
      </c>
      <c r="U1456" s="11">
        <f t="shared" si="206"/>
        <v>0.98614318706697457</v>
      </c>
      <c r="V1456" s="18">
        <f>ProductionData[[#This Row],[Profit]]/ProductionData[[#This Row],[Good Units]]</f>
        <v>13.192019950124688</v>
      </c>
      <c r="W1456" s="11">
        <f>ProductionData[[#This Row],[Good Units]]/ProductionData[[#This Row],[Operating Minutes]]</f>
        <v>0.92609699769053122</v>
      </c>
    </row>
    <row r="1457" spans="1:23">
      <c r="A1457" s="7">
        <v>46365</v>
      </c>
      <c r="B1457" s="8" t="s">
        <v>33</v>
      </c>
      <c r="C1457" s="8" t="s">
        <v>28</v>
      </c>
      <c r="D1457" s="8" t="s">
        <v>21</v>
      </c>
      <c r="E1457" s="8" t="s">
        <v>24</v>
      </c>
      <c r="F1457" s="9">
        <v>390</v>
      </c>
      <c r="G1457" s="9">
        <v>375</v>
      </c>
      <c r="H1457" s="9">
        <v>10</v>
      </c>
      <c r="I1457" s="9">
        <f t="shared" si="198"/>
        <v>365</v>
      </c>
      <c r="J1457" s="9">
        <v>24</v>
      </c>
      <c r="K1457" s="10">
        <f t="shared" si="199"/>
        <v>0.05</v>
      </c>
      <c r="L1457" s="17">
        <v>120</v>
      </c>
      <c r="M1457" s="17">
        <v>30800</v>
      </c>
      <c r="N1457" s="17">
        <f t="shared" si="200"/>
        <v>43800</v>
      </c>
      <c r="O1457" s="17">
        <f t="shared" si="201"/>
        <v>13000</v>
      </c>
      <c r="P1457" s="10">
        <f t="shared" si="202"/>
        <v>0.96153846153846156</v>
      </c>
      <c r="Q1457" s="10">
        <f t="shared" si="203"/>
        <v>2.6666666666666668E-2</v>
      </c>
      <c r="R1457" s="10">
        <f t="shared" si="204"/>
        <v>0.29680365296803651</v>
      </c>
      <c r="S1457" s="18">
        <f t="shared" si="205"/>
        <v>84.38356164383562</v>
      </c>
      <c r="T1457" s="8">
        <f>480-ProductionData[[#This Row],[Downtime Minutes]]</f>
        <v>456</v>
      </c>
      <c r="U1457" s="11">
        <f t="shared" si="206"/>
        <v>0.82236842105263153</v>
      </c>
      <c r="V1457" s="18">
        <f>ProductionData[[#This Row],[Profit]]/ProductionData[[#This Row],[Good Units]]</f>
        <v>35.61643835616438</v>
      </c>
      <c r="W1457" s="11">
        <f>ProductionData[[#This Row],[Good Units]]/ProductionData[[#This Row],[Operating Minutes]]</f>
        <v>0.80043859649122806</v>
      </c>
    </row>
    <row r="1458" spans="1:23">
      <c r="A1458" s="7">
        <v>46365</v>
      </c>
      <c r="B1458" s="8" t="s">
        <v>33</v>
      </c>
      <c r="C1458" s="8" t="s">
        <v>28</v>
      </c>
      <c r="D1458" s="8" t="s">
        <v>23</v>
      </c>
      <c r="E1458" s="8" t="s">
        <v>26</v>
      </c>
      <c r="F1458" s="9">
        <v>500</v>
      </c>
      <c r="G1458" s="9">
        <v>481</v>
      </c>
      <c r="H1458" s="9">
        <v>16</v>
      </c>
      <c r="I1458" s="9">
        <f t="shared" si="198"/>
        <v>465</v>
      </c>
      <c r="J1458" s="9">
        <v>13</v>
      </c>
      <c r="K1458" s="10">
        <f t="shared" si="199"/>
        <v>2.7083333333333334E-2</v>
      </c>
      <c r="L1458" s="17">
        <v>90</v>
      </c>
      <c r="M1458" s="17">
        <v>30800</v>
      </c>
      <c r="N1458" s="17">
        <f t="shared" si="200"/>
        <v>41850</v>
      </c>
      <c r="O1458" s="17">
        <f t="shared" si="201"/>
        <v>11050</v>
      </c>
      <c r="P1458" s="10">
        <f t="shared" si="202"/>
        <v>0.96199999999999997</v>
      </c>
      <c r="Q1458" s="10">
        <f t="shared" si="203"/>
        <v>3.3264033264033266E-2</v>
      </c>
      <c r="R1458" s="10">
        <f t="shared" si="204"/>
        <v>0.26403823178016728</v>
      </c>
      <c r="S1458" s="18">
        <f t="shared" si="205"/>
        <v>66.236559139784944</v>
      </c>
      <c r="T1458" s="8">
        <f>480-ProductionData[[#This Row],[Downtime Minutes]]</f>
        <v>467</v>
      </c>
      <c r="U1458" s="11">
        <f t="shared" si="206"/>
        <v>1.0299785867237687</v>
      </c>
      <c r="V1458" s="18">
        <f>ProductionData[[#This Row],[Profit]]/ProductionData[[#This Row],[Good Units]]</f>
        <v>23.763440860215052</v>
      </c>
      <c r="W1458" s="11">
        <f>ProductionData[[#This Row],[Good Units]]/ProductionData[[#This Row],[Operating Minutes]]</f>
        <v>0.99571734475374729</v>
      </c>
    </row>
    <row r="1459" spans="1:23">
      <c r="A1459" s="7">
        <v>46365</v>
      </c>
      <c r="B1459" s="8" t="s">
        <v>33</v>
      </c>
      <c r="C1459" s="8" t="s">
        <v>28</v>
      </c>
      <c r="D1459" s="8" t="s">
        <v>25</v>
      </c>
      <c r="E1459" s="8" t="s">
        <v>22</v>
      </c>
      <c r="F1459" s="9">
        <v>440</v>
      </c>
      <c r="G1459" s="9">
        <v>402</v>
      </c>
      <c r="H1459" s="9">
        <v>19</v>
      </c>
      <c r="I1459" s="9">
        <f t="shared" si="198"/>
        <v>383</v>
      </c>
      <c r="J1459" s="9">
        <v>36</v>
      </c>
      <c r="K1459" s="10">
        <f t="shared" si="199"/>
        <v>7.4999999999999997E-2</v>
      </c>
      <c r="L1459" s="17">
        <v>100</v>
      </c>
      <c r="M1459" s="17">
        <v>30800</v>
      </c>
      <c r="N1459" s="17">
        <f t="shared" si="200"/>
        <v>38300</v>
      </c>
      <c r="O1459" s="17">
        <f t="shared" si="201"/>
        <v>7500</v>
      </c>
      <c r="P1459" s="10">
        <f t="shared" si="202"/>
        <v>0.91363636363636369</v>
      </c>
      <c r="Q1459" s="10">
        <f t="shared" si="203"/>
        <v>4.7263681592039801E-2</v>
      </c>
      <c r="R1459" s="10">
        <f t="shared" si="204"/>
        <v>0.195822454308094</v>
      </c>
      <c r="S1459" s="18">
        <f t="shared" si="205"/>
        <v>80.417754569190606</v>
      </c>
      <c r="T1459" s="8">
        <f>480-ProductionData[[#This Row],[Downtime Minutes]]</f>
        <v>444</v>
      </c>
      <c r="U1459" s="11">
        <f t="shared" si="206"/>
        <v>0.90540540540540537</v>
      </c>
      <c r="V1459" s="18">
        <f>ProductionData[[#This Row],[Profit]]/ProductionData[[#This Row],[Good Units]]</f>
        <v>19.582245430809401</v>
      </c>
      <c r="W1459" s="11">
        <f>ProductionData[[#This Row],[Good Units]]/ProductionData[[#This Row],[Operating Minutes]]</f>
        <v>0.86261261261261257</v>
      </c>
    </row>
    <row r="1460" spans="1:23">
      <c r="A1460" s="7">
        <v>46366</v>
      </c>
      <c r="B1460" s="8" t="s">
        <v>33</v>
      </c>
      <c r="C1460" s="8" t="s">
        <v>20</v>
      </c>
      <c r="D1460" s="8" t="s">
        <v>21</v>
      </c>
      <c r="E1460" s="8" t="s">
        <v>22</v>
      </c>
      <c r="F1460" s="9">
        <v>450</v>
      </c>
      <c r="G1460" s="9">
        <v>435</v>
      </c>
      <c r="H1460" s="9">
        <v>16</v>
      </c>
      <c r="I1460" s="9">
        <f t="shared" si="198"/>
        <v>419</v>
      </c>
      <c r="J1460" s="9">
        <v>46</v>
      </c>
      <c r="K1460" s="10">
        <f t="shared" si="199"/>
        <v>9.583333333333334E-2</v>
      </c>
      <c r="L1460" s="17">
        <v>100</v>
      </c>
      <c r="M1460" s="17">
        <v>30800</v>
      </c>
      <c r="N1460" s="17">
        <f t="shared" si="200"/>
        <v>41900</v>
      </c>
      <c r="O1460" s="17">
        <f t="shared" si="201"/>
        <v>11100</v>
      </c>
      <c r="P1460" s="10">
        <f t="shared" si="202"/>
        <v>0.96666666666666667</v>
      </c>
      <c r="Q1460" s="10">
        <f t="shared" si="203"/>
        <v>3.6781609195402298E-2</v>
      </c>
      <c r="R1460" s="10">
        <f t="shared" si="204"/>
        <v>0.2649164677804296</v>
      </c>
      <c r="S1460" s="18">
        <f t="shared" si="205"/>
        <v>73.508353221957037</v>
      </c>
      <c r="T1460" s="8">
        <f>480-ProductionData[[#This Row],[Downtime Minutes]]</f>
        <v>434</v>
      </c>
      <c r="U1460" s="11">
        <f t="shared" si="206"/>
        <v>1.0023041474654377</v>
      </c>
      <c r="V1460" s="18">
        <f>ProductionData[[#This Row],[Profit]]/ProductionData[[#This Row],[Good Units]]</f>
        <v>26.491646778042959</v>
      </c>
      <c r="W1460" s="11">
        <f>ProductionData[[#This Row],[Good Units]]/ProductionData[[#This Row],[Operating Minutes]]</f>
        <v>0.96543778801843316</v>
      </c>
    </row>
    <row r="1461" spans="1:23">
      <c r="A1461" s="7">
        <v>46366</v>
      </c>
      <c r="B1461" s="8" t="s">
        <v>33</v>
      </c>
      <c r="C1461" s="8" t="s">
        <v>20</v>
      </c>
      <c r="D1461" s="8" t="s">
        <v>23</v>
      </c>
      <c r="E1461" s="8" t="s">
        <v>24</v>
      </c>
      <c r="F1461" s="9">
        <v>410</v>
      </c>
      <c r="G1461" s="9">
        <v>377</v>
      </c>
      <c r="H1461" s="9">
        <v>15</v>
      </c>
      <c r="I1461" s="9">
        <f t="shared" si="198"/>
        <v>362</v>
      </c>
      <c r="J1461" s="9">
        <v>35</v>
      </c>
      <c r="K1461" s="10">
        <f t="shared" si="199"/>
        <v>7.2916666666666671E-2</v>
      </c>
      <c r="L1461" s="17">
        <v>120</v>
      </c>
      <c r="M1461" s="17">
        <v>30800</v>
      </c>
      <c r="N1461" s="17">
        <f t="shared" si="200"/>
        <v>43440</v>
      </c>
      <c r="O1461" s="17">
        <f t="shared" si="201"/>
        <v>12640</v>
      </c>
      <c r="P1461" s="10">
        <f t="shared" si="202"/>
        <v>0.91951219512195126</v>
      </c>
      <c r="Q1461" s="10">
        <f t="shared" si="203"/>
        <v>3.9787798408488062E-2</v>
      </c>
      <c r="R1461" s="10">
        <f t="shared" si="204"/>
        <v>0.29097605893186002</v>
      </c>
      <c r="S1461" s="18">
        <f t="shared" si="205"/>
        <v>85.082872928176798</v>
      </c>
      <c r="T1461" s="8">
        <f>480-ProductionData[[#This Row],[Downtime Minutes]]</f>
        <v>445</v>
      </c>
      <c r="U1461" s="11">
        <f t="shared" si="206"/>
        <v>0.84719101123595508</v>
      </c>
      <c r="V1461" s="18">
        <f>ProductionData[[#This Row],[Profit]]/ProductionData[[#This Row],[Good Units]]</f>
        <v>34.917127071823202</v>
      </c>
      <c r="W1461" s="11">
        <f>ProductionData[[#This Row],[Good Units]]/ProductionData[[#This Row],[Operating Minutes]]</f>
        <v>0.81348314606741579</v>
      </c>
    </row>
    <row r="1462" spans="1:23">
      <c r="A1462" s="7">
        <v>46366</v>
      </c>
      <c r="B1462" s="8" t="s">
        <v>33</v>
      </c>
      <c r="C1462" s="8" t="s">
        <v>20</v>
      </c>
      <c r="D1462" s="8" t="s">
        <v>25</v>
      </c>
      <c r="E1462" s="8" t="s">
        <v>26</v>
      </c>
      <c r="F1462" s="9">
        <v>490</v>
      </c>
      <c r="G1462" s="9">
        <v>437</v>
      </c>
      <c r="H1462" s="9">
        <v>23</v>
      </c>
      <c r="I1462" s="9">
        <f t="shared" si="198"/>
        <v>414</v>
      </c>
      <c r="J1462" s="9">
        <v>37</v>
      </c>
      <c r="K1462" s="10">
        <f t="shared" si="199"/>
        <v>7.7083333333333337E-2</v>
      </c>
      <c r="L1462" s="17">
        <v>90</v>
      </c>
      <c r="M1462" s="17">
        <v>30800</v>
      </c>
      <c r="N1462" s="17">
        <f t="shared" si="200"/>
        <v>37260</v>
      </c>
      <c r="O1462" s="17">
        <f t="shared" si="201"/>
        <v>6460</v>
      </c>
      <c r="P1462" s="10">
        <f t="shared" si="202"/>
        <v>0.89183673469387759</v>
      </c>
      <c r="Q1462" s="10">
        <f t="shared" si="203"/>
        <v>5.2631578947368418E-2</v>
      </c>
      <c r="R1462" s="10">
        <f t="shared" si="204"/>
        <v>0.17337627482555018</v>
      </c>
      <c r="S1462" s="18">
        <f t="shared" si="205"/>
        <v>74.39613526570048</v>
      </c>
      <c r="T1462" s="8">
        <f>480-ProductionData[[#This Row],[Downtime Minutes]]</f>
        <v>443</v>
      </c>
      <c r="U1462" s="11">
        <f t="shared" si="206"/>
        <v>0.98645598194130923</v>
      </c>
      <c r="V1462" s="18">
        <f>ProductionData[[#This Row],[Profit]]/ProductionData[[#This Row],[Good Units]]</f>
        <v>15.603864734299517</v>
      </c>
      <c r="W1462" s="11">
        <f>ProductionData[[#This Row],[Good Units]]/ProductionData[[#This Row],[Operating Minutes]]</f>
        <v>0.93453724604966137</v>
      </c>
    </row>
    <row r="1463" spans="1:23">
      <c r="A1463" s="7">
        <v>46366</v>
      </c>
      <c r="B1463" s="8" t="s">
        <v>33</v>
      </c>
      <c r="C1463" s="8" t="s">
        <v>27</v>
      </c>
      <c r="D1463" s="8" t="s">
        <v>21</v>
      </c>
      <c r="E1463" s="8" t="s">
        <v>24</v>
      </c>
      <c r="F1463" s="9">
        <v>410</v>
      </c>
      <c r="G1463" s="9">
        <v>362</v>
      </c>
      <c r="H1463" s="9">
        <v>19</v>
      </c>
      <c r="I1463" s="9">
        <f t="shared" si="198"/>
        <v>343</v>
      </c>
      <c r="J1463" s="9">
        <v>59</v>
      </c>
      <c r="K1463" s="10">
        <f t="shared" si="199"/>
        <v>0.12291666666666666</v>
      </c>
      <c r="L1463" s="17">
        <v>120</v>
      </c>
      <c r="M1463" s="17">
        <v>30800</v>
      </c>
      <c r="N1463" s="17">
        <f t="shared" si="200"/>
        <v>41160</v>
      </c>
      <c r="O1463" s="17">
        <f t="shared" si="201"/>
        <v>10360</v>
      </c>
      <c r="P1463" s="10">
        <f t="shared" si="202"/>
        <v>0.88292682926829269</v>
      </c>
      <c r="Q1463" s="10">
        <f t="shared" si="203"/>
        <v>5.2486187845303865E-2</v>
      </c>
      <c r="R1463" s="10">
        <f t="shared" si="204"/>
        <v>0.25170068027210885</v>
      </c>
      <c r="S1463" s="18">
        <f t="shared" si="205"/>
        <v>89.795918367346943</v>
      </c>
      <c r="T1463" s="8">
        <f>480-ProductionData[[#This Row],[Downtime Minutes]]</f>
        <v>421</v>
      </c>
      <c r="U1463" s="11">
        <f t="shared" si="206"/>
        <v>0.85985748218527314</v>
      </c>
      <c r="V1463" s="18">
        <f>ProductionData[[#This Row],[Profit]]/ProductionData[[#This Row],[Good Units]]</f>
        <v>30.204081632653061</v>
      </c>
      <c r="W1463" s="11">
        <f>ProductionData[[#This Row],[Good Units]]/ProductionData[[#This Row],[Operating Minutes]]</f>
        <v>0.81472684085510694</v>
      </c>
    </row>
    <row r="1464" spans="1:23">
      <c r="A1464" s="7">
        <v>46366</v>
      </c>
      <c r="B1464" s="8" t="s">
        <v>33</v>
      </c>
      <c r="C1464" s="8" t="s">
        <v>27</v>
      </c>
      <c r="D1464" s="8" t="s">
        <v>23</v>
      </c>
      <c r="E1464" s="8" t="s">
        <v>26</v>
      </c>
      <c r="F1464" s="9">
        <v>490</v>
      </c>
      <c r="G1464" s="9">
        <v>442</v>
      </c>
      <c r="H1464" s="9">
        <v>24</v>
      </c>
      <c r="I1464" s="9">
        <f t="shared" si="198"/>
        <v>418</v>
      </c>
      <c r="J1464" s="9">
        <v>41</v>
      </c>
      <c r="K1464" s="10">
        <f t="shared" si="199"/>
        <v>8.5416666666666669E-2</v>
      </c>
      <c r="L1464" s="17">
        <v>90</v>
      </c>
      <c r="M1464" s="17">
        <v>30800</v>
      </c>
      <c r="N1464" s="17">
        <f t="shared" si="200"/>
        <v>37620</v>
      </c>
      <c r="O1464" s="17">
        <f t="shared" si="201"/>
        <v>6820</v>
      </c>
      <c r="P1464" s="10">
        <f t="shared" si="202"/>
        <v>0.90204081632653066</v>
      </c>
      <c r="Q1464" s="10">
        <f t="shared" si="203"/>
        <v>5.4298642533936653E-2</v>
      </c>
      <c r="R1464" s="10">
        <f t="shared" si="204"/>
        <v>0.18128654970760233</v>
      </c>
      <c r="S1464" s="18">
        <f t="shared" si="205"/>
        <v>73.684210526315795</v>
      </c>
      <c r="T1464" s="8">
        <f>480-ProductionData[[#This Row],[Downtime Minutes]]</f>
        <v>439</v>
      </c>
      <c r="U1464" s="11">
        <f t="shared" si="206"/>
        <v>1.0068337129840548</v>
      </c>
      <c r="V1464" s="18">
        <f>ProductionData[[#This Row],[Profit]]/ProductionData[[#This Row],[Good Units]]</f>
        <v>16.315789473684209</v>
      </c>
      <c r="W1464" s="11">
        <f>ProductionData[[#This Row],[Good Units]]/ProductionData[[#This Row],[Operating Minutes]]</f>
        <v>0.95216400911161736</v>
      </c>
    </row>
    <row r="1465" spans="1:23">
      <c r="A1465" s="7">
        <v>46366</v>
      </c>
      <c r="B1465" s="8" t="s">
        <v>33</v>
      </c>
      <c r="C1465" s="8" t="s">
        <v>27</v>
      </c>
      <c r="D1465" s="8" t="s">
        <v>25</v>
      </c>
      <c r="E1465" s="8" t="s">
        <v>22</v>
      </c>
      <c r="F1465" s="9">
        <v>460</v>
      </c>
      <c r="G1465" s="9">
        <v>401</v>
      </c>
      <c r="H1465" s="9">
        <v>32</v>
      </c>
      <c r="I1465" s="9">
        <f t="shared" si="198"/>
        <v>369</v>
      </c>
      <c r="J1465" s="9">
        <v>70</v>
      </c>
      <c r="K1465" s="10">
        <f t="shared" si="199"/>
        <v>0.14583333333333334</v>
      </c>
      <c r="L1465" s="17">
        <v>100</v>
      </c>
      <c r="M1465" s="17">
        <v>30800</v>
      </c>
      <c r="N1465" s="17">
        <f t="shared" si="200"/>
        <v>36900</v>
      </c>
      <c r="O1465" s="17">
        <f t="shared" si="201"/>
        <v>6100</v>
      </c>
      <c r="P1465" s="10">
        <f t="shared" si="202"/>
        <v>0.87173913043478257</v>
      </c>
      <c r="Q1465" s="10">
        <f t="shared" si="203"/>
        <v>7.9800498753117205E-2</v>
      </c>
      <c r="R1465" s="10">
        <f t="shared" si="204"/>
        <v>0.16531165311653118</v>
      </c>
      <c r="S1465" s="18">
        <f t="shared" si="205"/>
        <v>83.468834688346888</v>
      </c>
      <c r="T1465" s="8">
        <f>480-ProductionData[[#This Row],[Downtime Minutes]]</f>
        <v>410</v>
      </c>
      <c r="U1465" s="11">
        <f t="shared" si="206"/>
        <v>0.97804878048780486</v>
      </c>
      <c r="V1465" s="18">
        <f>ProductionData[[#This Row],[Profit]]/ProductionData[[#This Row],[Good Units]]</f>
        <v>16.531165311653115</v>
      </c>
      <c r="W1465" s="11">
        <f>ProductionData[[#This Row],[Good Units]]/ProductionData[[#This Row],[Operating Minutes]]</f>
        <v>0.9</v>
      </c>
    </row>
    <row r="1466" spans="1:23">
      <c r="A1466" s="7">
        <v>46366</v>
      </c>
      <c r="B1466" s="8" t="s">
        <v>33</v>
      </c>
      <c r="C1466" s="8" t="s">
        <v>28</v>
      </c>
      <c r="D1466" s="8" t="s">
        <v>21</v>
      </c>
      <c r="E1466" s="8" t="s">
        <v>26</v>
      </c>
      <c r="F1466" s="9">
        <v>500</v>
      </c>
      <c r="G1466" s="9">
        <v>476</v>
      </c>
      <c r="H1466" s="9">
        <v>13</v>
      </c>
      <c r="I1466" s="9">
        <f t="shared" si="198"/>
        <v>463</v>
      </c>
      <c r="J1466" s="9">
        <v>29</v>
      </c>
      <c r="K1466" s="10">
        <f t="shared" si="199"/>
        <v>6.0416666666666667E-2</v>
      </c>
      <c r="L1466" s="17">
        <v>90</v>
      </c>
      <c r="M1466" s="17">
        <v>30800</v>
      </c>
      <c r="N1466" s="17">
        <f t="shared" si="200"/>
        <v>41670</v>
      </c>
      <c r="O1466" s="17">
        <f t="shared" si="201"/>
        <v>10870</v>
      </c>
      <c r="P1466" s="10">
        <f t="shared" si="202"/>
        <v>0.95199999999999996</v>
      </c>
      <c r="Q1466" s="10">
        <f t="shared" si="203"/>
        <v>2.7310924369747899E-2</v>
      </c>
      <c r="R1466" s="10">
        <f t="shared" si="204"/>
        <v>0.26085913126949845</v>
      </c>
      <c r="S1466" s="18">
        <f t="shared" si="205"/>
        <v>66.522678185745136</v>
      </c>
      <c r="T1466" s="8">
        <f>480-ProductionData[[#This Row],[Downtime Minutes]]</f>
        <v>451</v>
      </c>
      <c r="U1466" s="11">
        <f t="shared" si="206"/>
        <v>1.0554323725055432</v>
      </c>
      <c r="V1466" s="18">
        <f>ProductionData[[#This Row],[Profit]]/ProductionData[[#This Row],[Good Units]]</f>
        <v>23.477321814254861</v>
      </c>
      <c r="W1466" s="11">
        <f>ProductionData[[#This Row],[Good Units]]/ProductionData[[#This Row],[Operating Minutes]]</f>
        <v>1.0266075388026608</v>
      </c>
    </row>
    <row r="1467" spans="1:23">
      <c r="A1467" s="7">
        <v>46366</v>
      </c>
      <c r="B1467" s="8" t="s">
        <v>33</v>
      </c>
      <c r="C1467" s="8" t="s">
        <v>28</v>
      </c>
      <c r="D1467" s="8" t="s">
        <v>23</v>
      </c>
      <c r="E1467" s="8" t="s">
        <v>22</v>
      </c>
      <c r="F1467" s="9">
        <v>440</v>
      </c>
      <c r="G1467" s="9">
        <v>428</v>
      </c>
      <c r="H1467" s="9">
        <v>18</v>
      </c>
      <c r="I1467" s="9">
        <f t="shared" si="198"/>
        <v>410</v>
      </c>
      <c r="J1467" s="9">
        <v>45</v>
      </c>
      <c r="K1467" s="10">
        <f t="shared" si="199"/>
        <v>9.375E-2</v>
      </c>
      <c r="L1467" s="17">
        <v>100</v>
      </c>
      <c r="M1467" s="17">
        <v>30800</v>
      </c>
      <c r="N1467" s="17">
        <f t="shared" si="200"/>
        <v>41000</v>
      </c>
      <c r="O1467" s="17">
        <f t="shared" si="201"/>
        <v>10200</v>
      </c>
      <c r="P1467" s="10">
        <f t="shared" si="202"/>
        <v>0.97272727272727277</v>
      </c>
      <c r="Q1467" s="10">
        <f t="shared" si="203"/>
        <v>4.2056074766355138E-2</v>
      </c>
      <c r="R1467" s="10">
        <f t="shared" si="204"/>
        <v>0.24878048780487805</v>
      </c>
      <c r="S1467" s="18">
        <f t="shared" si="205"/>
        <v>75.121951219512198</v>
      </c>
      <c r="T1467" s="8">
        <f>480-ProductionData[[#This Row],[Downtime Minutes]]</f>
        <v>435</v>
      </c>
      <c r="U1467" s="11">
        <f t="shared" si="206"/>
        <v>0.98390804597701154</v>
      </c>
      <c r="V1467" s="18">
        <f>ProductionData[[#This Row],[Profit]]/ProductionData[[#This Row],[Good Units]]</f>
        <v>24.878048780487806</v>
      </c>
      <c r="W1467" s="11">
        <f>ProductionData[[#This Row],[Good Units]]/ProductionData[[#This Row],[Operating Minutes]]</f>
        <v>0.94252873563218387</v>
      </c>
    </row>
    <row r="1468" spans="1:23">
      <c r="A1468" s="7">
        <v>46366</v>
      </c>
      <c r="B1468" s="8" t="s">
        <v>33</v>
      </c>
      <c r="C1468" s="8" t="s">
        <v>28</v>
      </c>
      <c r="D1468" s="8" t="s">
        <v>25</v>
      </c>
      <c r="E1468" s="8" t="s">
        <v>24</v>
      </c>
      <c r="F1468" s="9">
        <v>410</v>
      </c>
      <c r="G1468" s="9">
        <v>377</v>
      </c>
      <c r="H1468" s="9">
        <v>11</v>
      </c>
      <c r="I1468" s="9">
        <f t="shared" si="198"/>
        <v>366</v>
      </c>
      <c r="J1468" s="9">
        <v>29</v>
      </c>
      <c r="K1468" s="10">
        <f t="shared" si="199"/>
        <v>6.0416666666666667E-2</v>
      </c>
      <c r="L1468" s="17">
        <v>120</v>
      </c>
      <c r="M1468" s="17">
        <v>30800</v>
      </c>
      <c r="N1468" s="17">
        <f t="shared" si="200"/>
        <v>43920</v>
      </c>
      <c r="O1468" s="17">
        <f t="shared" si="201"/>
        <v>13120</v>
      </c>
      <c r="P1468" s="10">
        <f t="shared" si="202"/>
        <v>0.91951219512195126</v>
      </c>
      <c r="Q1468" s="10">
        <f t="shared" si="203"/>
        <v>2.9177718832891247E-2</v>
      </c>
      <c r="R1468" s="10">
        <f t="shared" si="204"/>
        <v>0.2987249544626594</v>
      </c>
      <c r="S1468" s="18">
        <f t="shared" si="205"/>
        <v>84.15300546448087</v>
      </c>
      <c r="T1468" s="8">
        <f>480-ProductionData[[#This Row],[Downtime Minutes]]</f>
        <v>451</v>
      </c>
      <c r="U1468" s="11">
        <f t="shared" si="206"/>
        <v>0.83592017738359203</v>
      </c>
      <c r="V1468" s="18">
        <f>ProductionData[[#This Row],[Profit]]/ProductionData[[#This Row],[Good Units]]</f>
        <v>35.846994535519123</v>
      </c>
      <c r="W1468" s="11">
        <f>ProductionData[[#This Row],[Good Units]]/ProductionData[[#This Row],[Operating Minutes]]</f>
        <v>0.81152993348115299</v>
      </c>
    </row>
    <row r="1469" spans="1:23">
      <c r="A1469" s="7">
        <v>46367</v>
      </c>
      <c r="B1469" s="8" t="s">
        <v>33</v>
      </c>
      <c r="C1469" s="8" t="s">
        <v>20</v>
      </c>
      <c r="D1469" s="8" t="s">
        <v>21</v>
      </c>
      <c r="E1469" s="8" t="s">
        <v>24</v>
      </c>
      <c r="F1469" s="9">
        <v>400</v>
      </c>
      <c r="G1469" s="9">
        <v>377</v>
      </c>
      <c r="H1469" s="9">
        <v>11</v>
      </c>
      <c r="I1469" s="9">
        <f t="shared" si="198"/>
        <v>366</v>
      </c>
      <c r="J1469" s="9">
        <v>33</v>
      </c>
      <c r="K1469" s="10">
        <f t="shared" si="199"/>
        <v>6.8750000000000006E-2</v>
      </c>
      <c r="L1469" s="17">
        <v>120</v>
      </c>
      <c r="M1469" s="17">
        <v>30800</v>
      </c>
      <c r="N1469" s="17">
        <f t="shared" si="200"/>
        <v>43920</v>
      </c>
      <c r="O1469" s="17">
        <f t="shared" si="201"/>
        <v>13120</v>
      </c>
      <c r="P1469" s="10">
        <f t="shared" si="202"/>
        <v>0.9425</v>
      </c>
      <c r="Q1469" s="10">
        <f t="shared" si="203"/>
        <v>2.9177718832891247E-2</v>
      </c>
      <c r="R1469" s="10">
        <f t="shared" si="204"/>
        <v>0.2987249544626594</v>
      </c>
      <c r="S1469" s="18">
        <f t="shared" si="205"/>
        <v>84.15300546448087</v>
      </c>
      <c r="T1469" s="8">
        <f>480-ProductionData[[#This Row],[Downtime Minutes]]</f>
        <v>447</v>
      </c>
      <c r="U1469" s="11">
        <f t="shared" si="206"/>
        <v>0.84340044742729303</v>
      </c>
      <c r="V1469" s="18">
        <f>ProductionData[[#This Row],[Profit]]/ProductionData[[#This Row],[Good Units]]</f>
        <v>35.846994535519123</v>
      </c>
      <c r="W1469" s="11">
        <f>ProductionData[[#This Row],[Good Units]]/ProductionData[[#This Row],[Operating Minutes]]</f>
        <v>0.81879194630872487</v>
      </c>
    </row>
    <row r="1470" spans="1:23">
      <c r="A1470" s="7">
        <v>46367</v>
      </c>
      <c r="B1470" s="8" t="s">
        <v>33</v>
      </c>
      <c r="C1470" s="8" t="s">
        <v>20</v>
      </c>
      <c r="D1470" s="8" t="s">
        <v>23</v>
      </c>
      <c r="E1470" s="8" t="s">
        <v>26</v>
      </c>
      <c r="F1470" s="9">
        <v>490</v>
      </c>
      <c r="G1470" s="9">
        <v>478</v>
      </c>
      <c r="H1470" s="9">
        <v>16</v>
      </c>
      <c r="I1470" s="9">
        <f t="shared" si="198"/>
        <v>462</v>
      </c>
      <c r="J1470" s="9">
        <v>33</v>
      </c>
      <c r="K1470" s="10">
        <f t="shared" si="199"/>
        <v>6.8750000000000006E-2</v>
      </c>
      <c r="L1470" s="17">
        <v>90</v>
      </c>
      <c r="M1470" s="17">
        <v>30800</v>
      </c>
      <c r="N1470" s="17">
        <f t="shared" si="200"/>
        <v>41580</v>
      </c>
      <c r="O1470" s="17">
        <f t="shared" si="201"/>
        <v>10780</v>
      </c>
      <c r="P1470" s="10">
        <f t="shared" si="202"/>
        <v>0.97551020408163269</v>
      </c>
      <c r="Q1470" s="10">
        <f t="shared" si="203"/>
        <v>3.3472803347280332E-2</v>
      </c>
      <c r="R1470" s="10">
        <f t="shared" si="204"/>
        <v>0.25925925925925924</v>
      </c>
      <c r="S1470" s="18">
        <f t="shared" si="205"/>
        <v>66.666666666666671</v>
      </c>
      <c r="T1470" s="8">
        <f>480-ProductionData[[#This Row],[Downtime Minutes]]</f>
        <v>447</v>
      </c>
      <c r="U1470" s="11">
        <f t="shared" si="206"/>
        <v>1.0693512304250559</v>
      </c>
      <c r="V1470" s="18">
        <f>ProductionData[[#This Row],[Profit]]/ProductionData[[#This Row],[Good Units]]</f>
        <v>23.333333333333332</v>
      </c>
      <c r="W1470" s="11">
        <f>ProductionData[[#This Row],[Good Units]]/ProductionData[[#This Row],[Operating Minutes]]</f>
        <v>1.0335570469798658</v>
      </c>
    </row>
    <row r="1471" spans="1:23">
      <c r="A1471" s="7">
        <v>46367</v>
      </c>
      <c r="B1471" s="8" t="s">
        <v>33</v>
      </c>
      <c r="C1471" s="8" t="s">
        <v>20</v>
      </c>
      <c r="D1471" s="8" t="s">
        <v>25</v>
      </c>
      <c r="E1471" s="8" t="s">
        <v>22</v>
      </c>
      <c r="F1471" s="9">
        <v>460</v>
      </c>
      <c r="G1471" s="9">
        <v>435</v>
      </c>
      <c r="H1471" s="9">
        <v>27</v>
      </c>
      <c r="I1471" s="9">
        <f t="shared" si="198"/>
        <v>408</v>
      </c>
      <c r="J1471" s="9">
        <v>40</v>
      </c>
      <c r="K1471" s="10">
        <f t="shared" si="199"/>
        <v>8.3333333333333329E-2</v>
      </c>
      <c r="L1471" s="17">
        <v>100</v>
      </c>
      <c r="M1471" s="17">
        <v>30800</v>
      </c>
      <c r="N1471" s="17">
        <f t="shared" si="200"/>
        <v>40800</v>
      </c>
      <c r="O1471" s="17">
        <f t="shared" si="201"/>
        <v>10000</v>
      </c>
      <c r="P1471" s="10">
        <f t="shared" si="202"/>
        <v>0.94565217391304346</v>
      </c>
      <c r="Q1471" s="10">
        <f t="shared" si="203"/>
        <v>6.2068965517241378E-2</v>
      </c>
      <c r="R1471" s="10">
        <f t="shared" si="204"/>
        <v>0.24509803921568626</v>
      </c>
      <c r="S1471" s="18">
        <f t="shared" si="205"/>
        <v>75.490196078431367</v>
      </c>
      <c r="T1471" s="8">
        <f>480-ProductionData[[#This Row],[Downtime Minutes]]</f>
        <v>440</v>
      </c>
      <c r="U1471" s="11">
        <f t="shared" si="206"/>
        <v>0.98863636363636365</v>
      </c>
      <c r="V1471" s="18">
        <f>ProductionData[[#This Row],[Profit]]/ProductionData[[#This Row],[Good Units]]</f>
        <v>24.509803921568629</v>
      </c>
      <c r="W1471" s="11">
        <f>ProductionData[[#This Row],[Good Units]]/ProductionData[[#This Row],[Operating Minutes]]</f>
        <v>0.92727272727272725</v>
      </c>
    </row>
    <row r="1472" spans="1:23">
      <c r="A1472" s="7">
        <v>46367</v>
      </c>
      <c r="B1472" s="8" t="s">
        <v>33</v>
      </c>
      <c r="C1472" s="8" t="s">
        <v>27</v>
      </c>
      <c r="D1472" s="8" t="s">
        <v>21</v>
      </c>
      <c r="E1472" s="8" t="s">
        <v>26</v>
      </c>
      <c r="F1472" s="9">
        <v>500</v>
      </c>
      <c r="G1472" s="9">
        <v>450</v>
      </c>
      <c r="H1472" s="9">
        <v>21</v>
      </c>
      <c r="I1472" s="9">
        <f t="shared" si="198"/>
        <v>429</v>
      </c>
      <c r="J1472" s="9">
        <v>51</v>
      </c>
      <c r="K1472" s="10">
        <f t="shared" si="199"/>
        <v>0.10625</v>
      </c>
      <c r="L1472" s="17">
        <v>90</v>
      </c>
      <c r="M1472" s="17">
        <v>30800</v>
      </c>
      <c r="N1472" s="17">
        <f t="shared" si="200"/>
        <v>38610</v>
      </c>
      <c r="O1472" s="17">
        <f t="shared" si="201"/>
        <v>7810</v>
      </c>
      <c r="P1472" s="10">
        <f t="shared" si="202"/>
        <v>0.9</v>
      </c>
      <c r="Q1472" s="10">
        <f t="shared" si="203"/>
        <v>4.6666666666666669E-2</v>
      </c>
      <c r="R1472" s="10">
        <f t="shared" si="204"/>
        <v>0.20227920227920229</v>
      </c>
      <c r="S1472" s="18">
        <f t="shared" si="205"/>
        <v>71.794871794871796</v>
      </c>
      <c r="T1472" s="8">
        <f>480-ProductionData[[#This Row],[Downtime Minutes]]</f>
        <v>429</v>
      </c>
      <c r="U1472" s="11">
        <f t="shared" si="206"/>
        <v>1.048951048951049</v>
      </c>
      <c r="V1472" s="18">
        <f>ProductionData[[#This Row],[Profit]]/ProductionData[[#This Row],[Good Units]]</f>
        <v>18.205128205128204</v>
      </c>
      <c r="W1472" s="11">
        <f>ProductionData[[#This Row],[Good Units]]/ProductionData[[#This Row],[Operating Minutes]]</f>
        <v>1</v>
      </c>
    </row>
    <row r="1473" spans="1:23">
      <c r="A1473" s="7">
        <v>46367</v>
      </c>
      <c r="B1473" s="8" t="s">
        <v>33</v>
      </c>
      <c r="C1473" s="8" t="s">
        <v>27</v>
      </c>
      <c r="D1473" s="8" t="s">
        <v>23</v>
      </c>
      <c r="E1473" s="8" t="s">
        <v>22</v>
      </c>
      <c r="F1473" s="9">
        <v>430</v>
      </c>
      <c r="G1473" s="9">
        <v>392</v>
      </c>
      <c r="H1473" s="9">
        <v>28</v>
      </c>
      <c r="I1473" s="9">
        <f t="shared" si="198"/>
        <v>364</v>
      </c>
      <c r="J1473" s="9">
        <v>49</v>
      </c>
      <c r="K1473" s="10">
        <f t="shared" si="199"/>
        <v>0.10208333333333333</v>
      </c>
      <c r="L1473" s="17">
        <v>100</v>
      </c>
      <c r="M1473" s="17">
        <v>30800</v>
      </c>
      <c r="N1473" s="17">
        <f t="shared" si="200"/>
        <v>36400</v>
      </c>
      <c r="O1473" s="17">
        <f t="shared" si="201"/>
        <v>5600</v>
      </c>
      <c r="P1473" s="10">
        <f t="shared" si="202"/>
        <v>0.91162790697674423</v>
      </c>
      <c r="Q1473" s="10">
        <f t="shared" si="203"/>
        <v>7.1428571428571425E-2</v>
      </c>
      <c r="R1473" s="10">
        <f t="shared" si="204"/>
        <v>0.15384615384615385</v>
      </c>
      <c r="S1473" s="18">
        <f t="shared" si="205"/>
        <v>84.615384615384613</v>
      </c>
      <c r="T1473" s="8">
        <f>480-ProductionData[[#This Row],[Downtime Minutes]]</f>
        <v>431</v>
      </c>
      <c r="U1473" s="11">
        <f t="shared" si="206"/>
        <v>0.90951276102088163</v>
      </c>
      <c r="V1473" s="18">
        <f>ProductionData[[#This Row],[Profit]]/ProductionData[[#This Row],[Good Units]]</f>
        <v>15.384615384615385</v>
      </c>
      <c r="W1473" s="11">
        <f>ProductionData[[#This Row],[Good Units]]/ProductionData[[#This Row],[Operating Minutes]]</f>
        <v>0.84454756380510443</v>
      </c>
    </row>
    <row r="1474" spans="1:23">
      <c r="A1474" s="7">
        <v>46367</v>
      </c>
      <c r="B1474" s="8" t="s">
        <v>33</v>
      </c>
      <c r="C1474" s="8" t="s">
        <v>27</v>
      </c>
      <c r="D1474" s="8" t="s">
        <v>25</v>
      </c>
      <c r="E1474" s="8" t="s">
        <v>24</v>
      </c>
      <c r="F1474" s="9">
        <v>390</v>
      </c>
      <c r="G1474" s="9">
        <v>340</v>
      </c>
      <c r="H1474" s="9">
        <v>19</v>
      </c>
      <c r="I1474" s="9">
        <f t="shared" ref="I1474:I1537" si="207">G1474-H1474</f>
        <v>321</v>
      </c>
      <c r="J1474" s="9">
        <v>71</v>
      </c>
      <c r="K1474" s="10">
        <f t="shared" ref="K1474:K1537" si="208">J1474/480</f>
        <v>0.14791666666666667</v>
      </c>
      <c r="L1474" s="17">
        <v>120</v>
      </c>
      <c r="M1474" s="17">
        <v>30800</v>
      </c>
      <c r="N1474" s="17">
        <f t="shared" ref="N1474:N1537" si="209">I1474*L1474</f>
        <v>38520</v>
      </c>
      <c r="O1474" s="17">
        <f t="shared" ref="O1474:O1537" si="210">N1474-M1474</f>
        <v>7720</v>
      </c>
      <c r="P1474" s="10">
        <f t="shared" ref="P1474:P1537" si="211">G1474/F1474</f>
        <v>0.87179487179487181</v>
      </c>
      <c r="Q1474" s="10">
        <f t="shared" ref="Q1474:Q1537" si="212">H1474/G1474</f>
        <v>5.5882352941176473E-2</v>
      </c>
      <c r="R1474" s="10">
        <f t="shared" ref="R1474:R1537" si="213">O1474/N1474</f>
        <v>0.20041536863966772</v>
      </c>
      <c r="S1474" s="18">
        <f t="shared" ref="S1474:S1537" si="214">M1474/I1474</f>
        <v>95.950155763239877</v>
      </c>
      <c r="T1474" s="8">
        <f>480-ProductionData[[#This Row],[Downtime Minutes]]</f>
        <v>409</v>
      </c>
      <c r="U1474" s="11">
        <f t="shared" ref="U1474:U1537" si="215">G1474/T1474</f>
        <v>0.83129584352078245</v>
      </c>
      <c r="V1474" s="18">
        <f>ProductionData[[#This Row],[Profit]]/ProductionData[[#This Row],[Good Units]]</f>
        <v>24.049844236760123</v>
      </c>
      <c r="W1474" s="11">
        <f>ProductionData[[#This Row],[Good Units]]/ProductionData[[#This Row],[Operating Minutes]]</f>
        <v>0.78484107579462103</v>
      </c>
    </row>
    <row r="1475" spans="1:23">
      <c r="A1475" s="7">
        <v>46367</v>
      </c>
      <c r="B1475" s="8" t="s">
        <v>33</v>
      </c>
      <c r="C1475" s="8" t="s">
        <v>28</v>
      </c>
      <c r="D1475" s="8" t="s">
        <v>21</v>
      </c>
      <c r="E1475" s="8" t="s">
        <v>22</v>
      </c>
      <c r="F1475" s="9">
        <v>460</v>
      </c>
      <c r="G1475" s="9">
        <v>455</v>
      </c>
      <c r="H1475" s="9">
        <v>18</v>
      </c>
      <c r="I1475" s="9">
        <f t="shared" si="207"/>
        <v>437</v>
      </c>
      <c r="J1475" s="9">
        <v>22</v>
      </c>
      <c r="K1475" s="10">
        <f t="shared" si="208"/>
        <v>4.583333333333333E-2</v>
      </c>
      <c r="L1475" s="17">
        <v>100</v>
      </c>
      <c r="M1475" s="17">
        <v>30800</v>
      </c>
      <c r="N1475" s="17">
        <f t="shared" si="209"/>
        <v>43700</v>
      </c>
      <c r="O1475" s="17">
        <f t="shared" si="210"/>
        <v>12900</v>
      </c>
      <c r="P1475" s="10">
        <f t="shared" si="211"/>
        <v>0.98913043478260865</v>
      </c>
      <c r="Q1475" s="10">
        <f t="shared" si="212"/>
        <v>3.9560439560439559E-2</v>
      </c>
      <c r="R1475" s="10">
        <f t="shared" si="213"/>
        <v>0.29519450800915331</v>
      </c>
      <c r="S1475" s="18">
        <f t="shared" si="214"/>
        <v>70.480549199084663</v>
      </c>
      <c r="T1475" s="8">
        <f>480-ProductionData[[#This Row],[Downtime Minutes]]</f>
        <v>458</v>
      </c>
      <c r="U1475" s="11">
        <f t="shared" si="215"/>
        <v>0.99344978165938869</v>
      </c>
      <c r="V1475" s="18">
        <f>ProductionData[[#This Row],[Profit]]/ProductionData[[#This Row],[Good Units]]</f>
        <v>29.519450800915333</v>
      </c>
      <c r="W1475" s="11">
        <f>ProductionData[[#This Row],[Good Units]]/ProductionData[[#This Row],[Operating Minutes]]</f>
        <v>0.95414847161572047</v>
      </c>
    </row>
    <row r="1476" spans="1:23">
      <c r="A1476" s="7">
        <v>46367</v>
      </c>
      <c r="B1476" s="8" t="s">
        <v>33</v>
      </c>
      <c r="C1476" s="8" t="s">
        <v>28</v>
      </c>
      <c r="D1476" s="8" t="s">
        <v>23</v>
      </c>
      <c r="E1476" s="8" t="s">
        <v>24</v>
      </c>
      <c r="F1476" s="9">
        <v>400</v>
      </c>
      <c r="G1476" s="9">
        <v>397</v>
      </c>
      <c r="H1476" s="9">
        <v>10</v>
      </c>
      <c r="I1476" s="9">
        <f t="shared" si="207"/>
        <v>387</v>
      </c>
      <c r="J1476" s="9">
        <v>25</v>
      </c>
      <c r="K1476" s="10">
        <f t="shared" si="208"/>
        <v>5.2083333333333336E-2</v>
      </c>
      <c r="L1476" s="17">
        <v>120</v>
      </c>
      <c r="M1476" s="17">
        <v>30800</v>
      </c>
      <c r="N1476" s="17">
        <f t="shared" si="209"/>
        <v>46440</v>
      </c>
      <c r="O1476" s="17">
        <f t="shared" si="210"/>
        <v>15640</v>
      </c>
      <c r="P1476" s="10">
        <f t="shared" si="211"/>
        <v>0.99250000000000005</v>
      </c>
      <c r="Q1476" s="10">
        <f t="shared" si="212"/>
        <v>2.5188916876574308E-2</v>
      </c>
      <c r="R1476" s="10">
        <f t="shared" si="213"/>
        <v>0.33677863910422051</v>
      </c>
      <c r="S1476" s="18">
        <f t="shared" si="214"/>
        <v>79.586563307493535</v>
      </c>
      <c r="T1476" s="8">
        <f>480-ProductionData[[#This Row],[Downtime Minutes]]</f>
        <v>455</v>
      </c>
      <c r="U1476" s="11">
        <f t="shared" si="215"/>
        <v>0.87252747252747254</v>
      </c>
      <c r="V1476" s="18">
        <f>ProductionData[[#This Row],[Profit]]/ProductionData[[#This Row],[Good Units]]</f>
        <v>40.413436692506458</v>
      </c>
      <c r="W1476" s="11">
        <f>ProductionData[[#This Row],[Good Units]]/ProductionData[[#This Row],[Operating Minutes]]</f>
        <v>0.85054945054945053</v>
      </c>
    </row>
    <row r="1477" spans="1:23">
      <c r="A1477" s="7">
        <v>46367</v>
      </c>
      <c r="B1477" s="8" t="s">
        <v>33</v>
      </c>
      <c r="C1477" s="8" t="s">
        <v>28</v>
      </c>
      <c r="D1477" s="8" t="s">
        <v>25</v>
      </c>
      <c r="E1477" s="8" t="s">
        <v>26</v>
      </c>
      <c r="F1477" s="9">
        <v>480</v>
      </c>
      <c r="G1477" s="9">
        <v>459</v>
      </c>
      <c r="H1477" s="9">
        <v>16</v>
      </c>
      <c r="I1477" s="9">
        <f t="shared" si="207"/>
        <v>443</v>
      </c>
      <c r="J1477" s="9">
        <v>24</v>
      </c>
      <c r="K1477" s="10">
        <f t="shared" si="208"/>
        <v>0.05</v>
      </c>
      <c r="L1477" s="17">
        <v>90</v>
      </c>
      <c r="M1477" s="17">
        <v>30800</v>
      </c>
      <c r="N1477" s="17">
        <f t="shared" si="209"/>
        <v>39870</v>
      </c>
      <c r="O1477" s="17">
        <f t="shared" si="210"/>
        <v>9070</v>
      </c>
      <c r="P1477" s="10">
        <f t="shared" si="211"/>
        <v>0.95625000000000004</v>
      </c>
      <c r="Q1477" s="10">
        <f t="shared" si="212"/>
        <v>3.4858387799564274E-2</v>
      </c>
      <c r="R1477" s="10">
        <f t="shared" si="213"/>
        <v>0.2274893403561575</v>
      </c>
      <c r="S1477" s="18">
        <f t="shared" si="214"/>
        <v>69.525959367945831</v>
      </c>
      <c r="T1477" s="8">
        <f>480-ProductionData[[#This Row],[Downtime Minutes]]</f>
        <v>456</v>
      </c>
      <c r="U1477" s="11">
        <f t="shared" si="215"/>
        <v>1.006578947368421</v>
      </c>
      <c r="V1477" s="18">
        <f>ProductionData[[#This Row],[Profit]]/ProductionData[[#This Row],[Good Units]]</f>
        <v>20.474040632054177</v>
      </c>
      <c r="W1477" s="11">
        <f>ProductionData[[#This Row],[Good Units]]/ProductionData[[#This Row],[Operating Minutes]]</f>
        <v>0.97149122807017541</v>
      </c>
    </row>
    <row r="1478" spans="1:23">
      <c r="A1478" s="7">
        <v>46368</v>
      </c>
      <c r="B1478" s="8" t="s">
        <v>33</v>
      </c>
      <c r="C1478" s="8" t="s">
        <v>20</v>
      </c>
      <c r="D1478" s="8" t="s">
        <v>21</v>
      </c>
      <c r="E1478" s="8" t="s">
        <v>26</v>
      </c>
      <c r="F1478" s="9">
        <v>520</v>
      </c>
      <c r="G1478" s="9">
        <v>502</v>
      </c>
      <c r="H1478" s="9">
        <v>19</v>
      </c>
      <c r="I1478" s="9">
        <f t="shared" si="207"/>
        <v>483</v>
      </c>
      <c r="J1478" s="9">
        <v>37</v>
      </c>
      <c r="K1478" s="10">
        <f t="shared" si="208"/>
        <v>7.7083333333333337E-2</v>
      </c>
      <c r="L1478" s="17">
        <v>90</v>
      </c>
      <c r="M1478" s="17">
        <v>30800</v>
      </c>
      <c r="N1478" s="17">
        <f t="shared" si="209"/>
        <v>43470</v>
      </c>
      <c r="O1478" s="17">
        <f t="shared" si="210"/>
        <v>12670</v>
      </c>
      <c r="P1478" s="10">
        <f t="shared" si="211"/>
        <v>0.9653846153846154</v>
      </c>
      <c r="Q1478" s="10">
        <f t="shared" si="212"/>
        <v>3.7848605577689244E-2</v>
      </c>
      <c r="R1478" s="10">
        <f t="shared" si="213"/>
        <v>0.29146537842190018</v>
      </c>
      <c r="S1478" s="18">
        <f t="shared" si="214"/>
        <v>63.768115942028984</v>
      </c>
      <c r="T1478" s="8">
        <f>480-ProductionData[[#This Row],[Downtime Minutes]]</f>
        <v>443</v>
      </c>
      <c r="U1478" s="11">
        <f t="shared" si="215"/>
        <v>1.1331828442437923</v>
      </c>
      <c r="V1478" s="18">
        <f>ProductionData[[#This Row],[Profit]]/ProductionData[[#This Row],[Good Units]]</f>
        <v>26.231884057971016</v>
      </c>
      <c r="W1478" s="11">
        <f>ProductionData[[#This Row],[Good Units]]/ProductionData[[#This Row],[Operating Minutes]]</f>
        <v>1.090293453724605</v>
      </c>
    </row>
    <row r="1479" spans="1:23">
      <c r="A1479" s="7">
        <v>46368</v>
      </c>
      <c r="B1479" s="8" t="s">
        <v>33</v>
      </c>
      <c r="C1479" s="8" t="s">
        <v>20</v>
      </c>
      <c r="D1479" s="8" t="s">
        <v>23</v>
      </c>
      <c r="E1479" s="8" t="s">
        <v>22</v>
      </c>
      <c r="F1479" s="9">
        <v>450</v>
      </c>
      <c r="G1479" s="9">
        <v>414</v>
      </c>
      <c r="H1479" s="9">
        <v>23</v>
      </c>
      <c r="I1479" s="9">
        <f t="shared" si="207"/>
        <v>391</v>
      </c>
      <c r="J1479" s="9">
        <v>54</v>
      </c>
      <c r="K1479" s="10">
        <f t="shared" si="208"/>
        <v>0.1125</v>
      </c>
      <c r="L1479" s="17">
        <v>100</v>
      </c>
      <c r="M1479" s="17">
        <v>30800</v>
      </c>
      <c r="N1479" s="17">
        <f t="shared" si="209"/>
        <v>39100</v>
      </c>
      <c r="O1479" s="17">
        <f t="shared" si="210"/>
        <v>8300</v>
      </c>
      <c r="P1479" s="10">
        <f t="shared" si="211"/>
        <v>0.92</v>
      </c>
      <c r="Q1479" s="10">
        <f t="shared" si="212"/>
        <v>5.5555555555555552E-2</v>
      </c>
      <c r="R1479" s="10">
        <f t="shared" si="213"/>
        <v>0.21227621483375958</v>
      </c>
      <c r="S1479" s="18">
        <f t="shared" si="214"/>
        <v>78.772378516624045</v>
      </c>
      <c r="T1479" s="8">
        <f>480-ProductionData[[#This Row],[Downtime Minutes]]</f>
        <v>426</v>
      </c>
      <c r="U1479" s="11">
        <f t="shared" si="215"/>
        <v>0.971830985915493</v>
      </c>
      <c r="V1479" s="18">
        <f>ProductionData[[#This Row],[Profit]]/ProductionData[[#This Row],[Good Units]]</f>
        <v>21.227621483375959</v>
      </c>
      <c r="W1479" s="11">
        <f>ProductionData[[#This Row],[Good Units]]/ProductionData[[#This Row],[Operating Minutes]]</f>
        <v>0.9178403755868545</v>
      </c>
    </row>
    <row r="1480" spans="1:23">
      <c r="A1480" s="7">
        <v>46368</v>
      </c>
      <c r="B1480" s="8" t="s">
        <v>33</v>
      </c>
      <c r="C1480" s="8" t="s">
        <v>20</v>
      </c>
      <c r="D1480" s="8" t="s">
        <v>25</v>
      </c>
      <c r="E1480" s="8" t="s">
        <v>24</v>
      </c>
      <c r="F1480" s="9">
        <v>400</v>
      </c>
      <c r="G1480" s="9">
        <v>365</v>
      </c>
      <c r="H1480" s="9">
        <v>17</v>
      </c>
      <c r="I1480" s="9">
        <f t="shared" si="207"/>
        <v>348</v>
      </c>
      <c r="J1480" s="9">
        <v>53</v>
      </c>
      <c r="K1480" s="10">
        <f t="shared" si="208"/>
        <v>0.11041666666666666</v>
      </c>
      <c r="L1480" s="17">
        <v>120</v>
      </c>
      <c r="M1480" s="17">
        <v>30800</v>
      </c>
      <c r="N1480" s="17">
        <f t="shared" si="209"/>
        <v>41760</v>
      </c>
      <c r="O1480" s="17">
        <f t="shared" si="210"/>
        <v>10960</v>
      </c>
      <c r="P1480" s="10">
        <f t="shared" si="211"/>
        <v>0.91249999999999998</v>
      </c>
      <c r="Q1480" s="10">
        <f t="shared" si="212"/>
        <v>4.6575342465753428E-2</v>
      </c>
      <c r="R1480" s="10">
        <f t="shared" si="213"/>
        <v>0.26245210727969348</v>
      </c>
      <c r="S1480" s="18">
        <f t="shared" si="214"/>
        <v>88.505747126436788</v>
      </c>
      <c r="T1480" s="8">
        <f>480-ProductionData[[#This Row],[Downtime Minutes]]</f>
        <v>427</v>
      </c>
      <c r="U1480" s="11">
        <f t="shared" si="215"/>
        <v>0.85480093676814983</v>
      </c>
      <c r="V1480" s="18">
        <f>ProductionData[[#This Row],[Profit]]/ProductionData[[#This Row],[Good Units]]</f>
        <v>31.494252873563219</v>
      </c>
      <c r="W1480" s="11">
        <f>ProductionData[[#This Row],[Good Units]]/ProductionData[[#This Row],[Operating Minutes]]</f>
        <v>0.81498829039812648</v>
      </c>
    </row>
    <row r="1481" spans="1:23">
      <c r="A1481" s="7">
        <v>46368</v>
      </c>
      <c r="B1481" s="8" t="s">
        <v>33</v>
      </c>
      <c r="C1481" s="8" t="s">
        <v>27</v>
      </c>
      <c r="D1481" s="8" t="s">
        <v>21</v>
      </c>
      <c r="E1481" s="8" t="s">
        <v>22</v>
      </c>
      <c r="F1481" s="9">
        <v>460</v>
      </c>
      <c r="G1481" s="9">
        <v>427</v>
      </c>
      <c r="H1481" s="9">
        <v>29</v>
      </c>
      <c r="I1481" s="9">
        <f t="shared" si="207"/>
        <v>398</v>
      </c>
      <c r="J1481" s="9">
        <v>63</v>
      </c>
      <c r="K1481" s="10">
        <f t="shared" si="208"/>
        <v>0.13125000000000001</v>
      </c>
      <c r="L1481" s="17">
        <v>100</v>
      </c>
      <c r="M1481" s="17">
        <v>30800</v>
      </c>
      <c r="N1481" s="17">
        <f t="shared" si="209"/>
        <v>39800</v>
      </c>
      <c r="O1481" s="17">
        <f t="shared" si="210"/>
        <v>9000</v>
      </c>
      <c r="P1481" s="10">
        <f t="shared" si="211"/>
        <v>0.92826086956521736</v>
      </c>
      <c r="Q1481" s="10">
        <f t="shared" si="212"/>
        <v>6.7915690866510545E-2</v>
      </c>
      <c r="R1481" s="10">
        <f t="shared" si="213"/>
        <v>0.22613065326633167</v>
      </c>
      <c r="S1481" s="18">
        <f t="shared" si="214"/>
        <v>77.386934673366838</v>
      </c>
      <c r="T1481" s="8">
        <f>480-ProductionData[[#This Row],[Downtime Minutes]]</f>
        <v>417</v>
      </c>
      <c r="U1481" s="11">
        <f t="shared" si="215"/>
        <v>1.0239808153477219</v>
      </c>
      <c r="V1481" s="18">
        <f>ProductionData[[#This Row],[Profit]]/ProductionData[[#This Row],[Good Units]]</f>
        <v>22.613065326633166</v>
      </c>
      <c r="W1481" s="11">
        <f>ProductionData[[#This Row],[Good Units]]/ProductionData[[#This Row],[Operating Minutes]]</f>
        <v>0.95443645083932849</v>
      </c>
    </row>
    <row r="1482" spans="1:23">
      <c r="A1482" s="7">
        <v>46368</v>
      </c>
      <c r="B1482" s="8" t="s">
        <v>33</v>
      </c>
      <c r="C1482" s="8" t="s">
        <v>27</v>
      </c>
      <c r="D1482" s="8" t="s">
        <v>23</v>
      </c>
      <c r="E1482" s="8" t="s">
        <v>24</v>
      </c>
      <c r="F1482" s="9">
        <v>400</v>
      </c>
      <c r="G1482" s="9">
        <v>356</v>
      </c>
      <c r="H1482" s="9">
        <v>19</v>
      </c>
      <c r="I1482" s="9">
        <f t="shared" si="207"/>
        <v>337</v>
      </c>
      <c r="J1482" s="9">
        <v>60</v>
      </c>
      <c r="K1482" s="10">
        <f t="shared" si="208"/>
        <v>0.125</v>
      </c>
      <c r="L1482" s="17">
        <v>120</v>
      </c>
      <c r="M1482" s="17">
        <v>30800</v>
      </c>
      <c r="N1482" s="17">
        <f t="shared" si="209"/>
        <v>40440</v>
      </c>
      <c r="O1482" s="17">
        <f t="shared" si="210"/>
        <v>9640</v>
      </c>
      <c r="P1482" s="10">
        <f t="shared" si="211"/>
        <v>0.89</v>
      </c>
      <c r="Q1482" s="10">
        <f t="shared" si="212"/>
        <v>5.3370786516853931E-2</v>
      </c>
      <c r="R1482" s="10">
        <f t="shared" si="213"/>
        <v>0.23837784371909002</v>
      </c>
      <c r="S1482" s="18">
        <f t="shared" si="214"/>
        <v>91.394658753709194</v>
      </c>
      <c r="T1482" s="8">
        <f>480-ProductionData[[#This Row],[Downtime Minutes]]</f>
        <v>420</v>
      </c>
      <c r="U1482" s="11">
        <f t="shared" si="215"/>
        <v>0.84761904761904761</v>
      </c>
      <c r="V1482" s="18">
        <f>ProductionData[[#This Row],[Profit]]/ProductionData[[#This Row],[Good Units]]</f>
        <v>28.605341246290802</v>
      </c>
      <c r="W1482" s="11">
        <f>ProductionData[[#This Row],[Good Units]]/ProductionData[[#This Row],[Operating Minutes]]</f>
        <v>0.80238095238095242</v>
      </c>
    </row>
    <row r="1483" spans="1:23">
      <c r="A1483" s="7">
        <v>46368</v>
      </c>
      <c r="B1483" s="8" t="s">
        <v>33</v>
      </c>
      <c r="C1483" s="8" t="s">
        <v>27</v>
      </c>
      <c r="D1483" s="8" t="s">
        <v>25</v>
      </c>
      <c r="E1483" s="8" t="s">
        <v>26</v>
      </c>
      <c r="F1483" s="9">
        <v>500</v>
      </c>
      <c r="G1483" s="9">
        <v>420</v>
      </c>
      <c r="H1483" s="9">
        <v>23</v>
      </c>
      <c r="I1483" s="9">
        <f t="shared" si="207"/>
        <v>397</v>
      </c>
      <c r="J1483" s="9">
        <v>64</v>
      </c>
      <c r="K1483" s="10">
        <f t="shared" si="208"/>
        <v>0.13333333333333333</v>
      </c>
      <c r="L1483" s="17">
        <v>90</v>
      </c>
      <c r="M1483" s="17">
        <v>30800</v>
      </c>
      <c r="N1483" s="17">
        <f t="shared" si="209"/>
        <v>35730</v>
      </c>
      <c r="O1483" s="17">
        <f t="shared" si="210"/>
        <v>4930</v>
      </c>
      <c r="P1483" s="10">
        <f t="shared" si="211"/>
        <v>0.84</v>
      </c>
      <c r="Q1483" s="10">
        <f t="shared" si="212"/>
        <v>5.4761904761904762E-2</v>
      </c>
      <c r="R1483" s="10">
        <f t="shared" si="213"/>
        <v>0.13797928911279037</v>
      </c>
      <c r="S1483" s="18">
        <f t="shared" si="214"/>
        <v>77.581863979848862</v>
      </c>
      <c r="T1483" s="8">
        <f>480-ProductionData[[#This Row],[Downtime Minutes]]</f>
        <v>416</v>
      </c>
      <c r="U1483" s="11">
        <f t="shared" si="215"/>
        <v>1.0096153846153846</v>
      </c>
      <c r="V1483" s="18">
        <f>ProductionData[[#This Row],[Profit]]/ProductionData[[#This Row],[Good Units]]</f>
        <v>12.418136020151133</v>
      </c>
      <c r="W1483" s="11">
        <f>ProductionData[[#This Row],[Good Units]]/ProductionData[[#This Row],[Operating Minutes]]</f>
        <v>0.95432692307692313</v>
      </c>
    </row>
    <row r="1484" spans="1:23">
      <c r="A1484" s="7">
        <v>46368</v>
      </c>
      <c r="B1484" s="8" t="s">
        <v>33</v>
      </c>
      <c r="C1484" s="8" t="s">
        <v>28</v>
      </c>
      <c r="D1484" s="8" t="s">
        <v>21</v>
      </c>
      <c r="E1484" s="8" t="s">
        <v>24</v>
      </c>
      <c r="F1484" s="9">
        <v>400</v>
      </c>
      <c r="G1484" s="9">
        <v>398</v>
      </c>
      <c r="H1484" s="9">
        <v>6</v>
      </c>
      <c r="I1484" s="9">
        <f t="shared" si="207"/>
        <v>392</v>
      </c>
      <c r="J1484" s="9">
        <v>22</v>
      </c>
      <c r="K1484" s="10">
        <f t="shared" si="208"/>
        <v>4.583333333333333E-2</v>
      </c>
      <c r="L1484" s="17">
        <v>120</v>
      </c>
      <c r="M1484" s="17">
        <v>30800</v>
      </c>
      <c r="N1484" s="17">
        <f t="shared" si="209"/>
        <v>47040</v>
      </c>
      <c r="O1484" s="17">
        <f t="shared" si="210"/>
        <v>16240</v>
      </c>
      <c r="P1484" s="10">
        <f t="shared" si="211"/>
        <v>0.995</v>
      </c>
      <c r="Q1484" s="10">
        <f t="shared" si="212"/>
        <v>1.507537688442211E-2</v>
      </c>
      <c r="R1484" s="10">
        <f t="shared" si="213"/>
        <v>0.34523809523809523</v>
      </c>
      <c r="S1484" s="18">
        <f t="shared" si="214"/>
        <v>78.571428571428569</v>
      </c>
      <c r="T1484" s="8">
        <f>480-ProductionData[[#This Row],[Downtime Minutes]]</f>
        <v>458</v>
      </c>
      <c r="U1484" s="11">
        <f t="shared" si="215"/>
        <v>0.86899563318777295</v>
      </c>
      <c r="V1484" s="18">
        <f>ProductionData[[#This Row],[Profit]]/ProductionData[[#This Row],[Good Units]]</f>
        <v>41.428571428571431</v>
      </c>
      <c r="W1484" s="11">
        <f>ProductionData[[#This Row],[Good Units]]/ProductionData[[#This Row],[Operating Minutes]]</f>
        <v>0.85589519650655022</v>
      </c>
    </row>
    <row r="1485" spans="1:23">
      <c r="A1485" s="7">
        <v>46368</v>
      </c>
      <c r="B1485" s="8" t="s">
        <v>33</v>
      </c>
      <c r="C1485" s="8" t="s">
        <v>28</v>
      </c>
      <c r="D1485" s="8" t="s">
        <v>23</v>
      </c>
      <c r="E1485" s="8" t="s">
        <v>26</v>
      </c>
      <c r="F1485" s="9">
        <v>510</v>
      </c>
      <c r="G1485" s="9">
        <v>488</v>
      </c>
      <c r="H1485" s="9">
        <v>12</v>
      </c>
      <c r="I1485" s="9">
        <f t="shared" si="207"/>
        <v>476</v>
      </c>
      <c r="J1485" s="9">
        <v>17</v>
      </c>
      <c r="K1485" s="10">
        <f t="shared" si="208"/>
        <v>3.5416666666666666E-2</v>
      </c>
      <c r="L1485" s="17">
        <v>90</v>
      </c>
      <c r="M1485" s="17">
        <v>30800</v>
      </c>
      <c r="N1485" s="17">
        <f t="shared" si="209"/>
        <v>42840</v>
      </c>
      <c r="O1485" s="17">
        <f t="shared" si="210"/>
        <v>12040</v>
      </c>
      <c r="P1485" s="10">
        <f t="shared" si="211"/>
        <v>0.95686274509803926</v>
      </c>
      <c r="Q1485" s="10">
        <f t="shared" si="212"/>
        <v>2.4590163934426229E-2</v>
      </c>
      <c r="R1485" s="10">
        <f t="shared" si="213"/>
        <v>0.28104575163398693</v>
      </c>
      <c r="S1485" s="18">
        <f t="shared" si="214"/>
        <v>64.705882352941174</v>
      </c>
      <c r="T1485" s="8">
        <f>480-ProductionData[[#This Row],[Downtime Minutes]]</f>
        <v>463</v>
      </c>
      <c r="U1485" s="11">
        <f t="shared" si="215"/>
        <v>1.0539956803455723</v>
      </c>
      <c r="V1485" s="18">
        <f>ProductionData[[#This Row],[Profit]]/ProductionData[[#This Row],[Good Units]]</f>
        <v>25.294117647058822</v>
      </c>
      <c r="W1485" s="11">
        <f>ProductionData[[#This Row],[Good Units]]/ProductionData[[#This Row],[Operating Minutes]]</f>
        <v>1.0280777537796977</v>
      </c>
    </row>
    <row r="1486" spans="1:23">
      <c r="A1486" s="7">
        <v>46368</v>
      </c>
      <c r="B1486" s="8" t="s">
        <v>33</v>
      </c>
      <c r="C1486" s="8" t="s">
        <v>28</v>
      </c>
      <c r="D1486" s="8" t="s">
        <v>25</v>
      </c>
      <c r="E1486" s="8" t="s">
        <v>22</v>
      </c>
      <c r="F1486" s="9">
        <v>450</v>
      </c>
      <c r="G1486" s="9">
        <v>435</v>
      </c>
      <c r="H1486" s="9">
        <v>24</v>
      </c>
      <c r="I1486" s="9">
        <f t="shared" si="207"/>
        <v>411</v>
      </c>
      <c r="J1486" s="9">
        <v>52</v>
      </c>
      <c r="K1486" s="10">
        <f t="shared" si="208"/>
        <v>0.10833333333333334</v>
      </c>
      <c r="L1486" s="17">
        <v>100</v>
      </c>
      <c r="M1486" s="17">
        <v>30800</v>
      </c>
      <c r="N1486" s="17">
        <f t="shared" si="209"/>
        <v>41100</v>
      </c>
      <c r="O1486" s="17">
        <f t="shared" si="210"/>
        <v>10300</v>
      </c>
      <c r="P1486" s="10">
        <f t="shared" si="211"/>
        <v>0.96666666666666667</v>
      </c>
      <c r="Q1486" s="10">
        <f t="shared" si="212"/>
        <v>5.5172413793103448E-2</v>
      </c>
      <c r="R1486" s="10">
        <f t="shared" si="213"/>
        <v>0.25060827250608275</v>
      </c>
      <c r="S1486" s="18">
        <f t="shared" si="214"/>
        <v>74.93917274939173</v>
      </c>
      <c r="T1486" s="8">
        <f>480-ProductionData[[#This Row],[Downtime Minutes]]</f>
        <v>428</v>
      </c>
      <c r="U1486" s="11">
        <f t="shared" si="215"/>
        <v>1.016355140186916</v>
      </c>
      <c r="V1486" s="18">
        <f>ProductionData[[#This Row],[Profit]]/ProductionData[[#This Row],[Good Units]]</f>
        <v>25.060827250608273</v>
      </c>
      <c r="W1486" s="11">
        <f>ProductionData[[#This Row],[Good Units]]/ProductionData[[#This Row],[Operating Minutes]]</f>
        <v>0.96028037383177567</v>
      </c>
    </row>
    <row r="1487" spans="1:23">
      <c r="A1487" s="7">
        <v>46369</v>
      </c>
      <c r="B1487" s="8" t="s">
        <v>33</v>
      </c>
      <c r="C1487" s="8" t="s">
        <v>20</v>
      </c>
      <c r="D1487" s="8" t="s">
        <v>21</v>
      </c>
      <c r="E1487" s="8" t="s">
        <v>22</v>
      </c>
      <c r="F1487" s="9">
        <v>460</v>
      </c>
      <c r="G1487" s="9">
        <v>446</v>
      </c>
      <c r="H1487" s="9">
        <v>22</v>
      </c>
      <c r="I1487" s="9">
        <f t="shared" si="207"/>
        <v>424</v>
      </c>
      <c r="J1487" s="9">
        <v>33</v>
      </c>
      <c r="K1487" s="10">
        <f t="shared" si="208"/>
        <v>6.8750000000000006E-2</v>
      </c>
      <c r="L1487" s="17">
        <v>100</v>
      </c>
      <c r="M1487" s="17">
        <v>30800</v>
      </c>
      <c r="N1487" s="17">
        <f t="shared" si="209"/>
        <v>42400</v>
      </c>
      <c r="O1487" s="17">
        <f t="shared" si="210"/>
        <v>11600</v>
      </c>
      <c r="P1487" s="10">
        <f t="shared" si="211"/>
        <v>0.9695652173913043</v>
      </c>
      <c r="Q1487" s="10">
        <f t="shared" si="212"/>
        <v>4.9327354260089683E-2</v>
      </c>
      <c r="R1487" s="10">
        <f t="shared" si="213"/>
        <v>0.27358490566037735</v>
      </c>
      <c r="S1487" s="18">
        <f t="shared" si="214"/>
        <v>72.64150943396227</v>
      </c>
      <c r="T1487" s="8">
        <f>480-ProductionData[[#This Row],[Downtime Minutes]]</f>
        <v>447</v>
      </c>
      <c r="U1487" s="11">
        <f t="shared" si="215"/>
        <v>0.99776286353467558</v>
      </c>
      <c r="V1487" s="18">
        <f>ProductionData[[#This Row],[Profit]]/ProductionData[[#This Row],[Good Units]]</f>
        <v>27.358490566037737</v>
      </c>
      <c r="W1487" s="11">
        <f>ProductionData[[#This Row],[Good Units]]/ProductionData[[#This Row],[Operating Minutes]]</f>
        <v>0.94854586129753915</v>
      </c>
    </row>
    <row r="1488" spans="1:23">
      <c r="A1488" s="7">
        <v>46369</v>
      </c>
      <c r="B1488" s="8" t="s">
        <v>33</v>
      </c>
      <c r="C1488" s="8" t="s">
        <v>20</v>
      </c>
      <c r="D1488" s="8" t="s">
        <v>23</v>
      </c>
      <c r="E1488" s="8" t="s">
        <v>24</v>
      </c>
      <c r="F1488" s="9">
        <v>400</v>
      </c>
      <c r="G1488" s="9">
        <v>385</v>
      </c>
      <c r="H1488" s="9">
        <v>11</v>
      </c>
      <c r="I1488" s="9">
        <f t="shared" si="207"/>
        <v>374</v>
      </c>
      <c r="J1488" s="9">
        <v>46</v>
      </c>
      <c r="K1488" s="10">
        <f t="shared" si="208"/>
        <v>9.583333333333334E-2</v>
      </c>
      <c r="L1488" s="17">
        <v>120</v>
      </c>
      <c r="M1488" s="17">
        <v>30800</v>
      </c>
      <c r="N1488" s="17">
        <f t="shared" si="209"/>
        <v>44880</v>
      </c>
      <c r="O1488" s="17">
        <f t="shared" si="210"/>
        <v>14080</v>
      </c>
      <c r="P1488" s="10">
        <f t="shared" si="211"/>
        <v>0.96250000000000002</v>
      </c>
      <c r="Q1488" s="10">
        <f t="shared" si="212"/>
        <v>2.8571428571428571E-2</v>
      </c>
      <c r="R1488" s="10">
        <f t="shared" si="213"/>
        <v>0.31372549019607843</v>
      </c>
      <c r="S1488" s="18">
        <f t="shared" si="214"/>
        <v>82.352941176470594</v>
      </c>
      <c r="T1488" s="8">
        <f>480-ProductionData[[#This Row],[Downtime Minutes]]</f>
        <v>434</v>
      </c>
      <c r="U1488" s="11">
        <f t="shared" si="215"/>
        <v>0.88709677419354838</v>
      </c>
      <c r="V1488" s="18">
        <f>ProductionData[[#This Row],[Profit]]/ProductionData[[#This Row],[Good Units]]</f>
        <v>37.647058823529413</v>
      </c>
      <c r="W1488" s="11">
        <f>ProductionData[[#This Row],[Good Units]]/ProductionData[[#This Row],[Operating Minutes]]</f>
        <v>0.86175115207373276</v>
      </c>
    </row>
    <row r="1489" spans="1:23">
      <c r="A1489" s="7">
        <v>46369</v>
      </c>
      <c r="B1489" s="8" t="s">
        <v>33</v>
      </c>
      <c r="C1489" s="8" t="s">
        <v>20</v>
      </c>
      <c r="D1489" s="8" t="s">
        <v>25</v>
      </c>
      <c r="E1489" s="8" t="s">
        <v>26</v>
      </c>
      <c r="F1489" s="9">
        <v>510</v>
      </c>
      <c r="G1489" s="9">
        <v>478</v>
      </c>
      <c r="H1489" s="9">
        <v>19</v>
      </c>
      <c r="I1489" s="9">
        <f t="shared" si="207"/>
        <v>459</v>
      </c>
      <c r="J1489" s="9">
        <v>39</v>
      </c>
      <c r="K1489" s="10">
        <f t="shared" si="208"/>
        <v>8.1250000000000003E-2</v>
      </c>
      <c r="L1489" s="17">
        <v>90</v>
      </c>
      <c r="M1489" s="17">
        <v>30800</v>
      </c>
      <c r="N1489" s="17">
        <f t="shared" si="209"/>
        <v>41310</v>
      </c>
      <c r="O1489" s="17">
        <f t="shared" si="210"/>
        <v>10510</v>
      </c>
      <c r="P1489" s="10">
        <f t="shared" si="211"/>
        <v>0.93725490196078431</v>
      </c>
      <c r="Q1489" s="10">
        <f t="shared" si="212"/>
        <v>3.9748953974895397E-2</v>
      </c>
      <c r="R1489" s="10">
        <f t="shared" si="213"/>
        <v>0.25441781650931977</v>
      </c>
      <c r="S1489" s="18">
        <f t="shared" si="214"/>
        <v>67.102396514161214</v>
      </c>
      <c r="T1489" s="8">
        <f>480-ProductionData[[#This Row],[Downtime Minutes]]</f>
        <v>441</v>
      </c>
      <c r="U1489" s="11">
        <f t="shared" si="215"/>
        <v>1.0839002267573696</v>
      </c>
      <c r="V1489" s="18">
        <f>ProductionData[[#This Row],[Profit]]/ProductionData[[#This Row],[Good Units]]</f>
        <v>22.897603485838779</v>
      </c>
      <c r="W1489" s="11">
        <f>ProductionData[[#This Row],[Good Units]]/ProductionData[[#This Row],[Operating Minutes]]</f>
        <v>1.0408163265306123</v>
      </c>
    </row>
    <row r="1490" spans="1:23">
      <c r="A1490" s="7">
        <v>46369</v>
      </c>
      <c r="B1490" s="8" t="s">
        <v>33</v>
      </c>
      <c r="C1490" s="8" t="s">
        <v>27</v>
      </c>
      <c r="D1490" s="8" t="s">
        <v>21</v>
      </c>
      <c r="E1490" s="8" t="s">
        <v>24</v>
      </c>
      <c r="F1490" s="9">
        <v>390</v>
      </c>
      <c r="G1490" s="9">
        <v>363</v>
      </c>
      <c r="H1490" s="9">
        <v>19</v>
      </c>
      <c r="I1490" s="9">
        <f t="shared" si="207"/>
        <v>344</v>
      </c>
      <c r="J1490" s="9">
        <v>54</v>
      </c>
      <c r="K1490" s="10">
        <f t="shared" si="208"/>
        <v>0.1125</v>
      </c>
      <c r="L1490" s="17">
        <v>120</v>
      </c>
      <c r="M1490" s="17">
        <v>30800</v>
      </c>
      <c r="N1490" s="17">
        <f t="shared" si="209"/>
        <v>41280</v>
      </c>
      <c r="O1490" s="17">
        <f t="shared" si="210"/>
        <v>10480</v>
      </c>
      <c r="P1490" s="10">
        <f t="shared" si="211"/>
        <v>0.93076923076923079</v>
      </c>
      <c r="Q1490" s="10">
        <f t="shared" si="212"/>
        <v>5.2341597796143252E-2</v>
      </c>
      <c r="R1490" s="10">
        <f t="shared" si="213"/>
        <v>0.25387596899224807</v>
      </c>
      <c r="S1490" s="18">
        <f t="shared" si="214"/>
        <v>89.534883720930239</v>
      </c>
      <c r="T1490" s="8">
        <f>480-ProductionData[[#This Row],[Downtime Minutes]]</f>
        <v>426</v>
      </c>
      <c r="U1490" s="11">
        <f t="shared" si="215"/>
        <v>0.852112676056338</v>
      </c>
      <c r="V1490" s="18">
        <f>ProductionData[[#This Row],[Profit]]/ProductionData[[#This Row],[Good Units]]</f>
        <v>30.465116279069768</v>
      </c>
      <c r="W1490" s="11">
        <f>ProductionData[[#This Row],[Good Units]]/ProductionData[[#This Row],[Operating Minutes]]</f>
        <v>0.80751173708920188</v>
      </c>
    </row>
    <row r="1491" spans="1:23">
      <c r="A1491" s="7">
        <v>46369</v>
      </c>
      <c r="B1491" s="8" t="s">
        <v>33</v>
      </c>
      <c r="C1491" s="8" t="s">
        <v>27</v>
      </c>
      <c r="D1491" s="8" t="s">
        <v>23</v>
      </c>
      <c r="E1491" s="8" t="s">
        <v>26</v>
      </c>
      <c r="F1491" s="9">
        <v>480</v>
      </c>
      <c r="G1491" s="9">
        <v>418</v>
      </c>
      <c r="H1491" s="9">
        <v>23</v>
      </c>
      <c r="I1491" s="9">
        <f t="shared" si="207"/>
        <v>395</v>
      </c>
      <c r="J1491" s="9">
        <v>57</v>
      </c>
      <c r="K1491" s="10">
        <f t="shared" si="208"/>
        <v>0.11874999999999999</v>
      </c>
      <c r="L1491" s="17">
        <v>90</v>
      </c>
      <c r="M1491" s="17">
        <v>30800</v>
      </c>
      <c r="N1491" s="17">
        <f t="shared" si="209"/>
        <v>35550</v>
      </c>
      <c r="O1491" s="17">
        <f t="shared" si="210"/>
        <v>4750</v>
      </c>
      <c r="P1491" s="10">
        <f t="shared" si="211"/>
        <v>0.87083333333333335</v>
      </c>
      <c r="Q1491" s="10">
        <f t="shared" si="212"/>
        <v>5.5023923444976079E-2</v>
      </c>
      <c r="R1491" s="10">
        <f t="shared" si="213"/>
        <v>0.13361462728551335</v>
      </c>
      <c r="S1491" s="18">
        <f t="shared" si="214"/>
        <v>77.974683544303801</v>
      </c>
      <c r="T1491" s="8">
        <f>480-ProductionData[[#This Row],[Downtime Minutes]]</f>
        <v>423</v>
      </c>
      <c r="U1491" s="11">
        <f t="shared" si="215"/>
        <v>0.98817966903073284</v>
      </c>
      <c r="V1491" s="18">
        <f>ProductionData[[#This Row],[Profit]]/ProductionData[[#This Row],[Good Units]]</f>
        <v>12.025316455696203</v>
      </c>
      <c r="W1491" s="11">
        <f>ProductionData[[#This Row],[Good Units]]/ProductionData[[#This Row],[Operating Minutes]]</f>
        <v>0.93380614657210403</v>
      </c>
    </row>
    <row r="1492" spans="1:23">
      <c r="A1492" s="7">
        <v>46369</v>
      </c>
      <c r="B1492" s="8" t="s">
        <v>33</v>
      </c>
      <c r="C1492" s="8" t="s">
        <v>27</v>
      </c>
      <c r="D1492" s="8" t="s">
        <v>25</v>
      </c>
      <c r="E1492" s="8" t="s">
        <v>22</v>
      </c>
      <c r="F1492" s="9">
        <v>440</v>
      </c>
      <c r="G1492" s="9">
        <v>371</v>
      </c>
      <c r="H1492" s="9">
        <v>28</v>
      </c>
      <c r="I1492" s="9">
        <f t="shared" si="207"/>
        <v>343</v>
      </c>
      <c r="J1492" s="9">
        <v>62</v>
      </c>
      <c r="K1492" s="10">
        <f t="shared" si="208"/>
        <v>0.12916666666666668</v>
      </c>
      <c r="L1492" s="17">
        <v>100</v>
      </c>
      <c r="M1492" s="17">
        <v>30800</v>
      </c>
      <c r="N1492" s="17">
        <f t="shared" si="209"/>
        <v>34300</v>
      </c>
      <c r="O1492" s="17">
        <f t="shared" si="210"/>
        <v>3500</v>
      </c>
      <c r="P1492" s="10">
        <f t="shared" si="211"/>
        <v>0.84318181818181814</v>
      </c>
      <c r="Q1492" s="10">
        <f t="shared" si="212"/>
        <v>7.5471698113207544E-2</v>
      </c>
      <c r="R1492" s="10">
        <f t="shared" si="213"/>
        <v>0.10204081632653061</v>
      </c>
      <c r="S1492" s="18">
        <f t="shared" si="214"/>
        <v>89.795918367346943</v>
      </c>
      <c r="T1492" s="8">
        <f>480-ProductionData[[#This Row],[Downtime Minutes]]</f>
        <v>418</v>
      </c>
      <c r="U1492" s="11">
        <f t="shared" si="215"/>
        <v>0.88755980861244022</v>
      </c>
      <c r="V1492" s="18">
        <f>ProductionData[[#This Row],[Profit]]/ProductionData[[#This Row],[Good Units]]</f>
        <v>10.204081632653061</v>
      </c>
      <c r="W1492" s="11">
        <f>ProductionData[[#This Row],[Good Units]]/ProductionData[[#This Row],[Operating Minutes]]</f>
        <v>0.82057416267942584</v>
      </c>
    </row>
    <row r="1493" spans="1:23">
      <c r="A1493" s="7">
        <v>46369</v>
      </c>
      <c r="B1493" s="8" t="s">
        <v>33</v>
      </c>
      <c r="C1493" s="8" t="s">
        <v>28</v>
      </c>
      <c r="D1493" s="8" t="s">
        <v>21</v>
      </c>
      <c r="E1493" s="8" t="s">
        <v>26</v>
      </c>
      <c r="F1493" s="9">
        <v>480</v>
      </c>
      <c r="G1493" s="9">
        <v>473</v>
      </c>
      <c r="H1493" s="9">
        <v>13</v>
      </c>
      <c r="I1493" s="9">
        <f t="shared" si="207"/>
        <v>460</v>
      </c>
      <c r="J1493" s="9">
        <v>9</v>
      </c>
      <c r="K1493" s="10">
        <f t="shared" si="208"/>
        <v>1.8749999999999999E-2</v>
      </c>
      <c r="L1493" s="17">
        <v>90</v>
      </c>
      <c r="M1493" s="17">
        <v>30800</v>
      </c>
      <c r="N1493" s="17">
        <f t="shared" si="209"/>
        <v>41400</v>
      </c>
      <c r="O1493" s="17">
        <f t="shared" si="210"/>
        <v>10600</v>
      </c>
      <c r="P1493" s="10">
        <f t="shared" si="211"/>
        <v>0.98541666666666672</v>
      </c>
      <c r="Q1493" s="10">
        <f t="shared" si="212"/>
        <v>2.748414376321353E-2</v>
      </c>
      <c r="R1493" s="10">
        <f t="shared" si="213"/>
        <v>0.2560386473429952</v>
      </c>
      <c r="S1493" s="18">
        <f t="shared" si="214"/>
        <v>66.956521739130437</v>
      </c>
      <c r="T1493" s="8">
        <f>480-ProductionData[[#This Row],[Downtime Minutes]]</f>
        <v>471</v>
      </c>
      <c r="U1493" s="11">
        <f t="shared" si="215"/>
        <v>1.0042462845010616</v>
      </c>
      <c r="V1493" s="18">
        <f>ProductionData[[#This Row],[Profit]]/ProductionData[[#This Row],[Good Units]]</f>
        <v>23.043478260869566</v>
      </c>
      <c r="W1493" s="11">
        <f>ProductionData[[#This Row],[Good Units]]/ProductionData[[#This Row],[Operating Minutes]]</f>
        <v>0.97664543524416136</v>
      </c>
    </row>
    <row r="1494" spans="1:23">
      <c r="A1494" s="7">
        <v>46369</v>
      </c>
      <c r="B1494" s="8" t="s">
        <v>33</v>
      </c>
      <c r="C1494" s="8" t="s">
        <v>28</v>
      </c>
      <c r="D1494" s="8" t="s">
        <v>23</v>
      </c>
      <c r="E1494" s="8" t="s">
        <v>22</v>
      </c>
      <c r="F1494" s="9">
        <v>470</v>
      </c>
      <c r="G1494" s="9">
        <v>446</v>
      </c>
      <c r="H1494" s="9">
        <v>20</v>
      </c>
      <c r="I1494" s="9">
        <f t="shared" si="207"/>
        <v>426</v>
      </c>
      <c r="J1494" s="9">
        <v>22</v>
      </c>
      <c r="K1494" s="10">
        <f t="shared" si="208"/>
        <v>4.583333333333333E-2</v>
      </c>
      <c r="L1494" s="17">
        <v>100</v>
      </c>
      <c r="M1494" s="17">
        <v>30800</v>
      </c>
      <c r="N1494" s="17">
        <f t="shared" si="209"/>
        <v>42600</v>
      </c>
      <c r="O1494" s="17">
        <f t="shared" si="210"/>
        <v>11800</v>
      </c>
      <c r="P1494" s="10">
        <f t="shared" si="211"/>
        <v>0.94893617021276599</v>
      </c>
      <c r="Q1494" s="10">
        <f t="shared" si="212"/>
        <v>4.4843049327354258E-2</v>
      </c>
      <c r="R1494" s="10">
        <f t="shared" si="213"/>
        <v>0.27699530516431925</v>
      </c>
      <c r="S1494" s="18">
        <f t="shared" si="214"/>
        <v>72.300469483568079</v>
      </c>
      <c r="T1494" s="8">
        <f>480-ProductionData[[#This Row],[Downtime Minutes]]</f>
        <v>458</v>
      </c>
      <c r="U1494" s="11">
        <f t="shared" si="215"/>
        <v>0.97379912663755464</v>
      </c>
      <c r="V1494" s="18">
        <f>ProductionData[[#This Row],[Profit]]/ProductionData[[#This Row],[Good Units]]</f>
        <v>27.699530516431924</v>
      </c>
      <c r="W1494" s="11">
        <f>ProductionData[[#This Row],[Good Units]]/ProductionData[[#This Row],[Operating Minutes]]</f>
        <v>0.93013100436681218</v>
      </c>
    </row>
    <row r="1495" spans="1:23">
      <c r="A1495" s="7">
        <v>46369</v>
      </c>
      <c r="B1495" s="8" t="s">
        <v>33</v>
      </c>
      <c r="C1495" s="8" t="s">
        <v>28</v>
      </c>
      <c r="D1495" s="8" t="s">
        <v>25</v>
      </c>
      <c r="E1495" s="8" t="s">
        <v>24</v>
      </c>
      <c r="F1495" s="9">
        <v>400</v>
      </c>
      <c r="G1495" s="9">
        <v>386</v>
      </c>
      <c r="H1495" s="9">
        <v>13</v>
      </c>
      <c r="I1495" s="9">
        <f t="shared" si="207"/>
        <v>373</v>
      </c>
      <c r="J1495" s="9">
        <v>44</v>
      </c>
      <c r="K1495" s="10">
        <f t="shared" si="208"/>
        <v>9.166666666666666E-2</v>
      </c>
      <c r="L1495" s="17">
        <v>120</v>
      </c>
      <c r="M1495" s="17">
        <v>30800</v>
      </c>
      <c r="N1495" s="17">
        <f t="shared" si="209"/>
        <v>44760</v>
      </c>
      <c r="O1495" s="17">
        <f t="shared" si="210"/>
        <v>13960</v>
      </c>
      <c r="P1495" s="10">
        <f t="shared" si="211"/>
        <v>0.96499999999999997</v>
      </c>
      <c r="Q1495" s="10">
        <f t="shared" si="212"/>
        <v>3.367875647668394E-2</v>
      </c>
      <c r="R1495" s="10">
        <f t="shared" si="213"/>
        <v>0.31188561215370869</v>
      </c>
      <c r="S1495" s="18">
        <f t="shared" si="214"/>
        <v>82.573726541554961</v>
      </c>
      <c r="T1495" s="8">
        <f>480-ProductionData[[#This Row],[Downtime Minutes]]</f>
        <v>436</v>
      </c>
      <c r="U1495" s="11">
        <f t="shared" si="215"/>
        <v>0.88532110091743121</v>
      </c>
      <c r="V1495" s="18">
        <f>ProductionData[[#This Row],[Profit]]/ProductionData[[#This Row],[Good Units]]</f>
        <v>37.426273458445039</v>
      </c>
      <c r="W1495" s="11">
        <f>ProductionData[[#This Row],[Good Units]]/ProductionData[[#This Row],[Operating Minutes]]</f>
        <v>0.85550458715596334</v>
      </c>
    </row>
    <row r="1496" spans="1:23">
      <c r="A1496" s="7">
        <v>46370</v>
      </c>
      <c r="B1496" s="8" t="s">
        <v>33</v>
      </c>
      <c r="C1496" s="8" t="s">
        <v>20</v>
      </c>
      <c r="D1496" s="8" t="s">
        <v>21</v>
      </c>
      <c r="E1496" s="8" t="s">
        <v>24</v>
      </c>
      <c r="F1496" s="9">
        <v>390</v>
      </c>
      <c r="G1496" s="9">
        <v>379</v>
      </c>
      <c r="H1496" s="9">
        <v>9</v>
      </c>
      <c r="I1496" s="9">
        <f t="shared" si="207"/>
        <v>370</v>
      </c>
      <c r="J1496" s="9">
        <v>26</v>
      </c>
      <c r="K1496" s="10">
        <f t="shared" si="208"/>
        <v>5.4166666666666669E-2</v>
      </c>
      <c r="L1496" s="17">
        <v>120</v>
      </c>
      <c r="M1496" s="17">
        <v>30800</v>
      </c>
      <c r="N1496" s="17">
        <f t="shared" si="209"/>
        <v>44400</v>
      </c>
      <c r="O1496" s="17">
        <f t="shared" si="210"/>
        <v>13600</v>
      </c>
      <c r="P1496" s="10">
        <f t="shared" si="211"/>
        <v>0.97179487179487178</v>
      </c>
      <c r="Q1496" s="10">
        <f t="shared" si="212"/>
        <v>2.3746701846965697E-2</v>
      </c>
      <c r="R1496" s="10">
        <f t="shared" si="213"/>
        <v>0.30630630630630629</v>
      </c>
      <c r="S1496" s="18">
        <f t="shared" si="214"/>
        <v>83.243243243243242</v>
      </c>
      <c r="T1496" s="8">
        <f>480-ProductionData[[#This Row],[Downtime Minutes]]</f>
        <v>454</v>
      </c>
      <c r="U1496" s="11">
        <f t="shared" si="215"/>
        <v>0.83480176211453749</v>
      </c>
      <c r="V1496" s="18">
        <f>ProductionData[[#This Row],[Profit]]/ProductionData[[#This Row],[Good Units]]</f>
        <v>36.756756756756758</v>
      </c>
      <c r="W1496" s="11">
        <f>ProductionData[[#This Row],[Good Units]]/ProductionData[[#This Row],[Operating Minutes]]</f>
        <v>0.81497797356828194</v>
      </c>
    </row>
    <row r="1497" spans="1:23">
      <c r="A1497" s="7">
        <v>46370</v>
      </c>
      <c r="B1497" s="8" t="s">
        <v>33</v>
      </c>
      <c r="C1497" s="8" t="s">
        <v>20</v>
      </c>
      <c r="D1497" s="8" t="s">
        <v>23</v>
      </c>
      <c r="E1497" s="8" t="s">
        <v>26</v>
      </c>
      <c r="F1497" s="9">
        <v>510</v>
      </c>
      <c r="G1497" s="9">
        <v>481</v>
      </c>
      <c r="H1497" s="9">
        <v>17</v>
      </c>
      <c r="I1497" s="9">
        <f t="shared" si="207"/>
        <v>464</v>
      </c>
      <c r="J1497" s="9">
        <v>26</v>
      </c>
      <c r="K1497" s="10">
        <f t="shared" si="208"/>
        <v>5.4166666666666669E-2</v>
      </c>
      <c r="L1497" s="17">
        <v>90</v>
      </c>
      <c r="M1497" s="17">
        <v>30800</v>
      </c>
      <c r="N1497" s="17">
        <f t="shared" si="209"/>
        <v>41760</v>
      </c>
      <c r="O1497" s="17">
        <f t="shared" si="210"/>
        <v>10960</v>
      </c>
      <c r="P1497" s="10">
        <f t="shared" si="211"/>
        <v>0.94313725490196076</v>
      </c>
      <c r="Q1497" s="10">
        <f t="shared" si="212"/>
        <v>3.5343035343035345E-2</v>
      </c>
      <c r="R1497" s="10">
        <f t="shared" si="213"/>
        <v>0.26245210727969348</v>
      </c>
      <c r="S1497" s="18">
        <f t="shared" si="214"/>
        <v>66.379310344827587</v>
      </c>
      <c r="T1497" s="8">
        <f>480-ProductionData[[#This Row],[Downtime Minutes]]</f>
        <v>454</v>
      </c>
      <c r="U1497" s="11">
        <f t="shared" si="215"/>
        <v>1.0594713656387664</v>
      </c>
      <c r="V1497" s="18">
        <f>ProductionData[[#This Row],[Profit]]/ProductionData[[#This Row],[Good Units]]</f>
        <v>23.620689655172413</v>
      </c>
      <c r="W1497" s="11">
        <f>ProductionData[[#This Row],[Good Units]]/ProductionData[[#This Row],[Operating Minutes]]</f>
        <v>1.0220264317180616</v>
      </c>
    </row>
    <row r="1498" spans="1:23">
      <c r="A1498" s="7">
        <v>46370</v>
      </c>
      <c r="B1498" s="8" t="s">
        <v>33</v>
      </c>
      <c r="C1498" s="8" t="s">
        <v>20</v>
      </c>
      <c r="D1498" s="8" t="s">
        <v>25</v>
      </c>
      <c r="E1498" s="8" t="s">
        <v>22</v>
      </c>
      <c r="F1498" s="9">
        <v>440</v>
      </c>
      <c r="G1498" s="9">
        <v>413</v>
      </c>
      <c r="H1498" s="9">
        <v>25</v>
      </c>
      <c r="I1498" s="9">
        <f t="shared" si="207"/>
        <v>388</v>
      </c>
      <c r="J1498" s="9">
        <v>42</v>
      </c>
      <c r="K1498" s="10">
        <f t="shared" si="208"/>
        <v>8.7499999999999994E-2</v>
      </c>
      <c r="L1498" s="17">
        <v>100</v>
      </c>
      <c r="M1498" s="17">
        <v>30800</v>
      </c>
      <c r="N1498" s="17">
        <f t="shared" si="209"/>
        <v>38800</v>
      </c>
      <c r="O1498" s="17">
        <f t="shared" si="210"/>
        <v>8000</v>
      </c>
      <c r="P1498" s="10">
        <f t="shared" si="211"/>
        <v>0.9386363636363636</v>
      </c>
      <c r="Q1498" s="10">
        <f t="shared" si="212"/>
        <v>6.0532687651331719E-2</v>
      </c>
      <c r="R1498" s="10">
        <f t="shared" si="213"/>
        <v>0.20618556701030927</v>
      </c>
      <c r="S1498" s="18">
        <f t="shared" si="214"/>
        <v>79.381443298969074</v>
      </c>
      <c r="T1498" s="8">
        <f>480-ProductionData[[#This Row],[Downtime Minutes]]</f>
        <v>438</v>
      </c>
      <c r="U1498" s="11">
        <f t="shared" si="215"/>
        <v>0.94292237442922378</v>
      </c>
      <c r="V1498" s="18">
        <f>ProductionData[[#This Row],[Profit]]/ProductionData[[#This Row],[Good Units]]</f>
        <v>20.618556701030929</v>
      </c>
      <c r="W1498" s="11">
        <f>ProductionData[[#This Row],[Good Units]]/ProductionData[[#This Row],[Operating Minutes]]</f>
        <v>0.88584474885844744</v>
      </c>
    </row>
    <row r="1499" spans="1:23">
      <c r="A1499" s="7">
        <v>46370</v>
      </c>
      <c r="B1499" s="8" t="s">
        <v>33</v>
      </c>
      <c r="C1499" s="8" t="s">
        <v>27</v>
      </c>
      <c r="D1499" s="8" t="s">
        <v>21</v>
      </c>
      <c r="E1499" s="8" t="s">
        <v>26</v>
      </c>
      <c r="F1499" s="9">
        <v>490</v>
      </c>
      <c r="G1499" s="9">
        <v>454</v>
      </c>
      <c r="H1499" s="9">
        <v>19</v>
      </c>
      <c r="I1499" s="9">
        <f t="shared" si="207"/>
        <v>435</v>
      </c>
      <c r="J1499" s="9">
        <v>39</v>
      </c>
      <c r="K1499" s="10">
        <f t="shared" si="208"/>
        <v>8.1250000000000003E-2</v>
      </c>
      <c r="L1499" s="17">
        <v>90</v>
      </c>
      <c r="M1499" s="17">
        <v>30800</v>
      </c>
      <c r="N1499" s="17">
        <f t="shared" si="209"/>
        <v>39150</v>
      </c>
      <c r="O1499" s="17">
        <f t="shared" si="210"/>
        <v>8350</v>
      </c>
      <c r="P1499" s="10">
        <f t="shared" si="211"/>
        <v>0.92653061224489797</v>
      </c>
      <c r="Q1499" s="10">
        <f t="shared" si="212"/>
        <v>4.185022026431718E-2</v>
      </c>
      <c r="R1499" s="10">
        <f t="shared" si="213"/>
        <v>0.21328224776500637</v>
      </c>
      <c r="S1499" s="18">
        <f t="shared" si="214"/>
        <v>70.804597701149419</v>
      </c>
      <c r="T1499" s="8">
        <f>480-ProductionData[[#This Row],[Downtime Minutes]]</f>
        <v>441</v>
      </c>
      <c r="U1499" s="11">
        <f t="shared" si="215"/>
        <v>1.0294784580498866</v>
      </c>
      <c r="V1499" s="18">
        <f>ProductionData[[#This Row],[Profit]]/ProductionData[[#This Row],[Good Units]]</f>
        <v>19.195402298850574</v>
      </c>
      <c r="W1499" s="11">
        <f>ProductionData[[#This Row],[Good Units]]/ProductionData[[#This Row],[Operating Minutes]]</f>
        <v>0.98639455782312924</v>
      </c>
    </row>
    <row r="1500" spans="1:23">
      <c r="A1500" s="7">
        <v>46370</v>
      </c>
      <c r="B1500" s="8" t="s">
        <v>33</v>
      </c>
      <c r="C1500" s="8" t="s">
        <v>27</v>
      </c>
      <c r="D1500" s="8" t="s">
        <v>23</v>
      </c>
      <c r="E1500" s="8" t="s">
        <v>22</v>
      </c>
      <c r="F1500" s="9">
        <v>450</v>
      </c>
      <c r="G1500" s="9">
        <v>416</v>
      </c>
      <c r="H1500" s="9">
        <v>27</v>
      </c>
      <c r="I1500" s="9">
        <f t="shared" si="207"/>
        <v>389</v>
      </c>
      <c r="J1500" s="9">
        <v>69</v>
      </c>
      <c r="K1500" s="10">
        <f t="shared" si="208"/>
        <v>0.14374999999999999</v>
      </c>
      <c r="L1500" s="17">
        <v>100</v>
      </c>
      <c r="M1500" s="17">
        <v>30800</v>
      </c>
      <c r="N1500" s="17">
        <f t="shared" si="209"/>
        <v>38900</v>
      </c>
      <c r="O1500" s="17">
        <f t="shared" si="210"/>
        <v>8100</v>
      </c>
      <c r="P1500" s="10">
        <f t="shared" si="211"/>
        <v>0.9244444444444444</v>
      </c>
      <c r="Q1500" s="10">
        <f t="shared" si="212"/>
        <v>6.4903846153846159E-2</v>
      </c>
      <c r="R1500" s="10">
        <f t="shared" si="213"/>
        <v>0.20822622107969152</v>
      </c>
      <c r="S1500" s="18">
        <f t="shared" si="214"/>
        <v>79.177377892030847</v>
      </c>
      <c r="T1500" s="8">
        <f>480-ProductionData[[#This Row],[Downtime Minutes]]</f>
        <v>411</v>
      </c>
      <c r="U1500" s="11">
        <f t="shared" si="215"/>
        <v>1.0121654501216546</v>
      </c>
      <c r="V1500" s="18">
        <f>ProductionData[[#This Row],[Profit]]/ProductionData[[#This Row],[Good Units]]</f>
        <v>20.822622107969153</v>
      </c>
      <c r="W1500" s="11">
        <f>ProductionData[[#This Row],[Good Units]]/ProductionData[[#This Row],[Operating Minutes]]</f>
        <v>0.94647201946472015</v>
      </c>
    </row>
    <row r="1501" spans="1:23">
      <c r="A1501" s="7">
        <v>46370</v>
      </c>
      <c r="B1501" s="8" t="s">
        <v>33</v>
      </c>
      <c r="C1501" s="8" t="s">
        <v>27</v>
      </c>
      <c r="D1501" s="8" t="s">
        <v>25</v>
      </c>
      <c r="E1501" s="8" t="s">
        <v>24</v>
      </c>
      <c r="F1501" s="9">
        <v>400</v>
      </c>
      <c r="G1501" s="9">
        <v>336</v>
      </c>
      <c r="H1501" s="9">
        <v>18</v>
      </c>
      <c r="I1501" s="9">
        <f t="shared" si="207"/>
        <v>318</v>
      </c>
      <c r="J1501" s="9">
        <v>59</v>
      </c>
      <c r="K1501" s="10">
        <f t="shared" si="208"/>
        <v>0.12291666666666666</v>
      </c>
      <c r="L1501" s="17">
        <v>120</v>
      </c>
      <c r="M1501" s="17">
        <v>30800</v>
      </c>
      <c r="N1501" s="17">
        <f t="shared" si="209"/>
        <v>38160</v>
      </c>
      <c r="O1501" s="17">
        <f t="shared" si="210"/>
        <v>7360</v>
      </c>
      <c r="P1501" s="10">
        <f t="shared" si="211"/>
        <v>0.84</v>
      </c>
      <c r="Q1501" s="10">
        <f t="shared" si="212"/>
        <v>5.3571428571428568E-2</v>
      </c>
      <c r="R1501" s="10">
        <f t="shared" si="213"/>
        <v>0.19287211740041929</v>
      </c>
      <c r="S1501" s="18">
        <f t="shared" si="214"/>
        <v>96.855345911949684</v>
      </c>
      <c r="T1501" s="8">
        <f>480-ProductionData[[#This Row],[Downtime Minutes]]</f>
        <v>421</v>
      </c>
      <c r="U1501" s="11">
        <f t="shared" si="215"/>
        <v>0.79809976247030878</v>
      </c>
      <c r="V1501" s="18">
        <f>ProductionData[[#This Row],[Profit]]/ProductionData[[#This Row],[Good Units]]</f>
        <v>23.144654088050313</v>
      </c>
      <c r="W1501" s="11">
        <f>ProductionData[[#This Row],[Good Units]]/ProductionData[[#This Row],[Operating Minutes]]</f>
        <v>0.75534441805225649</v>
      </c>
    </row>
    <row r="1502" spans="1:23">
      <c r="A1502" s="7">
        <v>46370</v>
      </c>
      <c r="B1502" s="8" t="s">
        <v>33</v>
      </c>
      <c r="C1502" s="8" t="s">
        <v>28</v>
      </c>
      <c r="D1502" s="8" t="s">
        <v>21</v>
      </c>
      <c r="E1502" s="8" t="s">
        <v>22</v>
      </c>
      <c r="F1502" s="9">
        <v>460</v>
      </c>
      <c r="G1502" s="9">
        <v>456</v>
      </c>
      <c r="H1502" s="9">
        <v>19</v>
      </c>
      <c r="I1502" s="9">
        <f t="shared" si="207"/>
        <v>437</v>
      </c>
      <c r="J1502" s="9">
        <v>38</v>
      </c>
      <c r="K1502" s="10">
        <f t="shared" si="208"/>
        <v>7.9166666666666663E-2</v>
      </c>
      <c r="L1502" s="17">
        <v>100</v>
      </c>
      <c r="M1502" s="17">
        <v>30800</v>
      </c>
      <c r="N1502" s="17">
        <f t="shared" si="209"/>
        <v>43700</v>
      </c>
      <c r="O1502" s="17">
        <f t="shared" si="210"/>
        <v>12900</v>
      </c>
      <c r="P1502" s="10">
        <f t="shared" si="211"/>
        <v>0.99130434782608701</v>
      </c>
      <c r="Q1502" s="10">
        <f t="shared" si="212"/>
        <v>4.1666666666666664E-2</v>
      </c>
      <c r="R1502" s="10">
        <f t="shared" si="213"/>
        <v>0.29519450800915331</v>
      </c>
      <c r="S1502" s="18">
        <f t="shared" si="214"/>
        <v>70.480549199084663</v>
      </c>
      <c r="T1502" s="8">
        <f>480-ProductionData[[#This Row],[Downtime Minutes]]</f>
        <v>442</v>
      </c>
      <c r="U1502" s="11">
        <f t="shared" si="215"/>
        <v>1.0316742081447965</v>
      </c>
      <c r="V1502" s="18">
        <f>ProductionData[[#This Row],[Profit]]/ProductionData[[#This Row],[Good Units]]</f>
        <v>29.519450800915333</v>
      </c>
      <c r="W1502" s="11">
        <f>ProductionData[[#This Row],[Good Units]]/ProductionData[[#This Row],[Operating Minutes]]</f>
        <v>0.9886877828054299</v>
      </c>
    </row>
    <row r="1503" spans="1:23">
      <c r="A1503" s="7">
        <v>46370</v>
      </c>
      <c r="B1503" s="8" t="s">
        <v>33</v>
      </c>
      <c r="C1503" s="8" t="s">
        <v>28</v>
      </c>
      <c r="D1503" s="8" t="s">
        <v>23</v>
      </c>
      <c r="E1503" s="8" t="s">
        <v>24</v>
      </c>
      <c r="F1503" s="9">
        <v>390</v>
      </c>
      <c r="G1503" s="9">
        <v>369</v>
      </c>
      <c r="H1503" s="9">
        <v>7</v>
      </c>
      <c r="I1503" s="9">
        <f t="shared" si="207"/>
        <v>362</v>
      </c>
      <c r="J1503" s="9">
        <v>27</v>
      </c>
      <c r="K1503" s="10">
        <f t="shared" si="208"/>
        <v>5.6250000000000001E-2</v>
      </c>
      <c r="L1503" s="17">
        <v>120</v>
      </c>
      <c r="M1503" s="17">
        <v>30800</v>
      </c>
      <c r="N1503" s="17">
        <f t="shared" si="209"/>
        <v>43440</v>
      </c>
      <c r="O1503" s="17">
        <f t="shared" si="210"/>
        <v>12640</v>
      </c>
      <c r="P1503" s="10">
        <f t="shared" si="211"/>
        <v>0.94615384615384612</v>
      </c>
      <c r="Q1503" s="10">
        <f t="shared" si="212"/>
        <v>1.8970189701897018E-2</v>
      </c>
      <c r="R1503" s="10">
        <f t="shared" si="213"/>
        <v>0.29097605893186002</v>
      </c>
      <c r="S1503" s="18">
        <f t="shared" si="214"/>
        <v>85.082872928176798</v>
      </c>
      <c r="T1503" s="8">
        <f>480-ProductionData[[#This Row],[Downtime Minutes]]</f>
        <v>453</v>
      </c>
      <c r="U1503" s="11">
        <f t="shared" si="215"/>
        <v>0.81456953642384111</v>
      </c>
      <c r="V1503" s="18">
        <f>ProductionData[[#This Row],[Profit]]/ProductionData[[#This Row],[Good Units]]</f>
        <v>34.917127071823202</v>
      </c>
      <c r="W1503" s="11">
        <f>ProductionData[[#This Row],[Good Units]]/ProductionData[[#This Row],[Operating Minutes]]</f>
        <v>0.79911699779249445</v>
      </c>
    </row>
    <row r="1504" spans="1:23">
      <c r="A1504" s="7">
        <v>46370</v>
      </c>
      <c r="B1504" s="8" t="s">
        <v>33</v>
      </c>
      <c r="C1504" s="8" t="s">
        <v>28</v>
      </c>
      <c r="D1504" s="8" t="s">
        <v>25</v>
      </c>
      <c r="E1504" s="8" t="s">
        <v>26</v>
      </c>
      <c r="F1504" s="9">
        <v>500</v>
      </c>
      <c r="G1504" s="9">
        <v>465</v>
      </c>
      <c r="H1504" s="9">
        <v>19</v>
      </c>
      <c r="I1504" s="9">
        <f t="shared" si="207"/>
        <v>446</v>
      </c>
      <c r="J1504" s="9">
        <v>39</v>
      </c>
      <c r="K1504" s="10">
        <f t="shared" si="208"/>
        <v>8.1250000000000003E-2</v>
      </c>
      <c r="L1504" s="17">
        <v>90</v>
      </c>
      <c r="M1504" s="17">
        <v>30800</v>
      </c>
      <c r="N1504" s="17">
        <f t="shared" si="209"/>
        <v>40140</v>
      </c>
      <c r="O1504" s="17">
        <f t="shared" si="210"/>
        <v>9340</v>
      </c>
      <c r="P1504" s="10">
        <f t="shared" si="211"/>
        <v>0.93</v>
      </c>
      <c r="Q1504" s="10">
        <f t="shared" si="212"/>
        <v>4.0860215053763443E-2</v>
      </c>
      <c r="R1504" s="10">
        <f t="shared" si="213"/>
        <v>0.23268560039860489</v>
      </c>
      <c r="S1504" s="18">
        <f t="shared" si="214"/>
        <v>69.058295964125563</v>
      </c>
      <c r="T1504" s="8">
        <f>480-ProductionData[[#This Row],[Downtime Minutes]]</f>
        <v>441</v>
      </c>
      <c r="U1504" s="11">
        <f t="shared" si="215"/>
        <v>1.0544217687074831</v>
      </c>
      <c r="V1504" s="18">
        <f>ProductionData[[#This Row],[Profit]]/ProductionData[[#This Row],[Good Units]]</f>
        <v>20.941704035874441</v>
      </c>
      <c r="W1504" s="11">
        <f>ProductionData[[#This Row],[Good Units]]/ProductionData[[#This Row],[Operating Minutes]]</f>
        <v>1.0113378684807257</v>
      </c>
    </row>
    <row r="1505" spans="1:23">
      <c r="A1505" s="7">
        <v>46371</v>
      </c>
      <c r="B1505" s="8" t="s">
        <v>33</v>
      </c>
      <c r="C1505" s="8" t="s">
        <v>20</v>
      </c>
      <c r="D1505" s="8" t="s">
        <v>21</v>
      </c>
      <c r="E1505" s="8" t="s">
        <v>26</v>
      </c>
      <c r="F1505" s="9">
        <v>510</v>
      </c>
      <c r="G1505" s="9">
        <v>499</v>
      </c>
      <c r="H1505" s="9">
        <v>12</v>
      </c>
      <c r="I1505" s="9">
        <f t="shared" si="207"/>
        <v>487</v>
      </c>
      <c r="J1505" s="9">
        <v>29</v>
      </c>
      <c r="K1505" s="10">
        <f t="shared" si="208"/>
        <v>6.0416666666666667E-2</v>
      </c>
      <c r="L1505" s="17">
        <v>90</v>
      </c>
      <c r="M1505" s="17">
        <v>30800</v>
      </c>
      <c r="N1505" s="17">
        <f t="shared" si="209"/>
        <v>43830</v>
      </c>
      <c r="O1505" s="17">
        <f t="shared" si="210"/>
        <v>13030</v>
      </c>
      <c r="P1505" s="10">
        <f t="shared" si="211"/>
        <v>0.97843137254901957</v>
      </c>
      <c r="Q1505" s="10">
        <f t="shared" si="212"/>
        <v>2.4048096192384769E-2</v>
      </c>
      <c r="R1505" s="10">
        <f t="shared" si="213"/>
        <v>0.297284964636094</v>
      </c>
      <c r="S1505" s="18">
        <f t="shared" si="214"/>
        <v>63.244353182751539</v>
      </c>
      <c r="T1505" s="8">
        <f>480-ProductionData[[#This Row],[Downtime Minutes]]</f>
        <v>451</v>
      </c>
      <c r="U1505" s="11">
        <f t="shared" si="215"/>
        <v>1.106430155210643</v>
      </c>
      <c r="V1505" s="18">
        <f>ProductionData[[#This Row],[Profit]]/ProductionData[[#This Row],[Good Units]]</f>
        <v>26.755646817248461</v>
      </c>
      <c r="W1505" s="11">
        <f>ProductionData[[#This Row],[Good Units]]/ProductionData[[#This Row],[Operating Minutes]]</f>
        <v>1.0798226164079823</v>
      </c>
    </row>
    <row r="1506" spans="1:23">
      <c r="A1506" s="7">
        <v>46371</v>
      </c>
      <c r="B1506" s="8" t="s">
        <v>33</v>
      </c>
      <c r="C1506" s="8" t="s">
        <v>20</v>
      </c>
      <c r="D1506" s="8" t="s">
        <v>23</v>
      </c>
      <c r="E1506" s="8" t="s">
        <v>22</v>
      </c>
      <c r="F1506" s="9">
        <v>450</v>
      </c>
      <c r="G1506" s="9">
        <v>440</v>
      </c>
      <c r="H1506" s="9">
        <v>23</v>
      </c>
      <c r="I1506" s="9">
        <f t="shared" si="207"/>
        <v>417</v>
      </c>
      <c r="J1506" s="9">
        <v>34</v>
      </c>
      <c r="K1506" s="10">
        <f t="shared" si="208"/>
        <v>7.0833333333333331E-2</v>
      </c>
      <c r="L1506" s="17">
        <v>100</v>
      </c>
      <c r="M1506" s="17">
        <v>30800</v>
      </c>
      <c r="N1506" s="17">
        <f t="shared" si="209"/>
        <v>41700</v>
      </c>
      <c r="O1506" s="17">
        <f t="shared" si="210"/>
        <v>10900</v>
      </c>
      <c r="P1506" s="10">
        <f t="shared" si="211"/>
        <v>0.97777777777777775</v>
      </c>
      <c r="Q1506" s="10">
        <f t="shared" si="212"/>
        <v>5.2272727272727269E-2</v>
      </c>
      <c r="R1506" s="10">
        <f t="shared" si="213"/>
        <v>0.26139088729016785</v>
      </c>
      <c r="S1506" s="18">
        <f t="shared" si="214"/>
        <v>73.860911270983209</v>
      </c>
      <c r="T1506" s="8">
        <f>480-ProductionData[[#This Row],[Downtime Minutes]]</f>
        <v>446</v>
      </c>
      <c r="U1506" s="11">
        <f t="shared" si="215"/>
        <v>0.98654708520179368</v>
      </c>
      <c r="V1506" s="18">
        <f>ProductionData[[#This Row],[Profit]]/ProductionData[[#This Row],[Good Units]]</f>
        <v>26.139088729016787</v>
      </c>
      <c r="W1506" s="11">
        <f>ProductionData[[#This Row],[Good Units]]/ProductionData[[#This Row],[Operating Minutes]]</f>
        <v>0.93497757847533636</v>
      </c>
    </row>
    <row r="1507" spans="1:23">
      <c r="A1507" s="7">
        <v>46371</v>
      </c>
      <c r="B1507" s="8" t="s">
        <v>33</v>
      </c>
      <c r="C1507" s="8" t="s">
        <v>20</v>
      </c>
      <c r="D1507" s="8" t="s">
        <v>25</v>
      </c>
      <c r="E1507" s="8" t="s">
        <v>24</v>
      </c>
      <c r="F1507" s="9">
        <v>390</v>
      </c>
      <c r="G1507" s="9">
        <v>351</v>
      </c>
      <c r="H1507" s="9">
        <v>13</v>
      </c>
      <c r="I1507" s="9">
        <f t="shared" si="207"/>
        <v>338</v>
      </c>
      <c r="J1507" s="9">
        <v>46</v>
      </c>
      <c r="K1507" s="10">
        <f t="shared" si="208"/>
        <v>9.583333333333334E-2</v>
      </c>
      <c r="L1507" s="17">
        <v>120</v>
      </c>
      <c r="M1507" s="17">
        <v>30800</v>
      </c>
      <c r="N1507" s="17">
        <f t="shared" si="209"/>
        <v>40560</v>
      </c>
      <c r="O1507" s="17">
        <f t="shared" si="210"/>
        <v>9760</v>
      </c>
      <c r="P1507" s="10">
        <f t="shared" si="211"/>
        <v>0.9</v>
      </c>
      <c r="Q1507" s="10">
        <f t="shared" si="212"/>
        <v>3.7037037037037035E-2</v>
      </c>
      <c r="R1507" s="10">
        <f t="shared" si="213"/>
        <v>0.24063116370808679</v>
      </c>
      <c r="S1507" s="18">
        <f t="shared" si="214"/>
        <v>91.124260355029591</v>
      </c>
      <c r="T1507" s="8">
        <f>480-ProductionData[[#This Row],[Downtime Minutes]]</f>
        <v>434</v>
      </c>
      <c r="U1507" s="11">
        <f t="shared" si="215"/>
        <v>0.80875576036866359</v>
      </c>
      <c r="V1507" s="18">
        <f>ProductionData[[#This Row],[Profit]]/ProductionData[[#This Row],[Good Units]]</f>
        <v>28.875739644970412</v>
      </c>
      <c r="W1507" s="11">
        <f>ProductionData[[#This Row],[Good Units]]/ProductionData[[#This Row],[Operating Minutes]]</f>
        <v>0.77880184331797231</v>
      </c>
    </row>
    <row r="1508" spans="1:23">
      <c r="A1508" s="7">
        <v>46371</v>
      </c>
      <c r="B1508" s="8" t="s">
        <v>33</v>
      </c>
      <c r="C1508" s="8" t="s">
        <v>27</v>
      </c>
      <c r="D1508" s="8" t="s">
        <v>21</v>
      </c>
      <c r="E1508" s="8" t="s">
        <v>22</v>
      </c>
      <c r="F1508" s="9">
        <v>460</v>
      </c>
      <c r="G1508" s="9">
        <v>408</v>
      </c>
      <c r="H1508" s="9">
        <v>24</v>
      </c>
      <c r="I1508" s="9">
        <f t="shared" si="207"/>
        <v>384</v>
      </c>
      <c r="J1508" s="9">
        <v>57</v>
      </c>
      <c r="K1508" s="10">
        <f t="shared" si="208"/>
        <v>0.11874999999999999</v>
      </c>
      <c r="L1508" s="17">
        <v>100</v>
      </c>
      <c r="M1508" s="17">
        <v>30800</v>
      </c>
      <c r="N1508" s="17">
        <f t="shared" si="209"/>
        <v>38400</v>
      </c>
      <c r="O1508" s="17">
        <f t="shared" si="210"/>
        <v>7600</v>
      </c>
      <c r="P1508" s="10">
        <f t="shared" si="211"/>
        <v>0.88695652173913042</v>
      </c>
      <c r="Q1508" s="10">
        <f t="shared" si="212"/>
        <v>5.8823529411764705E-2</v>
      </c>
      <c r="R1508" s="10">
        <f t="shared" si="213"/>
        <v>0.19791666666666666</v>
      </c>
      <c r="S1508" s="18">
        <f t="shared" si="214"/>
        <v>80.208333333333329</v>
      </c>
      <c r="T1508" s="8">
        <f>480-ProductionData[[#This Row],[Downtime Minutes]]</f>
        <v>423</v>
      </c>
      <c r="U1508" s="11">
        <f t="shared" si="215"/>
        <v>0.96453900709219853</v>
      </c>
      <c r="V1508" s="18">
        <f>ProductionData[[#This Row],[Profit]]/ProductionData[[#This Row],[Good Units]]</f>
        <v>19.791666666666668</v>
      </c>
      <c r="W1508" s="11">
        <f>ProductionData[[#This Row],[Good Units]]/ProductionData[[#This Row],[Operating Minutes]]</f>
        <v>0.90780141843971629</v>
      </c>
    </row>
    <row r="1509" spans="1:23">
      <c r="A1509" s="7">
        <v>46371</v>
      </c>
      <c r="B1509" s="8" t="s">
        <v>33</v>
      </c>
      <c r="C1509" s="8" t="s">
        <v>27</v>
      </c>
      <c r="D1509" s="8" t="s">
        <v>23</v>
      </c>
      <c r="E1509" s="8" t="s">
        <v>24</v>
      </c>
      <c r="F1509" s="9">
        <v>390</v>
      </c>
      <c r="G1509" s="9">
        <v>342</v>
      </c>
      <c r="H1509" s="9">
        <v>15</v>
      </c>
      <c r="I1509" s="9">
        <f t="shared" si="207"/>
        <v>327</v>
      </c>
      <c r="J1509" s="9">
        <v>47</v>
      </c>
      <c r="K1509" s="10">
        <f t="shared" si="208"/>
        <v>9.7916666666666666E-2</v>
      </c>
      <c r="L1509" s="17">
        <v>120</v>
      </c>
      <c r="M1509" s="17">
        <v>30800</v>
      </c>
      <c r="N1509" s="17">
        <f t="shared" si="209"/>
        <v>39240</v>
      </c>
      <c r="O1509" s="17">
        <f t="shared" si="210"/>
        <v>8440</v>
      </c>
      <c r="P1509" s="10">
        <f t="shared" si="211"/>
        <v>0.87692307692307692</v>
      </c>
      <c r="Q1509" s="10">
        <f t="shared" si="212"/>
        <v>4.3859649122807015E-2</v>
      </c>
      <c r="R1509" s="10">
        <f t="shared" si="213"/>
        <v>0.21508664627930682</v>
      </c>
      <c r="S1509" s="18">
        <f t="shared" si="214"/>
        <v>94.189602446483178</v>
      </c>
      <c r="T1509" s="8">
        <f>480-ProductionData[[#This Row],[Downtime Minutes]]</f>
        <v>433</v>
      </c>
      <c r="U1509" s="11">
        <f t="shared" si="215"/>
        <v>0.789838337182448</v>
      </c>
      <c r="V1509" s="18">
        <f>ProductionData[[#This Row],[Profit]]/ProductionData[[#This Row],[Good Units]]</f>
        <v>25.810397553516818</v>
      </c>
      <c r="W1509" s="11">
        <f>ProductionData[[#This Row],[Good Units]]/ProductionData[[#This Row],[Operating Minutes]]</f>
        <v>0.75519630484988454</v>
      </c>
    </row>
    <row r="1510" spans="1:23">
      <c r="A1510" s="7">
        <v>46371</v>
      </c>
      <c r="B1510" s="8" t="s">
        <v>33</v>
      </c>
      <c r="C1510" s="8" t="s">
        <v>27</v>
      </c>
      <c r="D1510" s="8" t="s">
        <v>25</v>
      </c>
      <c r="E1510" s="8" t="s">
        <v>26</v>
      </c>
      <c r="F1510" s="9">
        <v>510</v>
      </c>
      <c r="G1510" s="9">
        <v>454</v>
      </c>
      <c r="H1510" s="9">
        <v>30</v>
      </c>
      <c r="I1510" s="9">
        <f t="shared" si="207"/>
        <v>424</v>
      </c>
      <c r="J1510" s="9">
        <v>57</v>
      </c>
      <c r="K1510" s="10">
        <f t="shared" si="208"/>
        <v>0.11874999999999999</v>
      </c>
      <c r="L1510" s="17">
        <v>90</v>
      </c>
      <c r="M1510" s="17">
        <v>30800</v>
      </c>
      <c r="N1510" s="17">
        <f t="shared" si="209"/>
        <v>38160</v>
      </c>
      <c r="O1510" s="17">
        <f t="shared" si="210"/>
        <v>7360</v>
      </c>
      <c r="P1510" s="10">
        <f t="shared" si="211"/>
        <v>0.8901960784313725</v>
      </c>
      <c r="Q1510" s="10">
        <f t="shared" si="212"/>
        <v>6.6079295154185022E-2</v>
      </c>
      <c r="R1510" s="10">
        <f t="shared" si="213"/>
        <v>0.19287211740041929</v>
      </c>
      <c r="S1510" s="18">
        <f t="shared" si="214"/>
        <v>72.64150943396227</v>
      </c>
      <c r="T1510" s="8">
        <f>480-ProductionData[[#This Row],[Downtime Minutes]]</f>
        <v>423</v>
      </c>
      <c r="U1510" s="11">
        <f t="shared" si="215"/>
        <v>1.0732860520094563</v>
      </c>
      <c r="V1510" s="18">
        <f>ProductionData[[#This Row],[Profit]]/ProductionData[[#This Row],[Good Units]]</f>
        <v>17.358490566037737</v>
      </c>
      <c r="W1510" s="11">
        <f>ProductionData[[#This Row],[Good Units]]/ProductionData[[#This Row],[Operating Minutes]]</f>
        <v>1.0023640661938533</v>
      </c>
    </row>
    <row r="1511" spans="1:23">
      <c r="A1511" s="7">
        <v>46371</v>
      </c>
      <c r="B1511" s="8" t="s">
        <v>33</v>
      </c>
      <c r="C1511" s="8" t="s">
        <v>28</v>
      </c>
      <c r="D1511" s="8" t="s">
        <v>21</v>
      </c>
      <c r="E1511" s="8" t="s">
        <v>24</v>
      </c>
      <c r="F1511" s="9">
        <v>410</v>
      </c>
      <c r="G1511" s="9">
        <v>396</v>
      </c>
      <c r="H1511" s="9">
        <v>11</v>
      </c>
      <c r="I1511" s="9">
        <f t="shared" si="207"/>
        <v>385</v>
      </c>
      <c r="J1511" s="9">
        <v>18</v>
      </c>
      <c r="K1511" s="10">
        <f t="shared" si="208"/>
        <v>3.7499999999999999E-2</v>
      </c>
      <c r="L1511" s="17">
        <v>120</v>
      </c>
      <c r="M1511" s="17">
        <v>30800</v>
      </c>
      <c r="N1511" s="17">
        <f t="shared" si="209"/>
        <v>46200</v>
      </c>
      <c r="O1511" s="17">
        <f t="shared" si="210"/>
        <v>15400</v>
      </c>
      <c r="P1511" s="10">
        <f t="shared" si="211"/>
        <v>0.96585365853658534</v>
      </c>
      <c r="Q1511" s="10">
        <f t="shared" si="212"/>
        <v>2.7777777777777776E-2</v>
      </c>
      <c r="R1511" s="10">
        <f t="shared" si="213"/>
        <v>0.33333333333333331</v>
      </c>
      <c r="S1511" s="18">
        <f t="shared" si="214"/>
        <v>80</v>
      </c>
      <c r="T1511" s="8">
        <f>480-ProductionData[[#This Row],[Downtime Minutes]]</f>
        <v>462</v>
      </c>
      <c r="U1511" s="11">
        <f t="shared" si="215"/>
        <v>0.8571428571428571</v>
      </c>
      <c r="V1511" s="18">
        <f>ProductionData[[#This Row],[Profit]]/ProductionData[[#This Row],[Good Units]]</f>
        <v>40</v>
      </c>
      <c r="W1511" s="11">
        <f>ProductionData[[#This Row],[Good Units]]/ProductionData[[#This Row],[Operating Minutes]]</f>
        <v>0.83333333333333337</v>
      </c>
    </row>
    <row r="1512" spans="1:23">
      <c r="A1512" s="7">
        <v>46371</v>
      </c>
      <c r="B1512" s="8" t="s">
        <v>33</v>
      </c>
      <c r="C1512" s="8" t="s">
        <v>28</v>
      </c>
      <c r="D1512" s="8" t="s">
        <v>23</v>
      </c>
      <c r="E1512" s="8" t="s">
        <v>26</v>
      </c>
      <c r="F1512" s="9">
        <v>490</v>
      </c>
      <c r="G1512" s="9">
        <v>487</v>
      </c>
      <c r="H1512" s="9">
        <v>14</v>
      </c>
      <c r="I1512" s="9">
        <f t="shared" si="207"/>
        <v>473</v>
      </c>
      <c r="J1512" s="9">
        <v>27</v>
      </c>
      <c r="K1512" s="10">
        <f t="shared" si="208"/>
        <v>5.6250000000000001E-2</v>
      </c>
      <c r="L1512" s="17">
        <v>90</v>
      </c>
      <c r="M1512" s="17">
        <v>30800</v>
      </c>
      <c r="N1512" s="17">
        <f t="shared" si="209"/>
        <v>42570</v>
      </c>
      <c r="O1512" s="17">
        <f t="shared" si="210"/>
        <v>11770</v>
      </c>
      <c r="P1512" s="10">
        <f t="shared" si="211"/>
        <v>0.9938775510204082</v>
      </c>
      <c r="Q1512" s="10">
        <f t="shared" si="212"/>
        <v>2.8747433264887063E-2</v>
      </c>
      <c r="R1512" s="10">
        <f t="shared" si="213"/>
        <v>0.27648578811369506</v>
      </c>
      <c r="S1512" s="18">
        <f t="shared" si="214"/>
        <v>65.116279069767444</v>
      </c>
      <c r="T1512" s="8">
        <f>480-ProductionData[[#This Row],[Downtime Minutes]]</f>
        <v>453</v>
      </c>
      <c r="U1512" s="11">
        <f t="shared" si="215"/>
        <v>1.075055187637969</v>
      </c>
      <c r="V1512" s="18">
        <f>ProductionData[[#This Row],[Profit]]/ProductionData[[#This Row],[Good Units]]</f>
        <v>24.88372093023256</v>
      </c>
      <c r="W1512" s="11">
        <f>ProductionData[[#This Row],[Good Units]]/ProductionData[[#This Row],[Operating Minutes]]</f>
        <v>1.0441501103752759</v>
      </c>
    </row>
    <row r="1513" spans="1:23">
      <c r="A1513" s="7">
        <v>46371</v>
      </c>
      <c r="B1513" s="8" t="s">
        <v>33</v>
      </c>
      <c r="C1513" s="8" t="s">
        <v>28</v>
      </c>
      <c r="D1513" s="8" t="s">
        <v>25</v>
      </c>
      <c r="E1513" s="8" t="s">
        <v>22</v>
      </c>
      <c r="F1513" s="9">
        <v>450</v>
      </c>
      <c r="G1513" s="9">
        <v>434</v>
      </c>
      <c r="H1513" s="9">
        <v>23</v>
      </c>
      <c r="I1513" s="9">
        <f t="shared" si="207"/>
        <v>411</v>
      </c>
      <c r="J1513" s="9">
        <v>42</v>
      </c>
      <c r="K1513" s="10">
        <f t="shared" si="208"/>
        <v>8.7499999999999994E-2</v>
      </c>
      <c r="L1513" s="17">
        <v>100</v>
      </c>
      <c r="M1513" s="17">
        <v>30800</v>
      </c>
      <c r="N1513" s="17">
        <f t="shared" si="209"/>
        <v>41100</v>
      </c>
      <c r="O1513" s="17">
        <f t="shared" si="210"/>
        <v>10300</v>
      </c>
      <c r="P1513" s="10">
        <f t="shared" si="211"/>
        <v>0.96444444444444444</v>
      </c>
      <c r="Q1513" s="10">
        <f t="shared" si="212"/>
        <v>5.2995391705069124E-2</v>
      </c>
      <c r="R1513" s="10">
        <f t="shared" si="213"/>
        <v>0.25060827250608275</v>
      </c>
      <c r="S1513" s="18">
        <f t="shared" si="214"/>
        <v>74.93917274939173</v>
      </c>
      <c r="T1513" s="8">
        <f>480-ProductionData[[#This Row],[Downtime Minutes]]</f>
        <v>438</v>
      </c>
      <c r="U1513" s="11">
        <f t="shared" si="215"/>
        <v>0.9908675799086758</v>
      </c>
      <c r="V1513" s="18">
        <f>ProductionData[[#This Row],[Profit]]/ProductionData[[#This Row],[Good Units]]</f>
        <v>25.060827250608273</v>
      </c>
      <c r="W1513" s="11">
        <f>ProductionData[[#This Row],[Good Units]]/ProductionData[[#This Row],[Operating Minutes]]</f>
        <v>0.93835616438356162</v>
      </c>
    </row>
    <row r="1514" spans="1:23">
      <c r="A1514" s="7">
        <v>46372</v>
      </c>
      <c r="B1514" s="8" t="s">
        <v>33</v>
      </c>
      <c r="C1514" s="8" t="s">
        <v>20</v>
      </c>
      <c r="D1514" s="8" t="s">
        <v>21</v>
      </c>
      <c r="E1514" s="8" t="s">
        <v>22</v>
      </c>
      <c r="F1514" s="9">
        <v>440</v>
      </c>
      <c r="G1514" s="9">
        <v>411</v>
      </c>
      <c r="H1514" s="9">
        <v>16</v>
      </c>
      <c r="I1514" s="9">
        <f t="shared" si="207"/>
        <v>395</v>
      </c>
      <c r="J1514" s="9">
        <v>38</v>
      </c>
      <c r="K1514" s="10">
        <f t="shared" si="208"/>
        <v>7.9166666666666663E-2</v>
      </c>
      <c r="L1514" s="17">
        <v>100</v>
      </c>
      <c r="M1514" s="17">
        <v>30800</v>
      </c>
      <c r="N1514" s="17">
        <f t="shared" si="209"/>
        <v>39500</v>
      </c>
      <c r="O1514" s="17">
        <f t="shared" si="210"/>
        <v>8700</v>
      </c>
      <c r="P1514" s="10">
        <f t="shared" si="211"/>
        <v>0.93409090909090908</v>
      </c>
      <c r="Q1514" s="10">
        <f t="shared" si="212"/>
        <v>3.8929440389294405E-2</v>
      </c>
      <c r="R1514" s="10">
        <f t="shared" si="213"/>
        <v>0.22025316455696203</v>
      </c>
      <c r="S1514" s="18">
        <f t="shared" si="214"/>
        <v>77.974683544303801</v>
      </c>
      <c r="T1514" s="8">
        <f>480-ProductionData[[#This Row],[Downtime Minutes]]</f>
        <v>442</v>
      </c>
      <c r="U1514" s="11">
        <f t="shared" si="215"/>
        <v>0.92986425339366519</v>
      </c>
      <c r="V1514" s="18">
        <f>ProductionData[[#This Row],[Profit]]/ProductionData[[#This Row],[Good Units]]</f>
        <v>22.025316455696203</v>
      </c>
      <c r="W1514" s="11">
        <f>ProductionData[[#This Row],[Good Units]]/ProductionData[[#This Row],[Operating Minutes]]</f>
        <v>0.89366515837104077</v>
      </c>
    </row>
    <row r="1515" spans="1:23">
      <c r="A1515" s="7">
        <v>46372</v>
      </c>
      <c r="B1515" s="8" t="s">
        <v>33</v>
      </c>
      <c r="C1515" s="8" t="s">
        <v>20</v>
      </c>
      <c r="D1515" s="8" t="s">
        <v>23</v>
      </c>
      <c r="E1515" s="8" t="s">
        <v>24</v>
      </c>
      <c r="F1515" s="9">
        <v>390</v>
      </c>
      <c r="G1515" s="9">
        <v>370</v>
      </c>
      <c r="H1515" s="9">
        <v>10</v>
      </c>
      <c r="I1515" s="9">
        <f t="shared" si="207"/>
        <v>360</v>
      </c>
      <c r="J1515" s="9">
        <v>40</v>
      </c>
      <c r="K1515" s="10">
        <f t="shared" si="208"/>
        <v>8.3333333333333329E-2</v>
      </c>
      <c r="L1515" s="17">
        <v>120</v>
      </c>
      <c r="M1515" s="17">
        <v>30800</v>
      </c>
      <c r="N1515" s="17">
        <f t="shared" si="209"/>
        <v>43200</v>
      </c>
      <c r="O1515" s="17">
        <f t="shared" si="210"/>
        <v>12400</v>
      </c>
      <c r="P1515" s="10">
        <f t="shared" si="211"/>
        <v>0.94871794871794868</v>
      </c>
      <c r="Q1515" s="10">
        <f t="shared" si="212"/>
        <v>2.7027027027027029E-2</v>
      </c>
      <c r="R1515" s="10">
        <f t="shared" si="213"/>
        <v>0.28703703703703703</v>
      </c>
      <c r="S1515" s="18">
        <f t="shared" si="214"/>
        <v>85.555555555555557</v>
      </c>
      <c r="T1515" s="8">
        <f>480-ProductionData[[#This Row],[Downtime Minutes]]</f>
        <v>440</v>
      </c>
      <c r="U1515" s="11">
        <f t="shared" si="215"/>
        <v>0.84090909090909094</v>
      </c>
      <c r="V1515" s="18">
        <f>ProductionData[[#This Row],[Profit]]/ProductionData[[#This Row],[Good Units]]</f>
        <v>34.444444444444443</v>
      </c>
      <c r="W1515" s="11">
        <f>ProductionData[[#This Row],[Good Units]]/ProductionData[[#This Row],[Operating Minutes]]</f>
        <v>0.81818181818181823</v>
      </c>
    </row>
    <row r="1516" spans="1:23">
      <c r="A1516" s="7">
        <v>46372</v>
      </c>
      <c r="B1516" s="8" t="s">
        <v>33</v>
      </c>
      <c r="C1516" s="8" t="s">
        <v>20</v>
      </c>
      <c r="D1516" s="8" t="s">
        <v>25</v>
      </c>
      <c r="E1516" s="8" t="s">
        <v>26</v>
      </c>
      <c r="F1516" s="9">
        <v>500</v>
      </c>
      <c r="G1516" s="9">
        <v>475</v>
      </c>
      <c r="H1516" s="9">
        <v>22</v>
      </c>
      <c r="I1516" s="9">
        <f t="shared" si="207"/>
        <v>453</v>
      </c>
      <c r="J1516" s="9">
        <v>40</v>
      </c>
      <c r="K1516" s="10">
        <f t="shared" si="208"/>
        <v>8.3333333333333329E-2</v>
      </c>
      <c r="L1516" s="17">
        <v>90</v>
      </c>
      <c r="M1516" s="17">
        <v>30800</v>
      </c>
      <c r="N1516" s="17">
        <f t="shared" si="209"/>
        <v>40770</v>
      </c>
      <c r="O1516" s="17">
        <f t="shared" si="210"/>
        <v>9970</v>
      </c>
      <c r="P1516" s="10">
        <f t="shared" si="211"/>
        <v>0.95</v>
      </c>
      <c r="Q1516" s="10">
        <f t="shared" si="212"/>
        <v>4.6315789473684213E-2</v>
      </c>
      <c r="R1516" s="10">
        <f t="shared" si="213"/>
        <v>0.24454255580083395</v>
      </c>
      <c r="S1516" s="18">
        <f t="shared" si="214"/>
        <v>67.99116997792494</v>
      </c>
      <c r="T1516" s="8">
        <f>480-ProductionData[[#This Row],[Downtime Minutes]]</f>
        <v>440</v>
      </c>
      <c r="U1516" s="11">
        <f t="shared" si="215"/>
        <v>1.0795454545454546</v>
      </c>
      <c r="V1516" s="18">
        <f>ProductionData[[#This Row],[Profit]]/ProductionData[[#This Row],[Good Units]]</f>
        <v>22.008830022075056</v>
      </c>
      <c r="W1516" s="11">
        <f>ProductionData[[#This Row],[Good Units]]/ProductionData[[#This Row],[Operating Minutes]]</f>
        <v>1.0295454545454545</v>
      </c>
    </row>
    <row r="1517" spans="1:23">
      <c r="A1517" s="7">
        <v>46372</v>
      </c>
      <c r="B1517" s="8" t="s">
        <v>33</v>
      </c>
      <c r="C1517" s="8" t="s">
        <v>27</v>
      </c>
      <c r="D1517" s="8" t="s">
        <v>21</v>
      </c>
      <c r="E1517" s="8" t="s">
        <v>24</v>
      </c>
      <c r="F1517" s="9">
        <v>390</v>
      </c>
      <c r="G1517" s="9">
        <v>360</v>
      </c>
      <c r="H1517" s="9">
        <v>15</v>
      </c>
      <c r="I1517" s="9">
        <f t="shared" si="207"/>
        <v>345</v>
      </c>
      <c r="J1517" s="9">
        <v>47</v>
      </c>
      <c r="K1517" s="10">
        <f t="shared" si="208"/>
        <v>9.7916666666666666E-2</v>
      </c>
      <c r="L1517" s="17">
        <v>120</v>
      </c>
      <c r="M1517" s="17">
        <v>30800</v>
      </c>
      <c r="N1517" s="17">
        <f t="shared" si="209"/>
        <v>41400</v>
      </c>
      <c r="O1517" s="17">
        <f t="shared" si="210"/>
        <v>10600</v>
      </c>
      <c r="P1517" s="10">
        <f t="shared" si="211"/>
        <v>0.92307692307692313</v>
      </c>
      <c r="Q1517" s="10">
        <f t="shared" si="212"/>
        <v>4.1666666666666664E-2</v>
      </c>
      <c r="R1517" s="10">
        <f t="shared" si="213"/>
        <v>0.2560386473429952</v>
      </c>
      <c r="S1517" s="18">
        <f t="shared" si="214"/>
        <v>89.275362318840578</v>
      </c>
      <c r="T1517" s="8">
        <f>480-ProductionData[[#This Row],[Downtime Minutes]]</f>
        <v>433</v>
      </c>
      <c r="U1517" s="11">
        <f t="shared" si="215"/>
        <v>0.8314087759815243</v>
      </c>
      <c r="V1517" s="18">
        <f>ProductionData[[#This Row],[Profit]]/ProductionData[[#This Row],[Good Units]]</f>
        <v>30.724637681159422</v>
      </c>
      <c r="W1517" s="11">
        <f>ProductionData[[#This Row],[Good Units]]/ProductionData[[#This Row],[Operating Minutes]]</f>
        <v>0.79676674364896072</v>
      </c>
    </row>
    <row r="1518" spans="1:23">
      <c r="A1518" s="7">
        <v>46372</v>
      </c>
      <c r="B1518" s="8" t="s">
        <v>33</v>
      </c>
      <c r="C1518" s="8" t="s">
        <v>27</v>
      </c>
      <c r="D1518" s="8" t="s">
        <v>23</v>
      </c>
      <c r="E1518" s="8" t="s">
        <v>26</v>
      </c>
      <c r="F1518" s="9">
        <v>490</v>
      </c>
      <c r="G1518" s="9">
        <v>435</v>
      </c>
      <c r="H1518" s="9">
        <v>26</v>
      </c>
      <c r="I1518" s="9">
        <f t="shared" si="207"/>
        <v>409</v>
      </c>
      <c r="J1518" s="9">
        <v>61</v>
      </c>
      <c r="K1518" s="10">
        <f t="shared" si="208"/>
        <v>0.12708333333333333</v>
      </c>
      <c r="L1518" s="17">
        <v>90</v>
      </c>
      <c r="M1518" s="17">
        <v>30800</v>
      </c>
      <c r="N1518" s="17">
        <f t="shared" si="209"/>
        <v>36810</v>
      </c>
      <c r="O1518" s="17">
        <f t="shared" si="210"/>
        <v>6010</v>
      </c>
      <c r="P1518" s="10">
        <f t="shared" si="211"/>
        <v>0.88775510204081631</v>
      </c>
      <c r="Q1518" s="10">
        <f t="shared" si="212"/>
        <v>5.9770114942528735E-2</v>
      </c>
      <c r="R1518" s="10">
        <f t="shared" si="213"/>
        <v>0.16327085031241512</v>
      </c>
      <c r="S1518" s="18">
        <f t="shared" si="214"/>
        <v>75.30562347188264</v>
      </c>
      <c r="T1518" s="8">
        <f>480-ProductionData[[#This Row],[Downtime Minutes]]</f>
        <v>419</v>
      </c>
      <c r="U1518" s="11">
        <f t="shared" si="215"/>
        <v>1.0381861575178997</v>
      </c>
      <c r="V1518" s="18">
        <f>ProductionData[[#This Row],[Profit]]/ProductionData[[#This Row],[Good Units]]</f>
        <v>14.69437652811736</v>
      </c>
      <c r="W1518" s="11">
        <f>ProductionData[[#This Row],[Good Units]]/ProductionData[[#This Row],[Operating Minutes]]</f>
        <v>0.9761336515513126</v>
      </c>
    </row>
    <row r="1519" spans="1:23">
      <c r="A1519" s="7">
        <v>46372</v>
      </c>
      <c r="B1519" s="8" t="s">
        <v>33</v>
      </c>
      <c r="C1519" s="8" t="s">
        <v>27</v>
      </c>
      <c r="D1519" s="8" t="s">
        <v>25</v>
      </c>
      <c r="E1519" s="8" t="s">
        <v>22</v>
      </c>
      <c r="F1519" s="9">
        <v>460</v>
      </c>
      <c r="G1519" s="9">
        <v>402</v>
      </c>
      <c r="H1519" s="9">
        <v>31</v>
      </c>
      <c r="I1519" s="9">
        <f t="shared" si="207"/>
        <v>371</v>
      </c>
      <c r="J1519" s="9">
        <v>60</v>
      </c>
      <c r="K1519" s="10">
        <f t="shared" si="208"/>
        <v>0.125</v>
      </c>
      <c r="L1519" s="17">
        <v>100</v>
      </c>
      <c r="M1519" s="17">
        <v>30800</v>
      </c>
      <c r="N1519" s="17">
        <f t="shared" si="209"/>
        <v>37100</v>
      </c>
      <c r="O1519" s="17">
        <f t="shared" si="210"/>
        <v>6300</v>
      </c>
      <c r="P1519" s="10">
        <f t="shared" si="211"/>
        <v>0.87391304347826082</v>
      </c>
      <c r="Q1519" s="10">
        <f t="shared" si="212"/>
        <v>7.7114427860696513E-2</v>
      </c>
      <c r="R1519" s="10">
        <f t="shared" si="213"/>
        <v>0.16981132075471697</v>
      </c>
      <c r="S1519" s="18">
        <f t="shared" si="214"/>
        <v>83.018867924528308</v>
      </c>
      <c r="T1519" s="8">
        <f>480-ProductionData[[#This Row],[Downtime Minutes]]</f>
        <v>420</v>
      </c>
      <c r="U1519" s="11">
        <f t="shared" si="215"/>
        <v>0.95714285714285718</v>
      </c>
      <c r="V1519" s="18">
        <f>ProductionData[[#This Row],[Profit]]/ProductionData[[#This Row],[Good Units]]</f>
        <v>16.981132075471699</v>
      </c>
      <c r="W1519" s="11">
        <f>ProductionData[[#This Row],[Good Units]]/ProductionData[[#This Row],[Operating Minutes]]</f>
        <v>0.8833333333333333</v>
      </c>
    </row>
    <row r="1520" spans="1:23">
      <c r="A1520" s="7">
        <v>46372</v>
      </c>
      <c r="B1520" s="8" t="s">
        <v>33</v>
      </c>
      <c r="C1520" s="8" t="s">
        <v>28</v>
      </c>
      <c r="D1520" s="8" t="s">
        <v>21</v>
      </c>
      <c r="E1520" s="8" t="s">
        <v>26</v>
      </c>
      <c r="F1520" s="9">
        <v>520</v>
      </c>
      <c r="G1520" s="9">
        <v>494</v>
      </c>
      <c r="H1520" s="9">
        <v>15</v>
      </c>
      <c r="I1520" s="9">
        <f t="shared" si="207"/>
        <v>479</v>
      </c>
      <c r="J1520" s="9">
        <v>10</v>
      </c>
      <c r="K1520" s="10">
        <f t="shared" si="208"/>
        <v>2.0833333333333332E-2</v>
      </c>
      <c r="L1520" s="17">
        <v>90</v>
      </c>
      <c r="M1520" s="17">
        <v>30800</v>
      </c>
      <c r="N1520" s="17">
        <f t="shared" si="209"/>
        <v>43110</v>
      </c>
      <c r="O1520" s="17">
        <f t="shared" si="210"/>
        <v>12310</v>
      </c>
      <c r="P1520" s="10">
        <f t="shared" si="211"/>
        <v>0.95</v>
      </c>
      <c r="Q1520" s="10">
        <f t="shared" si="212"/>
        <v>3.0364372469635626E-2</v>
      </c>
      <c r="R1520" s="10">
        <f t="shared" si="213"/>
        <v>0.28554859661331478</v>
      </c>
      <c r="S1520" s="18">
        <f t="shared" si="214"/>
        <v>64.300626304801668</v>
      </c>
      <c r="T1520" s="8">
        <f>480-ProductionData[[#This Row],[Downtime Minutes]]</f>
        <v>470</v>
      </c>
      <c r="U1520" s="11">
        <f t="shared" si="215"/>
        <v>1.0510638297872341</v>
      </c>
      <c r="V1520" s="18">
        <f>ProductionData[[#This Row],[Profit]]/ProductionData[[#This Row],[Good Units]]</f>
        <v>25.699373695198329</v>
      </c>
      <c r="W1520" s="11">
        <f>ProductionData[[#This Row],[Good Units]]/ProductionData[[#This Row],[Operating Minutes]]</f>
        <v>1.0191489361702128</v>
      </c>
    </row>
    <row r="1521" spans="1:23">
      <c r="A1521" s="7">
        <v>46372</v>
      </c>
      <c r="B1521" s="8" t="s">
        <v>33</v>
      </c>
      <c r="C1521" s="8" t="s">
        <v>28</v>
      </c>
      <c r="D1521" s="8" t="s">
        <v>23</v>
      </c>
      <c r="E1521" s="8" t="s">
        <v>22</v>
      </c>
      <c r="F1521" s="9">
        <v>470</v>
      </c>
      <c r="G1521" s="9">
        <v>449</v>
      </c>
      <c r="H1521" s="9">
        <v>19</v>
      </c>
      <c r="I1521" s="9">
        <f t="shared" si="207"/>
        <v>430</v>
      </c>
      <c r="J1521" s="9">
        <v>25</v>
      </c>
      <c r="K1521" s="10">
        <f t="shared" si="208"/>
        <v>5.2083333333333336E-2</v>
      </c>
      <c r="L1521" s="17">
        <v>100</v>
      </c>
      <c r="M1521" s="17">
        <v>30800</v>
      </c>
      <c r="N1521" s="17">
        <f t="shared" si="209"/>
        <v>43000</v>
      </c>
      <c r="O1521" s="17">
        <f t="shared" si="210"/>
        <v>12200</v>
      </c>
      <c r="P1521" s="10">
        <f t="shared" si="211"/>
        <v>0.9553191489361702</v>
      </c>
      <c r="Q1521" s="10">
        <f t="shared" si="212"/>
        <v>4.2316258351893093E-2</v>
      </c>
      <c r="R1521" s="10">
        <f t="shared" si="213"/>
        <v>0.28372093023255812</v>
      </c>
      <c r="S1521" s="18">
        <f t="shared" si="214"/>
        <v>71.627906976744185</v>
      </c>
      <c r="T1521" s="8">
        <f>480-ProductionData[[#This Row],[Downtime Minutes]]</f>
        <v>455</v>
      </c>
      <c r="U1521" s="11">
        <f t="shared" si="215"/>
        <v>0.98681318681318686</v>
      </c>
      <c r="V1521" s="18">
        <f>ProductionData[[#This Row],[Profit]]/ProductionData[[#This Row],[Good Units]]</f>
        <v>28.372093023255815</v>
      </c>
      <c r="W1521" s="11">
        <f>ProductionData[[#This Row],[Good Units]]/ProductionData[[#This Row],[Operating Minutes]]</f>
        <v>0.94505494505494503</v>
      </c>
    </row>
    <row r="1522" spans="1:23">
      <c r="A1522" s="7">
        <v>46372</v>
      </c>
      <c r="B1522" s="8" t="s">
        <v>33</v>
      </c>
      <c r="C1522" s="8" t="s">
        <v>28</v>
      </c>
      <c r="D1522" s="8" t="s">
        <v>25</v>
      </c>
      <c r="E1522" s="8" t="s">
        <v>24</v>
      </c>
      <c r="F1522" s="9">
        <v>380</v>
      </c>
      <c r="G1522" s="9">
        <v>361</v>
      </c>
      <c r="H1522" s="9">
        <v>14</v>
      </c>
      <c r="I1522" s="9">
        <f t="shared" si="207"/>
        <v>347</v>
      </c>
      <c r="J1522" s="9">
        <v>35</v>
      </c>
      <c r="K1522" s="10">
        <f t="shared" si="208"/>
        <v>7.2916666666666671E-2</v>
      </c>
      <c r="L1522" s="17">
        <v>120</v>
      </c>
      <c r="M1522" s="17">
        <v>30800</v>
      </c>
      <c r="N1522" s="17">
        <f t="shared" si="209"/>
        <v>41640</v>
      </c>
      <c r="O1522" s="17">
        <f t="shared" si="210"/>
        <v>10840</v>
      </c>
      <c r="P1522" s="10">
        <f t="shared" si="211"/>
        <v>0.95</v>
      </c>
      <c r="Q1522" s="10">
        <f t="shared" si="212"/>
        <v>3.8781163434903045E-2</v>
      </c>
      <c r="R1522" s="10">
        <f t="shared" si="213"/>
        <v>0.26032660902977905</v>
      </c>
      <c r="S1522" s="18">
        <f t="shared" si="214"/>
        <v>88.760806916426517</v>
      </c>
      <c r="T1522" s="8">
        <f>480-ProductionData[[#This Row],[Downtime Minutes]]</f>
        <v>445</v>
      </c>
      <c r="U1522" s="11">
        <f t="shared" si="215"/>
        <v>0.81123595505617974</v>
      </c>
      <c r="V1522" s="18">
        <f>ProductionData[[#This Row],[Profit]]/ProductionData[[#This Row],[Good Units]]</f>
        <v>31.239193083573486</v>
      </c>
      <c r="W1522" s="11">
        <f>ProductionData[[#This Row],[Good Units]]/ProductionData[[#This Row],[Operating Minutes]]</f>
        <v>0.77977528089887638</v>
      </c>
    </row>
    <row r="1523" spans="1:23">
      <c r="A1523" s="7">
        <v>46373</v>
      </c>
      <c r="B1523" s="8" t="s">
        <v>33</v>
      </c>
      <c r="C1523" s="8" t="s">
        <v>20</v>
      </c>
      <c r="D1523" s="8" t="s">
        <v>21</v>
      </c>
      <c r="E1523" s="8" t="s">
        <v>24</v>
      </c>
      <c r="F1523" s="9">
        <v>400</v>
      </c>
      <c r="G1523" s="9">
        <v>395</v>
      </c>
      <c r="H1523" s="9">
        <v>13</v>
      </c>
      <c r="I1523" s="9">
        <f t="shared" si="207"/>
        <v>382</v>
      </c>
      <c r="J1523" s="9">
        <v>22</v>
      </c>
      <c r="K1523" s="10">
        <f t="shared" si="208"/>
        <v>4.583333333333333E-2</v>
      </c>
      <c r="L1523" s="17">
        <v>120</v>
      </c>
      <c r="M1523" s="17">
        <v>30800</v>
      </c>
      <c r="N1523" s="17">
        <f t="shared" si="209"/>
        <v>45840</v>
      </c>
      <c r="O1523" s="17">
        <f t="shared" si="210"/>
        <v>15040</v>
      </c>
      <c r="P1523" s="10">
        <f t="shared" si="211"/>
        <v>0.98750000000000004</v>
      </c>
      <c r="Q1523" s="10">
        <f t="shared" si="212"/>
        <v>3.2911392405063293E-2</v>
      </c>
      <c r="R1523" s="10">
        <f t="shared" si="213"/>
        <v>0.32809773123909247</v>
      </c>
      <c r="S1523" s="18">
        <f t="shared" si="214"/>
        <v>80.6282722513089</v>
      </c>
      <c r="T1523" s="8">
        <f>480-ProductionData[[#This Row],[Downtime Minutes]]</f>
        <v>458</v>
      </c>
      <c r="U1523" s="11">
        <f t="shared" si="215"/>
        <v>0.86244541484716153</v>
      </c>
      <c r="V1523" s="18">
        <f>ProductionData[[#This Row],[Profit]]/ProductionData[[#This Row],[Good Units]]</f>
        <v>39.3717277486911</v>
      </c>
      <c r="W1523" s="11">
        <f>ProductionData[[#This Row],[Good Units]]/ProductionData[[#This Row],[Operating Minutes]]</f>
        <v>0.83406113537117899</v>
      </c>
    </row>
    <row r="1524" spans="1:23">
      <c r="A1524" s="7">
        <v>46373</v>
      </c>
      <c r="B1524" s="8" t="s">
        <v>33</v>
      </c>
      <c r="C1524" s="8" t="s">
        <v>20</v>
      </c>
      <c r="D1524" s="8" t="s">
        <v>23</v>
      </c>
      <c r="E1524" s="8" t="s">
        <v>26</v>
      </c>
      <c r="F1524" s="9">
        <v>480</v>
      </c>
      <c r="G1524" s="9">
        <v>466</v>
      </c>
      <c r="H1524" s="9">
        <v>18</v>
      </c>
      <c r="I1524" s="9">
        <f t="shared" si="207"/>
        <v>448</v>
      </c>
      <c r="J1524" s="9">
        <v>34</v>
      </c>
      <c r="K1524" s="10">
        <f t="shared" si="208"/>
        <v>7.0833333333333331E-2</v>
      </c>
      <c r="L1524" s="17">
        <v>90</v>
      </c>
      <c r="M1524" s="17">
        <v>30800</v>
      </c>
      <c r="N1524" s="17">
        <f t="shared" si="209"/>
        <v>40320</v>
      </c>
      <c r="O1524" s="17">
        <f t="shared" si="210"/>
        <v>9520</v>
      </c>
      <c r="P1524" s="10">
        <f t="shared" si="211"/>
        <v>0.97083333333333333</v>
      </c>
      <c r="Q1524" s="10">
        <f t="shared" si="212"/>
        <v>3.8626609442060089E-2</v>
      </c>
      <c r="R1524" s="10">
        <f t="shared" si="213"/>
        <v>0.2361111111111111</v>
      </c>
      <c r="S1524" s="18">
        <f t="shared" si="214"/>
        <v>68.75</v>
      </c>
      <c r="T1524" s="8">
        <f>480-ProductionData[[#This Row],[Downtime Minutes]]</f>
        <v>446</v>
      </c>
      <c r="U1524" s="11">
        <f t="shared" si="215"/>
        <v>1.0448430493273542</v>
      </c>
      <c r="V1524" s="18">
        <f>ProductionData[[#This Row],[Profit]]/ProductionData[[#This Row],[Good Units]]</f>
        <v>21.25</v>
      </c>
      <c r="W1524" s="11">
        <f>ProductionData[[#This Row],[Good Units]]/ProductionData[[#This Row],[Operating Minutes]]</f>
        <v>1.0044843049327354</v>
      </c>
    </row>
    <row r="1525" spans="1:23">
      <c r="A1525" s="7">
        <v>46373</v>
      </c>
      <c r="B1525" s="8" t="s">
        <v>33</v>
      </c>
      <c r="C1525" s="8" t="s">
        <v>20</v>
      </c>
      <c r="D1525" s="8" t="s">
        <v>25</v>
      </c>
      <c r="E1525" s="8" t="s">
        <v>22</v>
      </c>
      <c r="F1525" s="9">
        <v>470</v>
      </c>
      <c r="G1525" s="9">
        <v>435</v>
      </c>
      <c r="H1525" s="9">
        <v>21</v>
      </c>
      <c r="I1525" s="9">
        <f t="shared" si="207"/>
        <v>414</v>
      </c>
      <c r="J1525" s="9">
        <v>37</v>
      </c>
      <c r="K1525" s="10">
        <f t="shared" si="208"/>
        <v>7.7083333333333337E-2</v>
      </c>
      <c r="L1525" s="17">
        <v>100</v>
      </c>
      <c r="M1525" s="17">
        <v>30800</v>
      </c>
      <c r="N1525" s="17">
        <f t="shared" si="209"/>
        <v>41400</v>
      </c>
      <c r="O1525" s="17">
        <f t="shared" si="210"/>
        <v>10600</v>
      </c>
      <c r="P1525" s="10">
        <f t="shared" si="211"/>
        <v>0.92553191489361697</v>
      </c>
      <c r="Q1525" s="10">
        <f t="shared" si="212"/>
        <v>4.8275862068965517E-2</v>
      </c>
      <c r="R1525" s="10">
        <f t="shared" si="213"/>
        <v>0.2560386473429952</v>
      </c>
      <c r="S1525" s="18">
        <f t="shared" si="214"/>
        <v>74.39613526570048</v>
      </c>
      <c r="T1525" s="8">
        <f>480-ProductionData[[#This Row],[Downtime Minutes]]</f>
        <v>443</v>
      </c>
      <c r="U1525" s="11">
        <f t="shared" si="215"/>
        <v>0.98194130925507905</v>
      </c>
      <c r="V1525" s="18">
        <f>ProductionData[[#This Row],[Profit]]/ProductionData[[#This Row],[Good Units]]</f>
        <v>25.603864734299517</v>
      </c>
      <c r="W1525" s="11">
        <f>ProductionData[[#This Row],[Good Units]]/ProductionData[[#This Row],[Operating Minutes]]</f>
        <v>0.93453724604966137</v>
      </c>
    </row>
    <row r="1526" spans="1:23">
      <c r="A1526" s="7">
        <v>46373</v>
      </c>
      <c r="B1526" s="8" t="s">
        <v>33</v>
      </c>
      <c r="C1526" s="8" t="s">
        <v>27</v>
      </c>
      <c r="D1526" s="8" t="s">
        <v>21</v>
      </c>
      <c r="E1526" s="8" t="s">
        <v>26</v>
      </c>
      <c r="F1526" s="9">
        <v>500</v>
      </c>
      <c r="G1526" s="9">
        <v>454</v>
      </c>
      <c r="H1526" s="9">
        <v>26</v>
      </c>
      <c r="I1526" s="9">
        <f t="shared" si="207"/>
        <v>428</v>
      </c>
      <c r="J1526" s="9">
        <v>54</v>
      </c>
      <c r="K1526" s="10">
        <f t="shared" si="208"/>
        <v>0.1125</v>
      </c>
      <c r="L1526" s="17">
        <v>90</v>
      </c>
      <c r="M1526" s="17">
        <v>30800</v>
      </c>
      <c r="N1526" s="17">
        <f t="shared" si="209"/>
        <v>38520</v>
      </c>
      <c r="O1526" s="17">
        <f t="shared" si="210"/>
        <v>7720</v>
      </c>
      <c r="P1526" s="10">
        <f t="shared" si="211"/>
        <v>0.90800000000000003</v>
      </c>
      <c r="Q1526" s="10">
        <f t="shared" si="212"/>
        <v>5.7268722466960353E-2</v>
      </c>
      <c r="R1526" s="10">
        <f t="shared" si="213"/>
        <v>0.20041536863966772</v>
      </c>
      <c r="S1526" s="18">
        <f t="shared" si="214"/>
        <v>71.962616822429908</v>
      </c>
      <c r="T1526" s="8">
        <f>480-ProductionData[[#This Row],[Downtime Minutes]]</f>
        <v>426</v>
      </c>
      <c r="U1526" s="11">
        <f t="shared" si="215"/>
        <v>1.0657276995305165</v>
      </c>
      <c r="V1526" s="18">
        <f>ProductionData[[#This Row],[Profit]]/ProductionData[[#This Row],[Good Units]]</f>
        <v>18.037383177570092</v>
      </c>
      <c r="W1526" s="11">
        <f>ProductionData[[#This Row],[Good Units]]/ProductionData[[#This Row],[Operating Minutes]]</f>
        <v>1.0046948356807512</v>
      </c>
    </row>
    <row r="1527" spans="1:23">
      <c r="A1527" s="7">
        <v>46373</v>
      </c>
      <c r="B1527" s="8" t="s">
        <v>33</v>
      </c>
      <c r="C1527" s="8" t="s">
        <v>27</v>
      </c>
      <c r="D1527" s="8" t="s">
        <v>23</v>
      </c>
      <c r="E1527" s="8" t="s">
        <v>22</v>
      </c>
      <c r="F1527" s="9">
        <v>440</v>
      </c>
      <c r="G1527" s="9">
        <v>406</v>
      </c>
      <c r="H1527" s="9">
        <v>29</v>
      </c>
      <c r="I1527" s="9">
        <f t="shared" si="207"/>
        <v>377</v>
      </c>
      <c r="J1527" s="9">
        <v>57</v>
      </c>
      <c r="K1527" s="10">
        <f t="shared" si="208"/>
        <v>0.11874999999999999</v>
      </c>
      <c r="L1527" s="17">
        <v>100</v>
      </c>
      <c r="M1527" s="17">
        <v>30800</v>
      </c>
      <c r="N1527" s="17">
        <f t="shared" si="209"/>
        <v>37700</v>
      </c>
      <c r="O1527" s="17">
        <f t="shared" si="210"/>
        <v>6900</v>
      </c>
      <c r="P1527" s="10">
        <f t="shared" si="211"/>
        <v>0.92272727272727273</v>
      </c>
      <c r="Q1527" s="10">
        <f t="shared" si="212"/>
        <v>7.1428571428571425E-2</v>
      </c>
      <c r="R1527" s="10">
        <f t="shared" si="213"/>
        <v>0.1830238726790451</v>
      </c>
      <c r="S1527" s="18">
        <f t="shared" si="214"/>
        <v>81.697612732095493</v>
      </c>
      <c r="T1527" s="8">
        <f>480-ProductionData[[#This Row],[Downtime Minutes]]</f>
        <v>423</v>
      </c>
      <c r="U1527" s="11">
        <f t="shared" si="215"/>
        <v>0.95981087470449178</v>
      </c>
      <c r="V1527" s="18">
        <f>ProductionData[[#This Row],[Profit]]/ProductionData[[#This Row],[Good Units]]</f>
        <v>18.302387267904511</v>
      </c>
      <c r="W1527" s="11">
        <f>ProductionData[[#This Row],[Good Units]]/ProductionData[[#This Row],[Operating Minutes]]</f>
        <v>0.89125295508274227</v>
      </c>
    </row>
    <row r="1528" spans="1:23">
      <c r="A1528" s="7">
        <v>46373</v>
      </c>
      <c r="B1528" s="8" t="s">
        <v>33</v>
      </c>
      <c r="C1528" s="8" t="s">
        <v>27</v>
      </c>
      <c r="D1528" s="8" t="s">
        <v>25</v>
      </c>
      <c r="E1528" s="8" t="s">
        <v>24</v>
      </c>
      <c r="F1528" s="9">
        <v>410</v>
      </c>
      <c r="G1528" s="9">
        <v>363</v>
      </c>
      <c r="H1528" s="9">
        <v>22</v>
      </c>
      <c r="I1528" s="9">
        <f t="shared" si="207"/>
        <v>341</v>
      </c>
      <c r="J1528" s="9">
        <v>68</v>
      </c>
      <c r="K1528" s="10">
        <f t="shared" si="208"/>
        <v>0.14166666666666666</v>
      </c>
      <c r="L1528" s="17">
        <v>120</v>
      </c>
      <c r="M1528" s="17">
        <v>30800</v>
      </c>
      <c r="N1528" s="17">
        <f t="shared" si="209"/>
        <v>40920</v>
      </c>
      <c r="O1528" s="17">
        <f t="shared" si="210"/>
        <v>10120</v>
      </c>
      <c r="P1528" s="10">
        <f t="shared" si="211"/>
        <v>0.88536585365853659</v>
      </c>
      <c r="Q1528" s="10">
        <f t="shared" si="212"/>
        <v>6.0606060606060608E-2</v>
      </c>
      <c r="R1528" s="10">
        <f t="shared" si="213"/>
        <v>0.24731182795698925</v>
      </c>
      <c r="S1528" s="18">
        <f t="shared" si="214"/>
        <v>90.322580645161295</v>
      </c>
      <c r="T1528" s="8">
        <f>480-ProductionData[[#This Row],[Downtime Minutes]]</f>
        <v>412</v>
      </c>
      <c r="U1528" s="11">
        <f t="shared" si="215"/>
        <v>0.8810679611650486</v>
      </c>
      <c r="V1528" s="18">
        <f>ProductionData[[#This Row],[Profit]]/ProductionData[[#This Row],[Good Units]]</f>
        <v>29.677419354838708</v>
      </c>
      <c r="W1528" s="11">
        <f>ProductionData[[#This Row],[Good Units]]/ProductionData[[#This Row],[Operating Minutes]]</f>
        <v>0.82766990291262132</v>
      </c>
    </row>
    <row r="1529" spans="1:23">
      <c r="A1529" s="7">
        <v>46373</v>
      </c>
      <c r="B1529" s="8" t="s">
        <v>33</v>
      </c>
      <c r="C1529" s="8" t="s">
        <v>28</v>
      </c>
      <c r="D1529" s="8" t="s">
        <v>21</v>
      </c>
      <c r="E1529" s="8" t="s">
        <v>22</v>
      </c>
      <c r="F1529" s="9">
        <v>440</v>
      </c>
      <c r="G1529" s="9">
        <v>425</v>
      </c>
      <c r="H1529" s="9">
        <v>14</v>
      </c>
      <c r="I1529" s="9">
        <f t="shared" si="207"/>
        <v>411</v>
      </c>
      <c r="J1529" s="9">
        <v>39</v>
      </c>
      <c r="K1529" s="10">
        <f t="shared" si="208"/>
        <v>8.1250000000000003E-2</v>
      </c>
      <c r="L1529" s="17">
        <v>100</v>
      </c>
      <c r="M1529" s="17">
        <v>30800</v>
      </c>
      <c r="N1529" s="17">
        <f t="shared" si="209"/>
        <v>41100</v>
      </c>
      <c r="O1529" s="17">
        <f t="shared" si="210"/>
        <v>10300</v>
      </c>
      <c r="P1529" s="10">
        <f t="shared" si="211"/>
        <v>0.96590909090909094</v>
      </c>
      <c r="Q1529" s="10">
        <f t="shared" si="212"/>
        <v>3.2941176470588238E-2</v>
      </c>
      <c r="R1529" s="10">
        <f t="shared" si="213"/>
        <v>0.25060827250608275</v>
      </c>
      <c r="S1529" s="18">
        <f t="shared" si="214"/>
        <v>74.93917274939173</v>
      </c>
      <c r="T1529" s="8">
        <f>480-ProductionData[[#This Row],[Downtime Minutes]]</f>
        <v>441</v>
      </c>
      <c r="U1529" s="11">
        <f t="shared" si="215"/>
        <v>0.96371882086167804</v>
      </c>
      <c r="V1529" s="18">
        <f>ProductionData[[#This Row],[Profit]]/ProductionData[[#This Row],[Good Units]]</f>
        <v>25.060827250608273</v>
      </c>
      <c r="W1529" s="11">
        <f>ProductionData[[#This Row],[Good Units]]/ProductionData[[#This Row],[Operating Minutes]]</f>
        <v>0.93197278911564629</v>
      </c>
    </row>
    <row r="1530" spans="1:23">
      <c r="A1530" s="7">
        <v>46373</v>
      </c>
      <c r="B1530" s="8" t="s">
        <v>33</v>
      </c>
      <c r="C1530" s="8" t="s">
        <v>28</v>
      </c>
      <c r="D1530" s="8" t="s">
        <v>23</v>
      </c>
      <c r="E1530" s="8" t="s">
        <v>24</v>
      </c>
      <c r="F1530" s="9">
        <v>390</v>
      </c>
      <c r="G1530" s="9">
        <v>387</v>
      </c>
      <c r="H1530" s="9">
        <v>8</v>
      </c>
      <c r="I1530" s="9">
        <f t="shared" si="207"/>
        <v>379</v>
      </c>
      <c r="J1530" s="9">
        <v>41</v>
      </c>
      <c r="K1530" s="10">
        <f t="shared" si="208"/>
        <v>8.5416666666666669E-2</v>
      </c>
      <c r="L1530" s="17">
        <v>120</v>
      </c>
      <c r="M1530" s="17">
        <v>30800</v>
      </c>
      <c r="N1530" s="17">
        <f t="shared" si="209"/>
        <v>45480</v>
      </c>
      <c r="O1530" s="17">
        <f t="shared" si="210"/>
        <v>14680</v>
      </c>
      <c r="P1530" s="10">
        <f t="shared" si="211"/>
        <v>0.99230769230769234</v>
      </c>
      <c r="Q1530" s="10">
        <f t="shared" si="212"/>
        <v>2.0671834625322998E-2</v>
      </c>
      <c r="R1530" s="10">
        <f t="shared" si="213"/>
        <v>0.3227792436235708</v>
      </c>
      <c r="S1530" s="18">
        <f t="shared" si="214"/>
        <v>81.266490765171497</v>
      </c>
      <c r="T1530" s="8">
        <f>480-ProductionData[[#This Row],[Downtime Minutes]]</f>
        <v>439</v>
      </c>
      <c r="U1530" s="11">
        <f t="shared" si="215"/>
        <v>0.8815489749430524</v>
      </c>
      <c r="V1530" s="18">
        <f>ProductionData[[#This Row],[Profit]]/ProductionData[[#This Row],[Good Units]]</f>
        <v>38.733509234828496</v>
      </c>
      <c r="W1530" s="11">
        <f>ProductionData[[#This Row],[Good Units]]/ProductionData[[#This Row],[Operating Minutes]]</f>
        <v>0.86332574031890663</v>
      </c>
    </row>
    <row r="1531" spans="1:23">
      <c r="A1531" s="7">
        <v>46373</v>
      </c>
      <c r="B1531" s="8" t="s">
        <v>33</v>
      </c>
      <c r="C1531" s="8" t="s">
        <v>28</v>
      </c>
      <c r="D1531" s="8" t="s">
        <v>25</v>
      </c>
      <c r="E1531" s="8" t="s">
        <v>26</v>
      </c>
      <c r="F1531" s="9">
        <v>490</v>
      </c>
      <c r="G1531" s="9">
        <v>468</v>
      </c>
      <c r="H1531" s="9">
        <v>19</v>
      </c>
      <c r="I1531" s="9">
        <f t="shared" si="207"/>
        <v>449</v>
      </c>
      <c r="J1531" s="9">
        <v>21</v>
      </c>
      <c r="K1531" s="10">
        <f t="shared" si="208"/>
        <v>4.3749999999999997E-2</v>
      </c>
      <c r="L1531" s="17">
        <v>90</v>
      </c>
      <c r="M1531" s="17">
        <v>30800</v>
      </c>
      <c r="N1531" s="17">
        <f t="shared" si="209"/>
        <v>40410</v>
      </c>
      <c r="O1531" s="17">
        <f t="shared" si="210"/>
        <v>9610</v>
      </c>
      <c r="P1531" s="10">
        <f t="shared" si="211"/>
        <v>0.95510204081632655</v>
      </c>
      <c r="Q1531" s="10">
        <f t="shared" si="212"/>
        <v>4.05982905982906E-2</v>
      </c>
      <c r="R1531" s="10">
        <f t="shared" si="213"/>
        <v>0.23781242266765651</v>
      </c>
      <c r="S1531" s="18">
        <f t="shared" si="214"/>
        <v>68.596881959910917</v>
      </c>
      <c r="T1531" s="8">
        <f>480-ProductionData[[#This Row],[Downtime Minutes]]</f>
        <v>459</v>
      </c>
      <c r="U1531" s="11">
        <f t="shared" si="215"/>
        <v>1.0196078431372548</v>
      </c>
      <c r="V1531" s="18">
        <f>ProductionData[[#This Row],[Profit]]/ProductionData[[#This Row],[Good Units]]</f>
        <v>21.403118040089087</v>
      </c>
      <c r="W1531" s="11">
        <f>ProductionData[[#This Row],[Good Units]]/ProductionData[[#This Row],[Operating Minutes]]</f>
        <v>0.97821350762527237</v>
      </c>
    </row>
    <row r="1532" spans="1:23">
      <c r="A1532" s="7">
        <v>46374</v>
      </c>
      <c r="B1532" s="8" t="s">
        <v>33</v>
      </c>
      <c r="C1532" s="8" t="s">
        <v>20</v>
      </c>
      <c r="D1532" s="8" t="s">
        <v>21</v>
      </c>
      <c r="E1532" s="8" t="s">
        <v>26</v>
      </c>
      <c r="F1532" s="9">
        <v>500</v>
      </c>
      <c r="G1532" s="9">
        <v>478</v>
      </c>
      <c r="H1532" s="9">
        <v>18</v>
      </c>
      <c r="I1532" s="9">
        <f t="shared" si="207"/>
        <v>460</v>
      </c>
      <c r="J1532" s="9">
        <v>22</v>
      </c>
      <c r="K1532" s="10">
        <f t="shared" si="208"/>
        <v>4.583333333333333E-2</v>
      </c>
      <c r="L1532" s="17">
        <v>90</v>
      </c>
      <c r="M1532" s="17">
        <v>30800</v>
      </c>
      <c r="N1532" s="17">
        <f t="shared" si="209"/>
        <v>41400</v>
      </c>
      <c r="O1532" s="17">
        <f t="shared" si="210"/>
        <v>10600</v>
      </c>
      <c r="P1532" s="10">
        <f t="shared" si="211"/>
        <v>0.95599999999999996</v>
      </c>
      <c r="Q1532" s="10">
        <f t="shared" si="212"/>
        <v>3.7656903765690378E-2</v>
      </c>
      <c r="R1532" s="10">
        <f t="shared" si="213"/>
        <v>0.2560386473429952</v>
      </c>
      <c r="S1532" s="18">
        <f t="shared" si="214"/>
        <v>66.956521739130437</v>
      </c>
      <c r="T1532" s="8">
        <f>480-ProductionData[[#This Row],[Downtime Minutes]]</f>
        <v>458</v>
      </c>
      <c r="U1532" s="11">
        <f t="shared" si="215"/>
        <v>1.0436681222707425</v>
      </c>
      <c r="V1532" s="18">
        <f>ProductionData[[#This Row],[Profit]]/ProductionData[[#This Row],[Good Units]]</f>
        <v>23.043478260869566</v>
      </c>
      <c r="W1532" s="11">
        <f>ProductionData[[#This Row],[Good Units]]/ProductionData[[#This Row],[Operating Minutes]]</f>
        <v>1.0043668122270741</v>
      </c>
    </row>
    <row r="1533" spans="1:23">
      <c r="A1533" s="7">
        <v>46374</v>
      </c>
      <c r="B1533" s="8" t="s">
        <v>33</v>
      </c>
      <c r="C1533" s="8" t="s">
        <v>20</v>
      </c>
      <c r="D1533" s="8" t="s">
        <v>23</v>
      </c>
      <c r="E1533" s="8" t="s">
        <v>22</v>
      </c>
      <c r="F1533" s="9">
        <v>440</v>
      </c>
      <c r="G1533" s="9">
        <v>422</v>
      </c>
      <c r="H1533" s="9">
        <v>23</v>
      </c>
      <c r="I1533" s="9">
        <f t="shared" si="207"/>
        <v>399</v>
      </c>
      <c r="J1533" s="9">
        <v>46</v>
      </c>
      <c r="K1533" s="10">
        <f t="shared" si="208"/>
        <v>9.583333333333334E-2</v>
      </c>
      <c r="L1533" s="17">
        <v>100</v>
      </c>
      <c r="M1533" s="17">
        <v>30800</v>
      </c>
      <c r="N1533" s="17">
        <f t="shared" si="209"/>
        <v>39900</v>
      </c>
      <c r="O1533" s="17">
        <f t="shared" si="210"/>
        <v>9100</v>
      </c>
      <c r="P1533" s="10">
        <f t="shared" si="211"/>
        <v>0.95909090909090911</v>
      </c>
      <c r="Q1533" s="10">
        <f t="shared" si="212"/>
        <v>5.4502369668246446E-2</v>
      </c>
      <c r="R1533" s="10">
        <f t="shared" si="213"/>
        <v>0.22807017543859648</v>
      </c>
      <c r="S1533" s="18">
        <f t="shared" si="214"/>
        <v>77.192982456140356</v>
      </c>
      <c r="T1533" s="8">
        <f>480-ProductionData[[#This Row],[Downtime Minutes]]</f>
        <v>434</v>
      </c>
      <c r="U1533" s="11">
        <f t="shared" si="215"/>
        <v>0.97235023041474655</v>
      </c>
      <c r="V1533" s="18">
        <f>ProductionData[[#This Row],[Profit]]/ProductionData[[#This Row],[Good Units]]</f>
        <v>22.807017543859651</v>
      </c>
      <c r="W1533" s="11">
        <f>ProductionData[[#This Row],[Good Units]]/ProductionData[[#This Row],[Operating Minutes]]</f>
        <v>0.91935483870967738</v>
      </c>
    </row>
    <row r="1534" spans="1:23">
      <c r="A1534" s="7">
        <v>46374</v>
      </c>
      <c r="B1534" s="8" t="s">
        <v>33</v>
      </c>
      <c r="C1534" s="8" t="s">
        <v>20</v>
      </c>
      <c r="D1534" s="8" t="s">
        <v>25</v>
      </c>
      <c r="E1534" s="8" t="s">
        <v>24</v>
      </c>
      <c r="F1534" s="9">
        <v>400</v>
      </c>
      <c r="G1534" s="9">
        <v>377</v>
      </c>
      <c r="H1534" s="9">
        <v>15</v>
      </c>
      <c r="I1534" s="9">
        <f t="shared" si="207"/>
        <v>362</v>
      </c>
      <c r="J1534" s="9">
        <v>49</v>
      </c>
      <c r="K1534" s="10">
        <f t="shared" si="208"/>
        <v>0.10208333333333333</v>
      </c>
      <c r="L1534" s="17">
        <v>120</v>
      </c>
      <c r="M1534" s="17">
        <v>30800</v>
      </c>
      <c r="N1534" s="17">
        <f t="shared" si="209"/>
        <v>43440</v>
      </c>
      <c r="O1534" s="17">
        <f t="shared" si="210"/>
        <v>12640</v>
      </c>
      <c r="P1534" s="10">
        <f t="shared" si="211"/>
        <v>0.9425</v>
      </c>
      <c r="Q1534" s="10">
        <f t="shared" si="212"/>
        <v>3.9787798408488062E-2</v>
      </c>
      <c r="R1534" s="10">
        <f t="shared" si="213"/>
        <v>0.29097605893186002</v>
      </c>
      <c r="S1534" s="18">
        <f t="shared" si="214"/>
        <v>85.082872928176798</v>
      </c>
      <c r="T1534" s="8">
        <f>480-ProductionData[[#This Row],[Downtime Minutes]]</f>
        <v>431</v>
      </c>
      <c r="U1534" s="11">
        <f t="shared" si="215"/>
        <v>0.87470997679814388</v>
      </c>
      <c r="V1534" s="18">
        <f>ProductionData[[#This Row],[Profit]]/ProductionData[[#This Row],[Good Units]]</f>
        <v>34.917127071823202</v>
      </c>
      <c r="W1534" s="11">
        <f>ProductionData[[#This Row],[Good Units]]/ProductionData[[#This Row],[Operating Minutes]]</f>
        <v>0.83990719257540603</v>
      </c>
    </row>
    <row r="1535" spans="1:23">
      <c r="A1535" s="7">
        <v>46374</v>
      </c>
      <c r="B1535" s="8" t="s">
        <v>33</v>
      </c>
      <c r="C1535" s="8" t="s">
        <v>27</v>
      </c>
      <c r="D1535" s="8" t="s">
        <v>21</v>
      </c>
      <c r="E1535" s="8" t="s">
        <v>22</v>
      </c>
      <c r="F1535" s="9">
        <v>450</v>
      </c>
      <c r="G1535" s="9">
        <v>416</v>
      </c>
      <c r="H1535" s="9">
        <v>28</v>
      </c>
      <c r="I1535" s="9">
        <f t="shared" si="207"/>
        <v>388</v>
      </c>
      <c r="J1535" s="9">
        <v>60</v>
      </c>
      <c r="K1535" s="10">
        <f t="shared" si="208"/>
        <v>0.125</v>
      </c>
      <c r="L1535" s="17">
        <v>100</v>
      </c>
      <c r="M1535" s="17">
        <v>30800</v>
      </c>
      <c r="N1535" s="17">
        <f t="shared" si="209"/>
        <v>38800</v>
      </c>
      <c r="O1535" s="17">
        <f t="shared" si="210"/>
        <v>8000</v>
      </c>
      <c r="P1535" s="10">
        <f t="shared" si="211"/>
        <v>0.9244444444444444</v>
      </c>
      <c r="Q1535" s="10">
        <f t="shared" si="212"/>
        <v>6.7307692307692304E-2</v>
      </c>
      <c r="R1535" s="10">
        <f t="shared" si="213"/>
        <v>0.20618556701030927</v>
      </c>
      <c r="S1535" s="18">
        <f t="shared" si="214"/>
        <v>79.381443298969074</v>
      </c>
      <c r="T1535" s="8">
        <f>480-ProductionData[[#This Row],[Downtime Minutes]]</f>
        <v>420</v>
      </c>
      <c r="U1535" s="11">
        <f t="shared" si="215"/>
        <v>0.99047619047619051</v>
      </c>
      <c r="V1535" s="18">
        <f>ProductionData[[#This Row],[Profit]]/ProductionData[[#This Row],[Good Units]]</f>
        <v>20.618556701030929</v>
      </c>
      <c r="W1535" s="11">
        <f>ProductionData[[#This Row],[Good Units]]/ProductionData[[#This Row],[Operating Minutes]]</f>
        <v>0.92380952380952386</v>
      </c>
    </row>
    <row r="1536" spans="1:23">
      <c r="A1536" s="7">
        <v>46374</v>
      </c>
      <c r="B1536" s="8" t="s">
        <v>33</v>
      </c>
      <c r="C1536" s="8" t="s">
        <v>27</v>
      </c>
      <c r="D1536" s="8" t="s">
        <v>23</v>
      </c>
      <c r="E1536" s="8" t="s">
        <v>24</v>
      </c>
      <c r="F1536" s="9">
        <v>400</v>
      </c>
      <c r="G1536" s="9">
        <v>358</v>
      </c>
      <c r="H1536" s="9">
        <v>16</v>
      </c>
      <c r="I1536" s="9">
        <f t="shared" si="207"/>
        <v>342</v>
      </c>
      <c r="J1536" s="9">
        <v>53</v>
      </c>
      <c r="K1536" s="10">
        <f t="shared" si="208"/>
        <v>0.11041666666666666</v>
      </c>
      <c r="L1536" s="17">
        <v>120</v>
      </c>
      <c r="M1536" s="17">
        <v>30800</v>
      </c>
      <c r="N1536" s="17">
        <f t="shared" si="209"/>
        <v>41040</v>
      </c>
      <c r="O1536" s="17">
        <f t="shared" si="210"/>
        <v>10240</v>
      </c>
      <c r="P1536" s="10">
        <f t="shared" si="211"/>
        <v>0.89500000000000002</v>
      </c>
      <c r="Q1536" s="10">
        <f t="shared" si="212"/>
        <v>4.4692737430167599E-2</v>
      </c>
      <c r="R1536" s="10">
        <f t="shared" si="213"/>
        <v>0.24951267056530213</v>
      </c>
      <c r="S1536" s="18">
        <f t="shared" si="214"/>
        <v>90.058479532163744</v>
      </c>
      <c r="T1536" s="8">
        <f>480-ProductionData[[#This Row],[Downtime Minutes]]</f>
        <v>427</v>
      </c>
      <c r="U1536" s="11">
        <f t="shared" si="215"/>
        <v>0.83840749414519911</v>
      </c>
      <c r="V1536" s="18">
        <f>ProductionData[[#This Row],[Profit]]/ProductionData[[#This Row],[Good Units]]</f>
        <v>29.941520467836256</v>
      </c>
      <c r="W1536" s="11">
        <f>ProductionData[[#This Row],[Good Units]]/ProductionData[[#This Row],[Operating Minutes]]</f>
        <v>0.80093676814988291</v>
      </c>
    </row>
    <row r="1537" spans="1:23">
      <c r="A1537" s="7">
        <v>46374</v>
      </c>
      <c r="B1537" s="8" t="s">
        <v>33</v>
      </c>
      <c r="C1537" s="8" t="s">
        <v>27</v>
      </c>
      <c r="D1537" s="8" t="s">
        <v>25</v>
      </c>
      <c r="E1537" s="8" t="s">
        <v>26</v>
      </c>
      <c r="F1537" s="9">
        <v>510</v>
      </c>
      <c r="G1537" s="9">
        <v>448</v>
      </c>
      <c r="H1537" s="9">
        <v>30</v>
      </c>
      <c r="I1537" s="9">
        <f t="shared" si="207"/>
        <v>418</v>
      </c>
      <c r="J1537" s="9">
        <v>59</v>
      </c>
      <c r="K1537" s="10">
        <f t="shared" si="208"/>
        <v>0.12291666666666666</v>
      </c>
      <c r="L1537" s="17">
        <v>90</v>
      </c>
      <c r="M1537" s="17">
        <v>30800</v>
      </c>
      <c r="N1537" s="17">
        <f t="shared" si="209"/>
        <v>37620</v>
      </c>
      <c r="O1537" s="17">
        <f t="shared" si="210"/>
        <v>6820</v>
      </c>
      <c r="P1537" s="10">
        <f t="shared" si="211"/>
        <v>0.8784313725490196</v>
      </c>
      <c r="Q1537" s="10">
        <f t="shared" si="212"/>
        <v>6.6964285714285712E-2</v>
      </c>
      <c r="R1537" s="10">
        <f t="shared" si="213"/>
        <v>0.18128654970760233</v>
      </c>
      <c r="S1537" s="18">
        <f t="shared" si="214"/>
        <v>73.684210526315795</v>
      </c>
      <c r="T1537" s="8">
        <f>480-ProductionData[[#This Row],[Downtime Minutes]]</f>
        <v>421</v>
      </c>
      <c r="U1537" s="11">
        <f t="shared" si="215"/>
        <v>1.0641330166270784</v>
      </c>
      <c r="V1537" s="18">
        <f>ProductionData[[#This Row],[Profit]]/ProductionData[[#This Row],[Good Units]]</f>
        <v>16.315789473684209</v>
      </c>
      <c r="W1537" s="11">
        <f>ProductionData[[#This Row],[Good Units]]/ProductionData[[#This Row],[Operating Minutes]]</f>
        <v>0.99287410926365793</v>
      </c>
    </row>
    <row r="1538" spans="1:23">
      <c r="A1538" s="7">
        <v>46374</v>
      </c>
      <c r="B1538" s="8" t="s">
        <v>33</v>
      </c>
      <c r="C1538" s="8" t="s">
        <v>28</v>
      </c>
      <c r="D1538" s="8" t="s">
        <v>21</v>
      </c>
      <c r="E1538" s="8" t="s">
        <v>24</v>
      </c>
      <c r="F1538" s="9">
        <v>400</v>
      </c>
      <c r="G1538" s="9">
        <v>393</v>
      </c>
      <c r="H1538" s="9">
        <v>7</v>
      </c>
      <c r="I1538" s="9">
        <f t="shared" ref="I1538:I1601" si="216">G1538-H1538</f>
        <v>386</v>
      </c>
      <c r="J1538" s="9">
        <v>23</v>
      </c>
      <c r="K1538" s="10">
        <f t="shared" ref="K1538:K1601" si="217">J1538/480</f>
        <v>4.791666666666667E-2</v>
      </c>
      <c r="L1538" s="17">
        <v>120</v>
      </c>
      <c r="M1538" s="17">
        <v>30800</v>
      </c>
      <c r="N1538" s="17">
        <f t="shared" ref="N1538:N1601" si="218">I1538*L1538</f>
        <v>46320</v>
      </c>
      <c r="O1538" s="17">
        <f t="shared" ref="O1538:O1601" si="219">N1538-M1538</f>
        <v>15520</v>
      </c>
      <c r="P1538" s="10">
        <f t="shared" ref="P1538:P1601" si="220">G1538/F1538</f>
        <v>0.98250000000000004</v>
      </c>
      <c r="Q1538" s="10">
        <f t="shared" ref="Q1538:Q1601" si="221">H1538/G1538</f>
        <v>1.7811704834605598E-2</v>
      </c>
      <c r="R1538" s="10">
        <f t="shared" ref="R1538:R1601" si="222">O1538/N1538</f>
        <v>0.33506044905008636</v>
      </c>
      <c r="S1538" s="18">
        <f t="shared" ref="S1538:S1601" si="223">M1538/I1538</f>
        <v>79.792746113989637</v>
      </c>
      <c r="T1538" s="8">
        <f>480-ProductionData[[#This Row],[Downtime Minutes]]</f>
        <v>457</v>
      </c>
      <c r="U1538" s="11">
        <f t="shared" ref="U1538:U1601" si="224">G1538/T1538</f>
        <v>0.85995623632385121</v>
      </c>
      <c r="V1538" s="18">
        <f>ProductionData[[#This Row],[Profit]]/ProductionData[[#This Row],[Good Units]]</f>
        <v>40.207253886010363</v>
      </c>
      <c r="W1538" s="11">
        <f>ProductionData[[#This Row],[Good Units]]/ProductionData[[#This Row],[Operating Minutes]]</f>
        <v>0.84463894967177244</v>
      </c>
    </row>
    <row r="1539" spans="1:23">
      <c r="A1539" s="7">
        <v>46374</v>
      </c>
      <c r="B1539" s="8" t="s">
        <v>33</v>
      </c>
      <c r="C1539" s="8" t="s">
        <v>28</v>
      </c>
      <c r="D1539" s="8" t="s">
        <v>23</v>
      </c>
      <c r="E1539" s="8" t="s">
        <v>26</v>
      </c>
      <c r="F1539" s="9">
        <v>520</v>
      </c>
      <c r="G1539" s="9">
        <v>504</v>
      </c>
      <c r="H1539" s="9">
        <v>13</v>
      </c>
      <c r="I1539" s="9">
        <f t="shared" si="216"/>
        <v>491</v>
      </c>
      <c r="J1539" s="9">
        <v>16</v>
      </c>
      <c r="K1539" s="10">
        <f t="shared" si="217"/>
        <v>3.3333333333333333E-2</v>
      </c>
      <c r="L1539" s="17">
        <v>90</v>
      </c>
      <c r="M1539" s="17">
        <v>30800</v>
      </c>
      <c r="N1539" s="17">
        <f t="shared" si="218"/>
        <v>44190</v>
      </c>
      <c r="O1539" s="17">
        <f t="shared" si="219"/>
        <v>13390</v>
      </c>
      <c r="P1539" s="10">
        <f t="shared" si="220"/>
        <v>0.96923076923076923</v>
      </c>
      <c r="Q1539" s="10">
        <f t="shared" si="221"/>
        <v>2.5793650793650792E-2</v>
      </c>
      <c r="R1539" s="10">
        <f t="shared" si="222"/>
        <v>0.30300973070830506</v>
      </c>
      <c r="S1539" s="18">
        <f t="shared" si="223"/>
        <v>62.729124236252545</v>
      </c>
      <c r="T1539" s="8">
        <f>480-ProductionData[[#This Row],[Downtime Minutes]]</f>
        <v>464</v>
      </c>
      <c r="U1539" s="11">
        <f t="shared" si="224"/>
        <v>1.0862068965517242</v>
      </c>
      <c r="V1539" s="18">
        <f>ProductionData[[#This Row],[Profit]]/ProductionData[[#This Row],[Good Units]]</f>
        <v>27.270875763747455</v>
      </c>
      <c r="W1539" s="11">
        <f>ProductionData[[#This Row],[Good Units]]/ProductionData[[#This Row],[Operating Minutes]]</f>
        <v>1.0581896551724137</v>
      </c>
    </row>
    <row r="1540" spans="1:23">
      <c r="A1540" s="7">
        <v>46374</v>
      </c>
      <c r="B1540" s="8" t="s">
        <v>33</v>
      </c>
      <c r="C1540" s="8" t="s">
        <v>28</v>
      </c>
      <c r="D1540" s="8" t="s">
        <v>25</v>
      </c>
      <c r="E1540" s="8" t="s">
        <v>22</v>
      </c>
      <c r="F1540" s="9">
        <v>460</v>
      </c>
      <c r="G1540" s="9">
        <v>442</v>
      </c>
      <c r="H1540" s="9">
        <v>23</v>
      </c>
      <c r="I1540" s="9">
        <f t="shared" si="216"/>
        <v>419</v>
      </c>
      <c r="J1540" s="9">
        <v>37</v>
      </c>
      <c r="K1540" s="10">
        <f t="shared" si="217"/>
        <v>7.7083333333333337E-2</v>
      </c>
      <c r="L1540" s="17">
        <v>100</v>
      </c>
      <c r="M1540" s="17">
        <v>30800</v>
      </c>
      <c r="N1540" s="17">
        <f t="shared" si="218"/>
        <v>41900</v>
      </c>
      <c r="O1540" s="17">
        <f t="shared" si="219"/>
        <v>11100</v>
      </c>
      <c r="P1540" s="10">
        <f t="shared" si="220"/>
        <v>0.96086956521739131</v>
      </c>
      <c r="Q1540" s="10">
        <f t="shared" si="221"/>
        <v>5.2036199095022627E-2</v>
      </c>
      <c r="R1540" s="10">
        <f t="shared" si="222"/>
        <v>0.2649164677804296</v>
      </c>
      <c r="S1540" s="18">
        <f t="shared" si="223"/>
        <v>73.508353221957037</v>
      </c>
      <c r="T1540" s="8">
        <f>480-ProductionData[[#This Row],[Downtime Minutes]]</f>
        <v>443</v>
      </c>
      <c r="U1540" s="11">
        <f t="shared" si="224"/>
        <v>0.99774266365688491</v>
      </c>
      <c r="V1540" s="18">
        <f>ProductionData[[#This Row],[Profit]]/ProductionData[[#This Row],[Good Units]]</f>
        <v>26.491646778042959</v>
      </c>
      <c r="W1540" s="11">
        <f>ProductionData[[#This Row],[Good Units]]/ProductionData[[#This Row],[Operating Minutes]]</f>
        <v>0.94582392776523705</v>
      </c>
    </row>
    <row r="1541" spans="1:23">
      <c r="A1541" s="7">
        <v>46375</v>
      </c>
      <c r="B1541" s="8" t="s">
        <v>33</v>
      </c>
      <c r="C1541" s="8" t="s">
        <v>20</v>
      </c>
      <c r="D1541" s="8" t="s">
        <v>21</v>
      </c>
      <c r="E1541" s="8" t="s">
        <v>22</v>
      </c>
      <c r="F1541" s="9">
        <v>430</v>
      </c>
      <c r="G1541" s="9">
        <v>402</v>
      </c>
      <c r="H1541" s="9">
        <v>15</v>
      </c>
      <c r="I1541" s="9">
        <f t="shared" si="216"/>
        <v>387</v>
      </c>
      <c r="J1541" s="9">
        <v>26</v>
      </c>
      <c r="K1541" s="10">
        <f t="shared" si="217"/>
        <v>5.4166666666666669E-2</v>
      </c>
      <c r="L1541" s="17">
        <v>100</v>
      </c>
      <c r="M1541" s="17">
        <v>30800</v>
      </c>
      <c r="N1541" s="17">
        <f t="shared" si="218"/>
        <v>38700</v>
      </c>
      <c r="O1541" s="17">
        <f t="shared" si="219"/>
        <v>7900</v>
      </c>
      <c r="P1541" s="10">
        <f t="shared" si="220"/>
        <v>0.93488372093023253</v>
      </c>
      <c r="Q1541" s="10">
        <f t="shared" si="221"/>
        <v>3.7313432835820892E-2</v>
      </c>
      <c r="R1541" s="10">
        <f t="shared" si="222"/>
        <v>0.20413436692506459</v>
      </c>
      <c r="S1541" s="18">
        <f t="shared" si="223"/>
        <v>79.586563307493535</v>
      </c>
      <c r="T1541" s="8">
        <f>480-ProductionData[[#This Row],[Downtime Minutes]]</f>
        <v>454</v>
      </c>
      <c r="U1541" s="11">
        <f t="shared" si="224"/>
        <v>0.88546255506607929</v>
      </c>
      <c r="V1541" s="18">
        <f>ProductionData[[#This Row],[Profit]]/ProductionData[[#This Row],[Good Units]]</f>
        <v>20.413436692506458</v>
      </c>
      <c r="W1541" s="11">
        <f>ProductionData[[#This Row],[Good Units]]/ProductionData[[#This Row],[Operating Minutes]]</f>
        <v>0.85242290748898675</v>
      </c>
    </row>
    <row r="1542" spans="1:23">
      <c r="A1542" s="7">
        <v>46375</v>
      </c>
      <c r="B1542" s="8" t="s">
        <v>33</v>
      </c>
      <c r="C1542" s="8" t="s">
        <v>20</v>
      </c>
      <c r="D1542" s="8" t="s">
        <v>23</v>
      </c>
      <c r="E1542" s="8" t="s">
        <v>24</v>
      </c>
      <c r="F1542" s="9">
        <v>400</v>
      </c>
      <c r="G1542" s="9">
        <v>370</v>
      </c>
      <c r="H1542" s="9">
        <v>13</v>
      </c>
      <c r="I1542" s="9">
        <f t="shared" si="216"/>
        <v>357</v>
      </c>
      <c r="J1542" s="9">
        <v>43</v>
      </c>
      <c r="K1542" s="10">
        <f t="shared" si="217"/>
        <v>8.9583333333333334E-2</v>
      </c>
      <c r="L1542" s="17">
        <v>120</v>
      </c>
      <c r="M1542" s="17">
        <v>30800</v>
      </c>
      <c r="N1542" s="17">
        <f t="shared" si="218"/>
        <v>42840</v>
      </c>
      <c r="O1542" s="17">
        <f t="shared" si="219"/>
        <v>12040</v>
      </c>
      <c r="P1542" s="10">
        <f t="shared" si="220"/>
        <v>0.92500000000000004</v>
      </c>
      <c r="Q1542" s="10">
        <f t="shared" si="221"/>
        <v>3.5135135135135137E-2</v>
      </c>
      <c r="R1542" s="10">
        <f t="shared" si="222"/>
        <v>0.28104575163398693</v>
      </c>
      <c r="S1542" s="18">
        <f t="shared" si="223"/>
        <v>86.274509803921575</v>
      </c>
      <c r="T1542" s="8">
        <f>480-ProductionData[[#This Row],[Downtime Minutes]]</f>
        <v>437</v>
      </c>
      <c r="U1542" s="11">
        <f t="shared" si="224"/>
        <v>0.84668192219679639</v>
      </c>
      <c r="V1542" s="18">
        <f>ProductionData[[#This Row],[Profit]]/ProductionData[[#This Row],[Good Units]]</f>
        <v>33.725490196078432</v>
      </c>
      <c r="W1542" s="11">
        <f>ProductionData[[#This Row],[Good Units]]/ProductionData[[#This Row],[Operating Minutes]]</f>
        <v>0.81693363844393596</v>
      </c>
    </row>
    <row r="1543" spans="1:23">
      <c r="A1543" s="7">
        <v>46375</v>
      </c>
      <c r="B1543" s="8" t="s">
        <v>33</v>
      </c>
      <c r="C1543" s="8" t="s">
        <v>20</v>
      </c>
      <c r="D1543" s="8" t="s">
        <v>25</v>
      </c>
      <c r="E1543" s="8" t="s">
        <v>26</v>
      </c>
      <c r="F1543" s="9">
        <v>490</v>
      </c>
      <c r="G1543" s="9">
        <v>453</v>
      </c>
      <c r="H1543" s="9">
        <v>22</v>
      </c>
      <c r="I1543" s="9">
        <f t="shared" si="216"/>
        <v>431</v>
      </c>
      <c r="J1543" s="9">
        <v>26</v>
      </c>
      <c r="K1543" s="10">
        <f t="shared" si="217"/>
        <v>5.4166666666666669E-2</v>
      </c>
      <c r="L1543" s="17">
        <v>90</v>
      </c>
      <c r="M1543" s="17">
        <v>30800</v>
      </c>
      <c r="N1543" s="17">
        <f t="shared" si="218"/>
        <v>38790</v>
      </c>
      <c r="O1543" s="17">
        <f t="shared" si="219"/>
        <v>7990</v>
      </c>
      <c r="P1543" s="10">
        <f t="shared" si="220"/>
        <v>0.92448979591836733</v>
      </c>
      <c r="Q1543" s="10">
        <f t="shared" si="221"/>
        <v>4.856512141280353E-2</v>
      </c>
      <c r="R1543" s="10">
        <f t="shared" si="222"/>
        <v>0.20598092291827791</v>
      </c>
      <c r="S1543" s="18">
        <f t="shared" si="223"/>
        <v>71.461716937354993</v>
      </c>
      <c r="T1543" s="8">
        <f>480-ProductionData[[#This Row],[Downtime Minutes]]</f>
        <v>454</v>
      </c>
      <c r="U1543" s="11">
        <f t="shared" si="224"/>
        <v>0.99779735682819382</v>
      </c>
      <c r="V1543" s="18">
        <f>ProductionData[[#This Row],[Profit]]/ProductionData[[#This Row],[Good Units]]</f>
        <v>18.538283062645011</v>
      </c>
      <c r="W1543" s="11">
        <f>ProductionData[[#This Row],[Good Units]]/ProductionData[[#This Row],[Operating Minutes]]</f>
        <v>0.9493392070484582</v>
      </c>
    </row>
    <row r="1544" spans="1:23">
      <c r="A1544" s="7">
        <v>46375</v>
      </c>
      <c r="B1544" s="8" t="s">
        <v>33</v>
      </c>
      <c r="C1544" s="8" t="s">
        <v>27</v>
      </c>
      <c r="D1544" s="8" t="s">
        <v>21</v>
      </c>
      <c r="E1544" s="8" t="s">
        <v>24</v>
      </c>
      <c r="F1544" s="9">
        <v>410</v>
      </c>
      <c r="G1544" s="9">
        <v>372</v>
      </c>
      <c r="H1544" s="9">
        <v>19</v>
      </c>
      <c r="I1544" s="9">
        <f t="shared" si="216"/>
        <v>353</v>
      </c>
      <c r="J1544" s="9">
        <v>48</v>
      </c>
      <c r="K1544" s="10">
        <f t="shared" si="217"/>
        <v>0.1</v>
      </c>
      <c r="L1544" s="17">
        <v>120</v>
      </c>
      <c r="M1544" s="17">
        <v>30800</v>
      </c>
      <c r="N1544" s="17">
        <f t="shared" si="218"/>
        <v>42360</v>
      </c>
      <c r="O1544" s="17">
        <f t="shared" si="219"/>
        <v>11560</v>
      </c>
      <c r="P1544" s="10">
        <f t="shared" si="220"/>
        <v>0.90731707317073174</v>
      </c>
      <c r="Q1544" s="10">
        <f t="shared" si="221"/>
        <v>5.1075268817204304E-2</v>
      </c>
      <c r="R1544" s="10">
        <f t="shared" si="222"/>
        <v>0.27289896128423041</v>
      </c>
      <c r="S1544" s="18">
        <f t="shared" si="223"/>
        <v>87.252124645892351</v>
      </c>
      <c r="T1544" s="8">
        <f>480-ProductionData[[#This Row],[Downtime Minutes]]</f>
        <v>432</v>
      </c>
      <c r="U1544" s="11">
        <f t="shared" si="224"/>
        <v>0.86111111111111116</v>
      </c>
      <c r="V1544" s="18">
        <f>ProductionData[[#This Row],[Profit]]/ProductionData[[#This Row],[Good Units]]</f>
        <v>32.747875354107649</v>
      </c>
      <c r="W1544" s="11">
        <f>ProductionData[[#This Row],[Good Units]]/ProductionData[[#This Row],[Operating Minutes]]</f>
        <v>0.81712962962962965</v>
      </c>
    </row>
    <row r="1545" spans="1:23">
      <c r="A1545" s="7">
        <v>46375</v>
      </c>
      <c r="B1545" s="8" t="s">
        <v>33</v>
      </c>
      <c r="C1545" s="8" t="s">
        <v>27</v>
      </c>
      <c r="D1545" s="8" t="s">
        <v>23</v>
      </c>
      <c r="E1545" s="8" t="s">
        <v>26</v>
      </c>
      <c r="F1545" s="9">
        <v>480</v>
      </c>
      <c r="G1545" s="9">
        <v>443</v>
      </c>
      <c r="H1545" s="9">
        <v>23</v>
      </c>
      <c r="I1545" s="9">
        <f t="shared" si="216"/>
        <v>420</v>
      </c>
      <c r="J1545" s="9">
        <v>56</v>
      </c>
      <c r="K1545" s="10">
        <f t="shared" si="217"/>
        <v>0.11666666666666667</v>
      </c>
      <c r="L1545" s="17">
        <v>90</v>
      </c>
      <c r="M1545" s="17">
        <v>30800</v>
      </c>
      <c r="N1545" s="17">
        <f t="shared" si="218"/>
        <v>37800</v>
      </c>
      <c r="O1545" s="17">
        <f t="shared" si="219"/>
        <v>7000</v>
      </c>
      <c r="P1545" s="10">
        <f t="shared" si="220"/>
        <v>0.92291666666666672</v>
      </c>
      <c r="Q1545" s="10">
        <f t="shared" si="221"/>
        <v>5.1918735891647853E-2</v>
      </c>
      <c r="R1545" s="10">
        <f t="shared" si="222"/>
        <v>0.18518518518518517</v>
      </c>
      <c r="S1545" s="18">
        <f t="shared" si="223"/>
        <v>73.333333333333329</v>
      </c>
      <c r="T1545" s="8">
        <f>480-ProductionData[[#This Row],[Downtime Minutes]]</f>
        <v>424</v>
      </c>
      <c r="U1545" s="11">
        <f t="shared" si="224"/>
        <v>1.0448113207547169</v>
      </c>
      <c r="V1545" s="18">
        <f>ProductionData[[#This Row],[Profit]]/ProductionData[[#This Row],[Good Units]]</f>
        <v>16.666666666666668</v>
      </c>
      <c r="W1545" s="11">
        <f>ProductionData[[#This Row],[Good Units]]/ProductionData[[#This Row],[Operating Minutes]]</f>
        <v>0.99056603773584906</v>
      </c>
    </row>
    <row r="1546" spans="1:23">
      <c r="A1546" s="7">
        <v>46375</v>
      </c>
      <c r="B1546" s="8" t="s">
        <v>33</v>
      </c>
      <c r="C1546" s="8" t="s">
        <v>27</v>
      </c>
      <c r="D1546" s="8" t="s">
        <v>25</v>
      </c>
      <c r="E1546" s="8" t="s">
        <v>22</v>
      </c>
      <c r="F1546" s="9">
        <v>460</v>
      </c>
      <c r="G1546" s="9">
        <v>399</v>
      </c>
      <c r="H1546" s="9">
        <v>32</v>
      </c>
      <c r="I1546" s="9">
        <f t="shared" si="216"/>
        <v>367</v>
      </c>
      <c r="J1546" s="9">
        <v>64</v>
      </c>
      <c r="K1546" s="10">
        <f t="shared" si="217"/>
        <v>0.13333333333333333</v>
      </c>
      <c r="L1546" s="17">
        <v>100</v>
      </c>
      <c r="M1546" s="17">
        <v>30800</v>
      </c>
      <c r="N1546" s="17">
        <f t="shared" si="218"/>
        <v>36700</v>
      </c>
      <c r="O1546" s="17">
        <f t="shared" si="219"/>
        <v>5900</v>
      </c>
      <c r="P1546" s="10">
        <f t="shared" si="220"/>
        <v>0.86739130434782608</v>
      </c>
      <c r="Q1546" s="10">
        <f t="shared" si="221"/>
        <v>8.0200501253132828E-2</v>
      </c>
      <c r="R1546" s="10">
        <f t="shared" si="222"/>
        <v>0.16076294277929154</v>
      </c>
      <c r="S1546" s="18">
        <f t="shared" si="223"/>
        <v>83.923705722070849</v>
      </c>
      <c r="T1546" s="8">
        <f>480-ProductionData[[#This Row],[Downtime Minutes]]</f>
        <v>416</v>
      </c>
      <c r="U1546" s="11">
        <f t="shared" si="224"/>
        <v>0.95913461538461542</v>
      </c>
      <c r="V1546" s="18">
        <f>ProductionData[[#This Row],[Profit]]/ProductionData[[#This Row],[Good Units]]</f>
        <v>16.076294277929154</v>
      </c>
      <c r="W1546" s="11">
        <f>ProductionData[[#This Row],[Good Units]]/ProductionData[[#This Row],[Operating Minutes]]</f>
        <v>0.88221153846153844</v>
      </c>
    </row>
    <row r="1547" spans="1:23">
      <c r="A1547" s="7">
        <v>46375</v>
      </c>
      <c r="B1547" s="8" t="s">
        <v>33</v>
      </c>
      <c r="C1547" s="8" t="s">
        <v>28</v>
      </c>
      <c r="D1547" s="8" t="s">
        <v>21</v>
      </c>
      <c r="E1547" s="8" t="s">
        <v>26</v>
      </c>
      <c r="F1547" s="9">
        <v>490</v>
      </c>
      <c r="G1547" s="9">
        <v>468</v>
      </c>
      <c r="H1547" s="9">
        <v>16</v>
      </c>
      <c r="I1547" s="9">
        <f t="shared" si="216"/>
        <v>452</v>
      </c>
      <c r="J1547" s="9">
        <v>13</v>
      </c>
      <c r="K1547" s="10">
        <f t="shared" si="217"/>
        <v>2.7083333333333334E-2</v>
      </c>
      <c r="L1547" s="17">
        <v>90</v>
      </c>
      <c r="M1547" s="17">
        <v>30800</v>
      </c>
      <c r="N1547" s="17">
        <f t="shared" si="218"/>
        <v>40680</v>
      </c>
      <c r="O1547" s="17">
        <f t="shared" si="219"/>
        <v>9880</v>
      </c>
      <c r="P1547" s="10">
        <f t="shared" si="220"/>
        <v>0.95510204081632655</v>
      </c>
      <c r="Q1547" s="10">
        <f t="shared" si="221"/>
        <v>3.4188034188034191E-2</v>
      </c>
      <c r="R1547" s="10">
        <f t="shared" si="222"/>
        <v>0.24287118977384464</v>
      </c>
      <c r="S1547" s="18">
        <f t="shared" si="223"/>
        <v>68.141592920353986</v>
      </c>
      <c r="T1547" s="8">
        <f>480-ProductionData[[#This Row],[Downtime Minutes]]</f>
        <v>467</v>
      </c>
      <c r="U1547" s="11">
        <f t="shared" si="224"/>
        <v>1.0021413276231264</v>
      </c>
      <c r="V1547" s="18">
        <f>ProductionData[[#This Row],[Profit]]/ProductionData[[#This Row],[Good Units]]</f>
        <v>21.858407079646017</v>
      </c>
      <c r="W1547" s="11">
        <f>ProductionData[[#This Row],[Good Units]]/ProductionData[[#This Row],[Operating Minutes]]</f>
        <v>0.9678800856531049</v>
      </c>
    </row>
    <row r="1548" spans="1:23">
      <c r="A1548" s="7">
        <v>46375</v>
      </c>
      <c r="B1548" s="8" t="s">
        <v>33</v>
      </c>
      <c r="C1548" s="8" t="s">
        <v>28</v>
      </c>
      <c r="D1548" s="8" t="s">
        <v>23</v>
      </c>
      <c r="E1548" s="8" t="s">
        <v>22</v>
      </c>
      <c r="F1548" s="9">
        <v>440</v>
      </c>
      <c r="G1548" s="9">
        <v>428</v>
      </c>
      <c r="H1548" s="9">
        <v>15</v>
      </c>
      <c r="I1548" s="9">
        <f t="shared" si="216"/>
        <v>413</v>
      </c>
      <c r="J1548" s="9">
        <v>25</v>
      </c>
      <c r="K1548" s="10">
        <f t="shared" si="217"/>
        <v>5.2083333333333336E-2</v>
      </c>
      <c r="L1548" s="17">
        <v>100</v>
      </c>
      <c r="M1548" s="17">
        <v>30800</v>
      </c>
      <c r="N1548" s="17">
        <f t="shared" si="218"/>
        <v>41300</v>
      </c>
      <c r="O1548" s="17">
        <f t="shared" si="219"/>
        <v>10500</v>
      </c>
      <c r="P1548" s="10">
        <f t="shared" si="220"/>
        <v>0.97272727272727277</v>
      </c>
      <c r="Q1548" s="10">
        <f t="shared" si="221"/>
        <v>3.5046728971962614E-2</v>
      </c>
      <c r="R1548" s="10">
        <f t="shared" si="222"/>
        <v>0.25423728813559321</v>
      </c>
      <c r="S1548" s="18">
        <f t="shared" si="223"/>
        <v>74.576271186440678</v>
      </c>
      <c r="T1548" s="8">
        <f>480-ProductionData[[#This Row],[Downtime Minutes]]</f>
        <v>455</v>
      </c>
      <c r="U1548" s="11">
        <f t="shared" si="224"/>
        <v>0.94065934065934065</v>
      </c>
      <c r="V1548" s="18">
        <f>ProductionData[[#This Row],[Profit]]/ProductionData[[#This Row],[Good Units]]</f>
        <v>25.423728813559322</v>
      </c>
      <c r="W1548" s="11">
        <f>ProductionData[[#This Row],[Good Units]]/ProductionData[[#This Row],[Operating Minutes]]</f>
        <v>0.90769230769230769</v>
      </c>
    </row>
    <row r="1549" spans="1:23">
      <c r="A1549" s="7">
        <v>46375</v>
      </c>
      <c r="B1549" s="8" t="s">
        <v>33</v>
      </c>
      <c r="C1549" s="8" t="s">
        <v>28</v>
      </c>
      <c r="D1549" s="8" t="s">
        <v>25</v>
      </c>
      <c r="E1549" s="8" t="s">
        <v>24</v>
      </c>
      <c r="F1549" s="9">
        <v>390</v>
      </c>
      <c r="G1549" s="9">
        <v>366</v>
      </c>
      <c r="H1549" s="9">
        <v>14</v>
      </c>
      <c r="I1549" s="9">
        <f t="shared" si="216"/>
        <v>352</v>
      </c>
      <c r="J1549" s="9">
        <v>44</v>
      </c>
      <c r="K1549" s="10">
        <f t="shared" si="217"/>
        <v>9.166666666666666E-2</v>
      </c>
      <c r="L1549" s="17">
        <v>120</v>
      </c>
      <c r="M1549" s="17">
        <v>30800</v>
      </c>
      <c r="N1549" s="17">
        <f t="shared" si="218"/>
        <v>42240</v>
      </c>
      <c r="O1549" s="17">
        <f t="shared" si="219"/>
        <v>11440</v>
      </c>
      <c r="P1549" s="10">
        <f t="shared" si="220"/>
        <v>0.93846153846153846</v>
      </c>
      <c r="Q1549" s="10">
        <f t="shared" si="221"/>
        <v>3.825136612021858E-2</v>
      </c>
      <c r="R1549" s="10">
        <f t="shared" si="222"/>
        <v>0.27083333333333331</v>
      </c>
      <c r="S1549" s="18">
        <f t="shared" si="223"/>
        <v>87.5</v>
      </c>
      <c r="T1549" s="8">
        <f>480-ProductionData[[#This Row],[Downtime Minutes]]</f>
        <v>436</v>
      </c>
      <c r="U1549" s="11">
        <f t="shared" si="224"/>
        <v>0.83944954128440363</v>
      </c>
      <c r="V1549" s="18">
        <f>ProductionData[[#This Row],[Profit]]/ProductionData[[#This Row],[Good Units]]</f>
        <v>32.5</v>
      </c>
      <c r="W1549" s="11">
        <f>ProductionData[[#This Row],[Good Units]]/ProductionData[[#This Row],[Operating Minutes]]</f>
        <v>0.80733944954128445</v>
      </c>
    </row>
    <row r="1550" spans="1:23">
      <c r="A1550" s="7">
        <v>46376</v>
      </c>
      <c r="B1550" s="8" t="s">
        <v>33</v>
      </c>
      <c r="C1550" s="8" t="s">
        <v>20</v>
      </c>
      <c r="D1550" s="8" t="s">
        <v>21</v>
      </c>
      <c r="E1550" s="8" t="s">
        <v>24</v>
      </c>
      <c r="F1550" s="9">
        <v>410</v>
      </c>
      <c r="G1550" s="9">
        <v>389</v>
      </c>
      <c r="H1550" s="9">
        <v>13</v>
      </c>
      <c r="I1550" s="9">
        <f t="shared" si="216"/>
        <v>376</v>
      </c>
      <c r="J1550" s="9">
        <v>37</v>
      </c>
      <c r="K1550" s="10">
        <f t="shared" si="217"/>
        <v>7.7083333333333337E-2</v>
      </c>
      <c r="L1550" s="17">
        <v>120</v>
      </c>
      <c r="M1550" s="17">
        <v>30800</v>
      </c>
      <c r="N1550" s="17">
        <f t="shared" si="218"/>
        <v>45120</v>
      </c>
      <c r="O1550" s="17">
        <f t="shared" si="219"/>
        <v>14320</v>
      </c>
      <c r="P1550" s="10">
        <f t="shared" si="220"/>
        <v>0.948780487804878</v>
      </c>
      <c r="Q1550" s="10">
        <f t="shared" si="221"/>
        <v>3.3419023136246784E-2</v>
      </c>
      <c r="R1550" s="10">
        <f t="shared" si="222"/>
        <v>0.31737588652482268</v>
      </c>
      <c r="S1550" s="18">
        <f t="shared" si="223"/>
        <v>81.914893617021278</v>
      </c>
      <c r="T1550" s="8">
        <f>480-ProductionData[[#This Row],[Downtime Minutes]]</f>
        <v>443</v>
      </c>
      <c r="U1550" s="11">
        <f t="shared" si="224"/>
        <v>0.87810383747178333</v>
      </c>
      <c r="V1550" s="18">
        <f>ProductionData[[#This Row],[Profit]]/ProductionData[[#This Row],[Good Units]]</f>
        <v>38.085106382978722</v>
      </c>
      <c r="W1550" s="11">
        <f>ProductionData[[#This Row],[Good Units]]/ProductionData[[#This Row],[Operating Minutes]]</f>
        <v>0.84875846501128671</v>
      </c>
    </row>
    <row r="1551" spans="1:23">
      <c r="A1551" s="7">
        <v>46376</v>
      </c>
      <c r="B1551" s="8" t="s">
        <v>33</v>
      </c>
      <c r="C1551" s="8" t="s">
        <v>20</v>
      </c>
      <c r="D1551" s="8" t="s">
        <v>23</v>
      </c>
      <c r="E1551" s="8" t="s">
        <v>26</v>
      </c>
      <c r="F1551" s="9">
        <v>510</v>
      </c>
      <c r="G1551" s="9">
        <v>499</v>
      </c>
      <c r="H1551" s="9">
        <v>20</v>
      </c>
      <c r="I1551" s="9">
        <f t="shared" si="216"/>
        <v>479</v>
      </c>
      <c r="J1551" s="9">
        <v>29</v>
      </c>
      <c r="K1551" s="10">
        <f t="shared" si="217"/>
        <v>6.0416666666666667E-2</v>
      </c>
      <c r="L1551" s="17">
        <v>90</v>
      </c>
      <c r="M1551" s="17">
        <v>30800</v>
      </c>
      <c r="N1551" s="17">
        <f t="shared" si="218"/>
        <v>43110</v>
      </c>
      <c r="O1551" s="17">
        <f t="shared" si="219"/>
        <v>12310</v>
      </c>
      <c r="P1551" s="10">
        <f t="shared" si="220"/>
        <v>0.97843137254901957</v>
      </c>
      <c r="Q1551" s="10">
        <f t="shared" si="221"/>
        <v>4.0080160320641281E-2</v>
      </c>
      <c r="R1551" s="10">
        <f t="shared" si="222"/>
        <v>0.28554859661331478</v>
      </c>
      <c r="S1551" s="18">
        <f t="shared" si="223"/>
        <v>64.300626304801668</v>
      </c>
      <c r="T1551" s="8">
        <f>480-ProductionData[[#This Row],[Downtime Minutes]]</f>
        <v>451</v>
      </c>
      <c r="U1551" s="11">
        <f t="shared" si="224"/>
        <v>1.106430155210643</v>
      </c>
      <c r="V1551" s="18">
        <f>ProductionData[[#This Row],[Profit]]/ProductionData[[#This Row],[Good Units]]</f>
        <v>25.699373695198329</v>
      </c>
      <c r="W1551" s="11">
        <f>ProductionData[[#This Row],[Good Units]]/ProductionData[[#This Row],[Operating Minutes]]</f>
        <v>1.0620842572062084</v>
      </c>
    </row>
    <row r="1552" spans="1:23">
      <c r="A1552" s="7">
        <v>46376</v>
      </c>
      <c r="B1552" s="8" t="s">
        <v>33</v>
      </c>
      <c r="C1552" s="8" t="s">
        <v>20</v>
      </c>
      <c r="D1552" s="8" t="s">
        <v>25</v>
      </c>
      <c r="E1552" s="8" t="s">
        <v>22</v>
      </c>
      <c r="F1552" s="9">
        <v>440</v>
      </c>
      <c r="G1552" s="9">
        <v>392</v>
      </c>
      <c r="H1552" s="9">
        <v>20</v>
      </c>
      <c r="I1552" s="9">
        <f t="shared" si="216"/>
        <v>372</v>
      </c>
      <c r="J1552" s="9">
        <v>36</v>
      </c>
      <c r="K1552" s="10">
        <f t="shared" si="217"/>
        <v>7.4999999999999997E-2</v>
      </c>
      <c r="L1552" s="17">
        <v>100</v>
      </c>
      <c r="M1552" s="17">
        <v>30800</v>
      </c>
      <c r="N1552" s="17">
        <f t="shared" si="218"/>
        <v>37200</v>
      </c>
      <c r="O1552" s="17">
        <f t="shared" si="219"/>
        <v>6400</v>
      </c>
      <c r="P1552" s="10">
        <f t="shared" si="220"/>
        <v>0.89090909090909087</v>
      </c>
      <c r="Q1552" s="10">
        <f t="shared" si="221"/>
        <v>5.1020408163265307E-2</v>
      </c>
      <c r="R1552" s="10">
        <f t="shared" si="222"/>
        <v>0.17204301075268819</v>
      </c>
      <c r="S1552" s="18">
        <f t="shared" si="223"/>
        <v>82.795698924731184</v>
      </c>
      <c r="T1552" s="8">
        <f>480-ProductionData[[#This Row],[Downtime Minutes]]</f>
        <v>444</v>
      </c>
      <c r="U1552" s="11">
        <f t="shared" si="224"/>
        <v>0.88288288288288286</v>
      </c>
      <c r="V1552" s="18">
        <f>ProductionData[[#This Row],[Profit]]/ProductionData[[#This Row],[Good Units]]</f>
        <v>17.204301075268816</v>
      </c>
      <c r="W1552" s="11">
        <f>ProductionData[[#This Row],[Good Units]]/ProductionData[[#This Row],[Operating Minutes]]</f>
        <v>0.83783783783783783</v>
      </c>
    </row>
    <row r="1553" spans="1:23">
      <c r="A1553" s="7">
        <v>46376</v>
      </c>
      <c r="B1553" s="8" t="s">
        <v>33</v>
      </c>
      <c r="C1553" s="8" t="s">
        <v>27</v>
      </c>
      <c r="D1553" s="8" t="s">
        <v>21</v>
      </c>
      <c r="E1553" s="8" t="s">
        <v>26</v>
      </c>
      <c r="F1553" s="9">
        <v>510</v>
      </c>
      <c r="G1553" s="9">
        <v>455</v>
      </c>
      <c r="H1553" s="9">
        <v>24</v>
      </c>
      <c r="I1553" s="9">
        <f t="shared" si="216"/>
        <v>431</v>
      </c>
      <c r="J1553" s="9">
        <v>51</v>
      </c>
      <c r="K1553" s="10">
        <f t="shared" si="217"/>
        <v>0.10625</v>
      </c>
      <c r="L1553" s="17">
        <v>90</v>
      </c>
      <c r="M1553" s="17">
        <v>30800</v>
      </c>
      <c r="N1553" s="17">
        <f t="shared" si="218"/>
        <v>38790</v>
      </c>
      <c r="O1553" s="17">
        <f t="shared" si="219"/>
        <v>7990</v>
      </c>
      <c r="P1553" s="10">
        <f t="shared" si="220"/>
        <v>0.89215686274509809</v>
      </c>
      <c r="Q1553" s="10">
        <f t="shared" si="221"/>
        <v>5.2747252747252747E-2</v>
      </c>
      <c r="R1553" s="10">
        <f t="shared" si="222"/>
        <v>0.20598092291827791</v>
      </c>
      <c r="S1553" s="18">
        <f t="shared" si="223"/>
        <v>71.461716937354993</v>
      </c>
      <c r="T1553" s="8">
        <f>480-ProductionData[[#This Row],[Downtime Minutes]]</f>
        <v>429</v>
      </c>
      <c r="U1553" s="11">
        <f t="shared" si="224"/>
        <v>1.0606060606060606</v>
      </c>
      <c r="V1553" s="18">
        <f>ProductionData[[#This Row],[Profit]]/ProductionData[[#This Row],[Good Units]]</f>
        <v>18.538283062645011</v>
      </c>
      <c r="W1553" s="11">
        <f>ProductionData[[#This Row],[Good Units]]/ProductionData[[#This Row],[Operating Minutes]]</f>
        <v>1.0046620046620047</v>
      </c>
    </row>
    <row r="1554" spans="1:23">
      <c r="A1554" s="7">
        <v>46376</v>
      </c>
      <c r="B1554" s="8" t="s">
        <v>33</v>
      </c>
      <c r="C1554" s="8" t="s">
        <v>27</v>
      </c>
      <c r="D1554" s="8" t="s">
        <v>23</v>
      </c>
      <c r="E1554" s="8" t="s">
        <v>22</v>
      </c>
      <c r="F1554" s="9">
        <v>450</v>
      </c>
      <c r="G1554" s="9">
        <v>408</v>
      </c>
      <c r="H1554" s="9">
        <v>29</v>
      </c>
      <c r="I1554" s="9">
        <f t="shared" si="216"/>
        <v>379</v>
      </c>
      <c r="J1554" s="9">
        <v>54</v>
      </c>
      <c r="K1554" s="10">
        <f t="shared" si="217"/>
        <v>0.1125</v>
      </c>
      <c r="L1554" s="17">
        <v>100</v>
      </c>
      <c r="M1554" s="17">
        <v>30800</v>
      </c>
      <c r="N1554" s="17">
        <f t="shared" si="218"/>
        <v>37900</v>
      </c>
      <c r="O1554" s="17">
        <f t="shared" si="219"/>
        <v>7100</v>
      </c>
      <c r="P1554" s="10">
        <f t="shared" si="220"/>
        <v>0.90666666666666662</v>
      </c>
      <c r="Q1554" s="10">
        <f t="shared" si="221"/>
        <v>7.1078431372549017E-2</v>
      </c>
      <c r="R1554" s="10">
        <f t="shared" si="222"/>
        <v>0.18733509234828497</v>
      </c>
      <c r="S1554" s="18">
        <f t="shared" si="223"/>
        <v>81.266490765171497</v>
      </c>
      <c r="T1554" s="8">
        <f>480-ProductionData[[#This Row],[Downtime Minutes]]</f>
        <v>426</v>
      </c>
      <c r="U1554" s="11">
        <f t="shared" si="224"/>
        <v>0.95774647887323938</v>
      </c>
      <c r="V1554" s="18">
        <f>ProductionData[[#This Row],[Profit]]/ProductionData[[#This Row],[Good Units]]</f>
        <v>18.733509234828496</v>
      </c>
      <c r="W1554" s="11">
        <f>ProductionData[[#This Row],[Good Units]]/ProductionData[[#This Row],[Operating Minutes]]</f>
        <v>0.88967136150234738</v>
      </c>
    </row>
    <row r="1555" spans="1:23">
      <c r="A1555" s="7">
        <v>46376</v>
      </c>
      <c r="B1555" s="8" t="s">
        <v>33</v>
      </c>
      <c r="C1555" s="8" t="s">
        <v>27</v>
      </c>
      <c r="D1555" s="8" t="s">
        <v>25</v>
      </c>
      <c r="E1555" s="8" t="s">
        <v>24</v>
      </c>
      <c r="F1555" s="9">
        <v>390</v>
      </c>
      <c r="G1555" s="9">
        <v>338</v>
      </c>
      <c r="H1555" s="9">
        <v>20</v>
      </c>
      <c r="I1555" s="9">
        <f t="shared" si="216"/>
        <v>318</v>
      </c>
      <c r="J1555" s="9">
        <v>49</v>
      </c>
      <c r="K1555" s="10">
        <f t="shared" si="217"/>
        <v>0.10208333333333333</v>
      </c>
      <c r="L1555" s="17">
        <v>120</v>
      </c>
      <c r="M1555" s="17">
        <v>30800</v>
      </c>
      <c r="N1555" s="17">
        <f t="shared" si="218"/>
        <v>38160</v>
      </c>
      <c r="O1555" s="17">
        <f t="shared" si="219"/>
        <v>7360</v>
      </c>
      <c r="P1555" s="10">
        <f t="shared" si="220"/>
        <v>0.8666666666666667</v>
      </c>
      <c r="Q1555" s="10">
        <f t="shared" si="221"/>
        <v>5.9171597633136092E-2</v>
      </c>
      <c r="R1555" s="10">
        <f t="shared" si="222"/>
        <v>0.19287211740041929</v>
      </c>
      <c r="S1555" s="18">
        <f t="shared" si="223"/>
        <v>96.855345911949684</v>
      </c>
      <c r="T1555" s="8">
        <f>480-ProductionData[[#This Row],[Downtime Minutes]]</f>
        <v>431</v>
      </c>
      <c r="U1555" s="11">
        <f t="shared" si="224"/>
        <v>0.78422273781902552</v>
      </c>
      <c r="V1555" s="18">
        <f>ProductionData[[#This Row],[Profit]]/ProductionData[[#This Row],[Good Units]]</f>
        <v>23.144654088050313</v>
      </c>
      <c r="W1555" s="11">
        <f>ProductionData[[#This Row],[Good Units]]/ProductionData[[#This Row],[Operating Minutes]]</f>
        <v>0.73781902552204182</v>
      </c>
    </row>
    <row r="1556" spans="1:23">
      <c r="A1556" s="7">
        <v>46376</v>
      </c>
      <c r="B1556" s="8" t="s">
        <v>33</v>
      </c>
      <c r="C1556" s="8" t="s">
        <v>28</v>
      </c>
      <c r="D1556" s="8" t="s">
        <v>21</v>
      </c>
      <c r="E1556" s="8" t="s">
        <v>22</v>
      </c>
      <c r="F1556" s="9">
        <v>440</v>
      </c>
      <c r="G1556" s="9">
        <v>422</v>
      </c>
      <c r="H1556" s="9">
        <v>17</v>
      </c>
      <c r="I1556" s="9">
        <f t="shared" si="216"/>
        <v>405</v>
      </c>
      <c r="J1556" s="9">
        <v>30</v>
      </c>
      <c r="K1556" s="10">
        <f t="shared" si="217"/>
        <v>6.25E-2</v>
      </c>
      <c r="L1556" s="17">
        <v>100</v>
      </c>
      <c r="M1556" s="17">
        <v>30800</v>
      </c>
      <c r="N1556" s="17">
        <f t="shared" si="218"/>
        <v>40500</v>
      </c>
      <c r="O1556" s="17">
        <f t="shared" si="219"/>
        <v>9700</v>
      </c>
      <c r="P1556" s="10">
        <f t="shared" si="220"/>
        <v>0.95909090909090911</v>
      </c>
      <c r="Q1556" s="10">
        <f t="shared" si="221"/>
        <v>4.0284360189573459E-2</v>
      </c>
      <c r="R1556" s="10">
        <f t="shared" si="222"/>
        <v>0.23950617283950618</v>
      </c>
      <c r="S1556" s="18">
        <f t="shared" si="223"/>
        <v>76.049382716049379</v>
      </c>
      <c r="T1556" s="8">
        <f>480-ProductionData[[#This Row],[Downtime Minutes]]</f>
        <v>450</v>
      </c>
      <c r="U1556" s="11">
        <f t="shared" si="224"/>
        <v>0.93777777777777782</v>
      </c>
      <c r="V1556" s="18">
        <f>ProductionData[[#This Row],[Profit]]/ProductionData[[#This Row],[Good Units]]</f>
        <v>23.950617283950617</v>
      </c>
      <c r="W1556" s="11">
        <f>ProductionData[[#This Row],[Good Units]]/ProductionData[[#This Row],[Operating Minutes]]</f>
        <v>0.9</v>
      </c>
    </row>
    <row r="1557" spans="1:23">
      <c r="A1557" s="7">
        <v>46376</v>
      </c>
      <c r="B1557" s="8" t="s">
        <v>33</v>
      </c>
      <c r="C1557" s="8" t="s">
        <v>28</v>
      </c>
      <c r="D1557" s="8" t="s">
        <v>23</v>
      </c>
      <c r="E1557" s="8" t="s">
        <v>24</v>
      </c>
      <c r="F1557" s="9">
        <v>380</v>
      </c>
      <c r="G1557" s="9">
        <v>367</v>
      </c>
      <c r="H1557" s="9">
        <v>8</v>
      </c>
      <c r="I1557" s="9">
        <f t="shared" si="216"/>
        <v>359</v>
      </c>
      <c r="J1557" s="9">
        <v>26</v>
      </c>
      <c r="K1557" s="10">
        <f t="shared" si="217"/>
        <v>5.4166666666666669E-2</v>
      </c>
      <c r="L1557" s="17">
        <v>120</v>
      </c>
      <c r="M1557" s="17">
        <v>30800</v>
      </c>
      <c r="N1557" s="17">
        <f t="shared" si="218"/>
        <v>43080</v>
      </c>
      <c r="O1557" s="17">
        <f t="shared" si="219"/>
        <v>12280</v>
      </c>
      <c r="P1557" s="10">
        <f t="shared" si="220"/>
        <v>0.96578947368421053</v>
      </c>
      <c r="Q1557" s="10">
        <f t="shared" si="221"/>
        <v>2.1798365122615803E-2</v>
      </c>
      <c r="R1557" s="10">
        <f t="shared" si="222"/>
        <v>0.2850510677808728</v>
      </c>
      <c r="S1557" s="18">
        <f t="shared" si="223"/>
        <v>85.793871866295262</v>
      </c>
      <c r="T1557" s="8">
        <f>480-ProductionData[[#This Row],[Downtime Minutes]]</f>
        <v>454</v>
      </c>
      <c r="U1557" s="11">
        <f t="shared" si="224"/>
        <v>0.80837004405286339</v>
      </c>
      <c r="V1557" s="18">
        <f>ProductionData[[#This Row],[Profit]]/ProductionData[[#This Row],[Good Units]]</f>
        <v>34.206128133704738</v>
      </c>
      <c r="W1557" s="11">
        <f>ProductionData[[#This Row],[Good Units]]/ProductionData[[#This Row],[Operating Minutes]]</f>
        <v>0.79074889867841414</v>
      </c>
    </row>
    <row r="1558" spans="1:23">
      <c r="A1558" s="7">
        <v>46376</v>
      </c>
      <c r="B1558" s="8" t="s">
        <v>33</v>
      </c>
      <c r="C1558" s="8" t="s">
        <v>28</v>
      </c>
      <c r="D1558" s="8" t="s">
        <v>25</v>
      </c>
      <c r="E1558" s="8" t="s">
        <v>26</v>
      </c>
      <c r="F1558" s="9">
        <v>510</v>
      </c>
      <c r="G1558" s="9">
        <v>476</v>
      </c>
      <c r="H1558" s="9">
        <v>17</v>
      </c>
      <c r="I1558" s="9">
        <f t="shared" si="216"/>
        <v>459</v>
      </c>
      <c r="J1558" s="9">
        <v>21</v>
      </c>
      <c r="K1558" s="10">
        <f t="shared" si="217"/>
        <v>4.3749999999999997E-2</v>
      </c>
      <c r="L1558" s="17">
        <v>90</v>
      </c>
      <c r="M1558" s="17">
        <v>30800</v>
      </c>
      <c r="N1558" s="17">
        <f t="shared" si="218"/>
        <v>41310</v>
      </c>
      <c r="O1558" s="17">
        <f t="shared" si="219"/>
        <v>10510</v>
      </c>
      <c r="P1558" s="10">
        <f t="shared" si="220"/>
        <v>0.93333333333333335</v>
      </c>
      <c r="Q1558" s="10">
        <f t="shared" si="221"/>
        <v>3.5714285714285712E-2</v>
      </c>
      <c r="R1558" s="10">
        <f t="shared" si="222"/>
        <v>0.25441781650931977</v>
      </c>
      <c r="S1558" s="18">
        <f t="shared" si="223"/>
        <v>67.102396514161214</v>
      </c>
      <c r="T1558" s="8">
        <f>480-ProductionData[[#This Row],[Downtime Minutes]]</f>
        <v>459</v>
      </c>
      <c r="U1558" s="11">
        <f t="shared" si="224"/>
        <v>1.037037037037037</v>
      </c>
      <c r="V1558" s="18">
        <f>ProductionData[[#This Row],[Profit]]/ProductionData[[#This Row],[Good Units]]</f>
        <v>22.897603485838779</v>
      </c>
      <c r="W1558" s="11">
        <f>ProductionData[[#This Row],[Good Units]]/ProductionData[[#This Row],[Operating Minutes]]</f>
        <v>1</v>
      </c>
    </row>
    <row r="1559" spans="1:23">
      <c r="A1559" s="7">
        <v>46377</v>
      </c>
      <c r="B1559" s="8" t="s">
        <v>33</v>
      </c>
      <c r="C1559" s="8" t="s">
        <v>20</v>
      </c>
      <c r="D1559" s="8" t="s">
        <v>21</v>
      </c>
      <c r="E1559" s="8" t="s">
        <v>26</v>
      </c>
      <c r="F1559" s="9">
        <v>510</v>
      </c>
      <c r="G1559" s="9">
        <v>487</v>
      </c>
      <c r="H1559" s="9">
        <v>15</v>
      </c>
      <c r="I1559" s="9">
        <f t="shared" si="216"/>
        <v>472</v>
      </c>
      <c r="J1559" s="9">
        <v>28</v>
      </c>
      <c r="K1559" s="10">
        <f t="shared" si="217"/>
        <v>5.8333333333333334E-2</v>
      </c>
      <c r="L1559" s="17">
        <v>90</v>
      </c>
      <c r="M1559" s="17">
        <v>30800</v>
      </c>
      <c r="N1559" s="17">
        <f t="shared" si="218"/>
        <v>42480</v>
      </c>
      <c r="O1559" s="17">
        <f t="shared" si="219"/>
        <v>11680</v>
      </c>
      <c r="P1559" s="10">
        <f t="shared" si="220"/>
        <v>0.95490196078431377</v>
      </c>
      <c r="Q1559" s="10">
        <f t="shared" si="221"/>
        <v>3.0800821355236138E-2</v>
      </c>
      <c r="R1559" s="10">
        <f t="shared" si="222"/>
        <v>0.27495291902071561</v>
      </c>
      <c r="S1559" s="18">
        <f t="shared" si="223"/>
        <v>65.254237288135599</v>
      </c>
      <c r="T1559" s="8">
        <f>480-ProductionData[[#This Row],[Downtime Minutes]]</f>
        <v>452</v>
      </c>
      <c r="U1559" s="11">
        <f t="shared" si="224"/>
        <v>1.0774336283185841</v>
      </c>
      <c r="V1559" s="18">
        <f>ProductionData[[#This Row],[Profit]]/ProductionData[[#This Row],[Good Units]]</f>
        <v>24.745762711864408</v>
      </c>
      <c r="W1559" s="11">
        <f>ProductionData[[#This Row],[Good Units]]/ProductionData[[#This Row],[Operating Minutes]]</f>
        <v>1.0442477876106195</v>
      </c>
    </row>
    <row r="1560" spans="1:23">
      <c r="A1560" s="7">
        <v>46377</v>
      </c>
      <c r="B1560" s="8" t="s">
        <v>33</v>
      </c>
      <c r="C1560" s="8" t="s">
        <v>20</v>
      </c>
      <c r="D1560" s="8" t="s">
        <v>23</v>
      </c>
      <c r="E1560" s="8" t="s">
        <v>22</v>
      </c>
      <c r="F1560" s="9">
        <v>450</v>
      </c>
      <c r="G1560" s="9">
        <v>429</v>
      </c>
      <c r="H1560" s="9">
        <v>20</v>
      </c>
      <c r="I1560" s="9">
        <f t="shared" si="216"/>
        <v>409</v>
      </c>
      <c r="J1560" s="9">
        <v>45</v>
      </c>
      <c r="K1560" s="10">
        <f t="shared" si="217"/>
        <v>9.375E-2</v>
      </c>
      <c r="L1560" s="17">
        <v>100</v>
      </c>
      <c r="M1560" s="17">
        <v>30800</v>
      </c>
      <c r="N1560" s="17">
        <f t="shared" si="218"/>
        <v>40900</v>
      </c>
      <c r="O1560" s="17">
        <f t="shared" si="219"/>
        <v>10100</v>
      </c>
      <c r="P1560" s="10">
        <f t="shared" si="220"/>
        <v>0.95333333333333337</v>
      </c>
      <c r="Q1560" s="10">
        <f t="shared" si="221"/>
        <v>4.6620046620046623E-2</v>
      </c>
      <c r="R1560" s="10">
        <f t="shared" si="222"/>
        <v>0.24694376528117359</v>
      </c>
      <c r="S1560" s="18">
        <f t="shared" si="223"/>
        <v>75.30562347188264</v>
      </c>
      <c r="T1560" s="8">
        <f>480-ProductionData[[#This Row],[Downtime Minutes]]</f>
        <v>435</v>
      </c>
      <c r="U1560" s="11">
        <f t="shared" si="224"/>
        <v>0.98620689655172411</v>
      </c>
      <c r="V1560" s="18">
        <f>ProductionData[[#This Row],[Profit]]/ProductionData[[#This Row],[Good Units]]</f>
        <v>24.69437652811736</v>
      </c>
      <c r="W1560" s="11">
        <f>ProductionData[[#This Row],[Good Units]]/ProductionData[[#This Row],[Operating Minutes]]</f>
        <v>0.94022988505747129</v>
      </c>
    </row>
    <row r="1561" spans="1:23">
      <c r="A1561" s="7">
        <v>46377</v>
      </c>
      <c r="B1561" s="8" t="s">
        <v>33</v>
      </c>
      <c r="C1561" s="8" t="s">
        <v>20</v>
      </c>
      <c r="D1561" s="8" t="s">
        <v>25</v>
      </c>
      <c r="E1561" s="8" t="s">
        <v>24</v>
      </c>
      <c r="F1561" s="9">
        <v>400</v>
      </c>
      <c r="G1561" s="9">
        <v>370</v>
      </c>
      <c r="H1561" s="9">
        <v>16</v>
      </c>
      <c r="I1561" s="9">
        <f t="shared" si="216"/>
        <v>354</v>
      </c>
      <c r="J1561" s="9">
        <v>52</v>
      </c>
      <c r="K1561" s="10">
        <f t="shared" si="217"/>
        <v>0.10833333333333334</v>
      </c>
      <c r="L1561" s="17">
        <v>120</v>
      </c>
      <c r="M1561" s="17">
        <v>30800</v>
      </c>
      <c r="N1561" s="17">
        <f t="shared" si="218"/>
        <v>42480</v>
      </c>
      <c r="O1561" s="17">
        <f t="shared" si="219"/>
        <v>11680</v>
      </c>
      <c r="P1561" s="10">
        <f t="shared" si="220"/>
        <v>0.92500000000000004</v>
      </c>
      <c r="Q1561" s="10">
        <f t="shared" si="221"/>
        <v>4.3243243243243246E-2</v>
      </c>
      <c r="R1561" s="10">
        <f t="shared" si="222"/>
        <v>0.27495291902071561</v>
      </c>
      <c r="S1561" s="18">
        <f t="shared" si="223"/>
        <v>87.005649717514117</v>
      </c>
      <c r="T1561" s="8">
        <f>480-ProductionData[[#This Row],[Downtime Minutes]]</f>
        <v>428</v>
      </c>
      <c r="U1561" s="11">
        <f t="shared" si="224"/>
        <v>0.86448598130841126</v>
      </c>
      <c r="V1561" s="18">
        <f>ProductionData[[#This Row],[Profit]]/ProductionData[[#This Row],[Good Units]]</f>
        <v>32.994350282485875</v>
      </c>
      <c r="W1561" s="11">
        <f>ProductionData[[#This Row],[Good Units]]/ProductionData[[#This Row],[Operating Minutes]]</f>
        <v>0.82710280373831779</v>
      </c>
    </row>
    <row r="1562" spans="1:23">
      <c r="A1562" s="7">
        <v>46377</v>
      </c>
      <c r="B1562" s="8" t="s">
        <v>33</v>
      </c>
      <c r="C1562" s="8" t="s">
        <v>27</v>
      </c>
      <c r="D1562" s="8" t="s">
        <v>21</v>
      </c>
      <c r="E1562" s="8" t="s">
        <v>22</v>
      </c>
      <c r="F1562" s="9">
        <v>440</v>
      </c>
      <c r="G1562" s="9">
        <v>389</v>
      </c>
      <c r="H1562" s="9">
        <v>21</v>
      </c>
      <c r="I1562" s="9">
        <f t="shared" si="216"/>
        <v>368</v>
      </c>
      <c r="J1562" s="9">
        <v>59</v>
      </c>
      <c r="K1562" s="10">
        <f t="shared" si="217"/>
        <v>0.12291666666666666</v>
      </c>
      <c r="L1562" s="17">
        <v>100</v>
      </c>
      <c r="M1562" s="17">
        <v>30800</v>
      </c>
      <c r="N1562" s="17">
        <f t="shared" si="218"/>
        <v>36800</v>
      </c>
      <c r="O1562" s="17">
        <f t="shared" si="219"/>
        <v>6000</v>
      </c>
      <c r="P1562" s="10">
        <f t="shared" si="220"/>
        <v>0.88409090909090904</v>
      </c>
      <c r="Q1562" s="10">
        <f t="shared" si="221"/>
        <v>5.3984575835475578E-2</v>
      </c>
      <c r="R1562" s="10">
        <f t="shared" si="222"/>
        <v>0.16304347826086957</v>
      </c>
      <c r="S1562" s="18">
        <f t="shared" si="223"/>
        <v>83.695652173913047</v>
      </c>
      <c r="T1562" s="8">
        <f>480-ProductionData[[#This Row],[Downtime Minutes]]</f>
        <v>421</v>
      </c>
      <c r="U1562" s="11">
        <f t="shared" si="224"/>
        <v>0.92399049881235151</v>
      </c>
      <c r="V1562" s="18">
        <f>ProductionData[[#This Row],[Profit]]/ProductionData[[#This Row],[Good Units]]</f>
        <v>16.304347826086957</v>
      </c>
      <c r="W1562" s="11">
        <f>ProductionData[[#This Row],[Good Units]]/ProductionData[[#This Row],[Operating Minutes]]</f>
        <v>0.87410926365795727</v>
      </c>
    </row>
    <row r="1563" spans="1:23">
      <c r="A1563" s="7">
        <v>46377</v>
      </c>
      <c r="B1563" s="8" t="s">
        <v>33</v>
      </c>
      <c r="C1563" s="8" t="s">
        <v>27</v>
      </c>
      <c r="D1563" s="8" t="s">
        <v>23</v>
      </c>
      <c r="E1563" s="8" t="s">
        <v>24</v>
      </c>
      <c r="F1563" s="9">
        <v>400</v>
      </c>
      <c r="G1563" s="9">
        <v>354</v>
      </c>
      <c r="H1563" s="9">
        <v>19</v>
      </c>
      <c r="I1563" s="9">
        <f t="shared" si="216"/>
        <v>335</v>
      </c>
      <c r="J1563" s="9">
        <v>58</v>
      </c>
      <c r="K1563" s="10">
        <f t="shared" si="217"/>
        <v>0.12083333333333333</v>
      </c>
      <c r="L1563" s="17">
        <v>120</v>
      </c>
      <c r="M1563" s="17">
        <v>30800</v>
      </c>
      <c r="N1563" s="17">
        <f t="shared" si="218"/>
        <v>40200</v>
      </c>
      <c r="O1563" s="17">
        <f t="shared" si="219"/>
        <v>9400</v>
      </c>
      <c r="P1563" s="10">
        <f t="shared" si="220"/>
        <v>0.88500000000000001</v>
      </c>
      <c r="Q1563" s="10">
        <f t="shared" si="221"/>
        <v>5.3672316384180789E-2</v>
      </c>
      <c r="R1563" s="10">
        <f t="shared" si="222"/>
        <v>0.23383084577114427</v>
      </c>
      <c r="S1563" s="18">
        <f t="shared" si="223"/>
        <v>91.940298507462686</v>
      </c>
      <c r="T1563" s="8">
        <f>480-ProductionData[[#This Row],[Downtime Minutes]]</f>
        <v>422</v>
      </c>
      <c r="U1563" s="11">
        <f t="shared" si="224"/>
        <v>0.83886255924170616</v>
      </c>
      <c r="V1563" s="18">
        <f>ProductionData[[#This Row],[Profit]]/ProductionData[[#This Row],[Good Units]]</f>
        <v>28.059701492537314</v>
      </c>
      <c r="W1563" s="11">
        <f>ProductionData[[#This Row],[Good Units]]/ProductionData[[#This Row],[Operating Minutes]]</f>
        <v>0.79383886255924174</v>
      </c>
    </row>
    <row r="1564" spans="1:23">
      <c r="A1564" s="7">
        <v>46377</v>
      </c>
      <c r="B1564" s="8" t="s">
        <v>33</v>
      </c>
      <c r="C1564" s="8" t="s">
        <v>27</v>
      </c>
      <c r="D1564" s="8" t="s">
        <v>25</v>
      </c>
      <c r="E1564" s="8" t="s">
        <v>26</v>
      </c>
      <c r="F1564" s="9">
        <v>500</v>
      </c>
      <c r="G1564" s="9">
        <v>448</v>
      </c>
      <c r="H1564" s="9">
        <v>27</v>
      </c>
      <c r="I1564" s="9">
        <f t="shared" si="216"/>
        <v>421</v>
      </c>
      <c r="J1564" s="9">
        <v>66</v>
      </c>
      <c r="K1564" s="10">
        <f t="shared" si="217"/>
        <v>0.13750000000000001</v>
      </c>
      <c r="L1564" s="17">
        <v>90</v>
      </c>
      <c r="M1564" s="17">
        <v>30800</v>
      </c>
      <c r="N1564" s="17">
        <f t="shared" si="218"/>
        <v>37890</v>
      </c>
      <c r="O1564" s="17">
        <f t="shared" si="219"/>
        <v>7090</v>
      </c>
      <c r="P1564" s="10">
        <f t="shared" si="220"/>
        <v>0.89600000000000002</v>
      </c>
      <c r="Q1564" s="10">
        <f t="shared" si="221"/>
        <v>6.0267857142857144E-2</v>
      </c>
      <c r="R1564" s="10">
        <f t="shared" si="222"/>
        <v>0.18712061229875956</v>
      </c>
      <c r="S1564" s="18">
        <f t="shared" si="223"/>
        <v>73.159144893111645</v>
      </c>
      <c r="T1564" s="8">
        <f>480-ProductionData[[#This Row],[Downtime Minutes]]</f>
        <v>414</v>
      </c>
      <c r="U1564" s="11">
        <f t="shared" si="224"/>
        <v>1.0821256038647342</v>
      </c>
      <c r="V1564" s="18">
        <f>ProductionData[[#This Row],[Profit]]/ProductionData[[#This Row],[Good Units]]</f>
        <v>16.840855106888363</v>
      </c>
      <c r="W1564" s="11">
        <f>ProductionData[[#This Row],[Good Units]]/ProductionData[[#This Row],[Operating Minutes]]</f>
        <v>1.0169082125603865</v>
      </c>
    </row>
    <row r="1565" spans="1:23">
      <c r="A1565" s="7">
        <v>46377</v>
      </c>
      <c r="B1565" s="8" t="s">
        <v>33</v>
      </c>
      <c r="C1565" s="8" t="s">
        <v>28</v>
      </c>
      <c r="D1565" s="8" t="s">
        <v>21</v>
      </c>
      <c r="E1565" s="8" t="s">
        <v>24</v>
      </c>
      <c r="F1565" s="9">
        <v>380</v>
      </c>
      <c r="G1565" s="9">
        <v>367</v>
      </c>
      <c r="H1565" s="9">
        <v>6</v>
      </c>
      <c r="I1565" s="9">
        <f t="shared" si="216"/>
        <v>361</v>
      </c>
      <c r="J1565" s="9">
        <v>21</v>
      </c>
      <c r="K1565" s="10">
        <f t="shared" si="217"/>
        <v>4.3749999999999997E-2</v>
      </c>
      <c r="L1565" s="17">
        <v>120</v>
      </c>
      <c r="M1565" s="17">
        <v>30800</v>
      </c>
      <c r="N1565" s="17">
        <f t="shared" si="218"/>
        <v>43320</v>
      </c>
      <c r="O1565" s="17">
        <f t="shared" si="219"/>
        <v>12520</v>
      </c>
      <c r="P1565" s="10">
        <f t="shared" si="220"/>
        <v>0.96578947368421053</v>
      </c>
      <c r="Q1565" s="10">
        <f t="shared" si="221"/>
        <v>1.6348773841961851E-2</v>
      </c>
      <c r="R1565" s="10">
        <f t="shared" si="222"/>
        <v>0.28901200369344415</v>
      </c>
      <c r="S1565" s="18">
        <f t="shared" si="223"/>
        <v>85.31855955678671</v>
      </c>
      <c r="T1565" s="8">
        <f>480-ProductionData[[#This Row],[Downtime Minutes]]</f>
        <v>459</v>
      </c>
      <c r="U1565" s="11">
        <f t="shared" si="224"/>
        <v>0.79956427015250542</v>
      </c>
      <c r="V1565" s="18">
        <f>ProductionData[[#This Row],[Profit]]/ProductionData[[#This Row],[Good Units]]</f>
        <v>34.681440443213297</v>
      </c>
      <c r="W1565" s="11">
        <f>ProductionData[[#This Row],[Good Units]]/ProductionData[[#This Row],[Operating Minutes]]</f>
        <v>0.78649237472766886</v>
      </c>
    </row>
    <row r="1566" spans="1:23">
      <c r="A1566" s="7">
        <v>46377</v>
      </c>
      <c r="B1566" s="8" t="s">
        <v>33</v>
      </c>
      <c r="C1566" s="8" t="s">
        <v>28</v>
      </c>
      <c r="D1566" s="8" t="s">
        <v>23</v>
      </c>
      <c r="E1566" s="8" t="s">
        <v>26</v>
      </c>
      <c r="F1566" s="9">
        <v>490</v>
      </c>
      <c r="G1566" s="9">
        <v>467</v>
      </c>
      <c r="H1566" s="9">
        <v>18</v>
      </c>
      <c r="I1566" s="9">
        <f t="shared" si="216"/>
        <v>449</v>
      </c>
      <c r="J1566" s="9">
        <v>22</v>
      </c>
      <c r="K1566" s="10">
        <f t="shared" si="217"/>
        <v>4.583333333333333E-2</v>
      </c>
      <c r="L1566" s="17">
        <v>90</v>
      </c>
      <c r="M1566" s="17">
        <v>30800</v>
      </c>
      <c r="N1566" s="17">
        <f t="shared" si="218"/>
        <v>40410</v>
      </c>
      <c r="O1566" s="17">
        <f t="shared" si="219"/>
        <v>9610</v>
      </c>
      <c r="P1566" s="10">
        <f t="shared" si="220"/>
        <v>0.95306122448979591</v>
      </c>
      <c r="Q1566" s="10">
        <f t="shared" si="221"/>
        <v>3.8543897216274089E-2</v>
      </c>
      <c r="R1566" s="10">
        <f t="shared" si="222"/>
        <v>0.23781242266765651</v>
      </c>
      <c r="S1566" s="18">
        <f t="shared" si="223"/>
        <v>68.596881959910917</v>
      </c>
      <c r="T1566" s="8">
        <f>480-ProductionData[[#This Row],[Downtime Minutes]]</f>
        <v>458</v>
      </c>
      <c r="U1566" s="11">
        <f t="shared" si="224"/>
        <v>1.0196506550218341</v>
      </c>
      <c r="V1566" s="18">
        <f>ProductionData[[#This Row],[Profit]]/ProductionData[[#This Row],[Good Units]]</f>
        <v>21.403118040089087</v>
      </c>
      <c r="W1566" s="11">
        <f>ProductionData[[#This Row],[Good Units]]/ProductionData[[#This Row],[Operating Minutes]]</f>
        <v>0.98034934497816595</v>
      </c>
    </row>
    <row r="1567" spans="1:23">
      <c r="A1567" s="7">
        <v>46377</v>
      </c>
      <c r="B1567" s="8" t="s">
        <v>33</v>
      </c>
      <c r="C1567" s="8" t="s">
        <v>28</v>
      </c>
      <c r="D1567" s="8" t="s">
        <v>25</v>
      </c>
      <c r="E1567" s="8" t="s">
        <v>22</v>
      </c>
      <c r="F1567" s="9">
        <v>460</v>
      </c>
      <c r="G1567" s="9">
        <v>438</v>
      </c>
      <c r="H1567" s="9">
        <v>22</v>
      </c>
      <c r="I1567" s="9">
        <f t="shared" si="216"/>
        <v>416</v>
      </c>
      <c r="J1567" s="9">
        <v>37</v>
      </c>
      <c r="K1567" s="10">
        <f t="shared" si="217"/>
        <v>7.7083333333333337E-2</v>
      </c>
      <c r="L1567" s="17">
        <v>100</v>
      </c>
      <c r="M1567" s="17">
        <v>30800</v>
      </c>
      <c r="N1567" s="17">
        <f t="shared" si="218"/>
        <v>41600</v>
      </c>
      <c r="O1567" s="17">
        <f t="shared" si="219"/>
        <v>10800</v>
      </c>
      <c r="P1567" s="10">
        <f t="shared" si="220"/>
        <v>0.95217391304347831</v>
      </c>
      <c r="Q1567" s="10">
        <f t="shared" si="221"/>
        <v>5.0228310502283102E-2</v>
      </c>
      <c r="R1567" s="10">
        <f t="shared" si="222"/>
        <v>0.25961538461538464</v>
      </c>
      <c r="S1567" s="18">
        <f t="shared" si="223"/>
        <v>74.038461538461533</v>
      </c>
      <c r="T1567" s="8">
        <f>480-ProductionData[[#This Row],[Downtime Minutes]]</f>
        <v>443</v>
      </c>
      <c r="U1567" s="11">
        <f t="shared" si="224"/>
        <v>0.98871331828442433</v>
      </c>
      <c r="V1567" s="18">
        <f>ProductionData[[#This Row],[Profit]]/ProductionData[[#This Row],[Good Units]]</f>
        <v>25.96153846153846</v>
      </c>
      <c r="W1567" s="11">
        <f>ProductionData[[#This Row],[Good Units]]/ProductionData[[#This Row],[Operating Minutes]]</f>
        <v>0.93905191873589167</v>
      </c>
    </row>
    <row r="1568" spans="1:23">
      <c r="A1568" s="7">
        <v>46378</v>
      </c>
      <c r="B1568" s="8" t="s">
        <v>33</v>
      </c>
      <c r="C1568" s="8" t="s">
        <v>20</v>
      </c>
      <c r="D1568" s="8" t="s">
        <v>21</v>
      </c>
      <c r="E1568" s="8" t="s">
        <v>22</v>
      </c>
      <c r="F1568" s="9">
        <v>470</v>
      </c>
      <c r="G1568" s="9">
        <v>460</v>
      </c>
      <c r="H1568" s="9">
        <v>22</v>
      </c>
      <c r="I1568" s="9">
        <f t="shared" si="216"/>
        <v>438</v>
      </c>
      <c r="J1568" s="9">
        <v>46</v>
      </c>
      <c r="K1568" s="10">
        <f t="shared" si="217"/>
        <v>9.583333333333334E-2</v>
      </c>
      <c r="L1568" s="17">
        <v>100</v>
      </c>
      <c r="M1568" s="17">
        <v>30800</v>
      </c>
      <c r="N1568" s="17">
        <f t="shared" si="218"/>
        <v>43800</v>
      </c>
      <c r="O1568" s="17">
        <f t="shared" si="219"/>
        <v>13000</v>
      </c>
      <c r="P1568" s="10">
        <f t="shared" si="220"/>
        <v>0.97872340425531912</v>
      </c>
      <c r="Q1568" s="10">
        <f t="shared" si="221"/>
        <v>4.7826086956521741E-2</v>
      </c>
      <c r="R1568" s="10">
        <f t="shared" si="222"/>
        <v>0.29680365296803651</v>
      </c>
      <c r="S1568" s="18">
        <f t="shared" si="223"/>
        <v>70.319634703196343</v>
      </c>
      <c r="T1568" s="8">
        <f>480-ProductionData[[#This Row],[Downtime Minutes]]</f>
        <v>434</v>
      </c>
      <c r="U1568" s="11">
        <f t="shared" si="224"/>
        <v>1.0599078341013826</v>
      </c>
      <c r="V1568" s="18">
        <f>ProductionData[[#This Row],[Profit]]/ProductionData[[#This Row],[Good Units]]</f>
        <v>29.680365296803654</v>
      </c>
      <c r="W1568" s="11">
        <f>ProductionData[[#This Row],[Good Units]]/ProductionData[[#This Row],[Operating Minutes]]</f>
        <v>1.0092165898617511</v>
      </c>
    </row>
    <row r="1569" spans="1:23">
      <c r="A1569" s="7">
        <v>46378</v>
      </c>
      <c r="B1569" s="8" t="s">
        <v>33</v>
      </c>
      <c r="C1569" s="8" t="s">
        <v>20</v>
      </c>
      <c r="D1569" s="8" t="s">
        <v>23</v>
      </c>
      <c r="E1569" s="8" t="s">
        <v>24</v>
      </c>
      <c r="F1569" s="9">
        <v>410</v>
      </c>
      <c r="G1569" s="9">
        <v>396</v>
      </c>
      <c r="H1569" s="9">
        <v>15</v>
      </c>
      <c r="I1569" s="9">
        <f t="shared" si="216"/>
        <v>381</v>
      </c>
      <c r="J1569" s="9">
        <v>44</v>
      </c>
      <c r="K1569" s="10">
        <f t="shared" si="217"/>
        <v>9.166666666666666E-2</v>
      </c>
      <c r="L1569" s="17">
        <v>120</v>
      </c>
      <c r="M1569" s="17">
        <v>30800</v>
      </c>
      <c r="N1569" s="17">
        <f t="shared" si="218"/>
        <v>45720</v>
      </c>
      <c r="O1569" s="17">
        <f t="shared" si="219"/>
        <v>14920</v>
      </c>
      <c r="P1569" s="10">
        <f t="shared" si="220"/>
        <v>0.96585365853658534</v>
      </c>
      <c r="Q1569" s="10">
        <f t="shared" si="221"/>
        <v>3.787878787878788E-2</v>
      </c>
      <c r="R1569" s="10">
        <f t="shared" si="222"/>
        <v>0.32633420822397202</v>
      </c>
      <c r="S1569" s="18">
        <f t="shared" si="223"/>
        <v>80.839895013123353</v>
      </c>
      <c r="T1569" s="8">
        <f>480-ProductionData[[#This Row],[Downtime Minutes]]</f>
        <v>436</v>
      </c>
      <c r="U1569" s="11">
        <f t="shared" si="224"/>
        <v>0.90825688073394495</v>
      </c>
      <c r="V1569" s="18">
        <f>ProductionData[[#This Row],[Profit]]/ProductionData[[#This Row],[Good Units]]</f>
        <v>39.16010498687664</v>
      </c>
      <c r="W1569" s="11">
        <f>ProductionData[[#This Row],[Good Units]]/ProductionData[[#This Row],[Operating Minutes]]</f>
        <v>0.87385321100917435</v>
      </c>
    </row>
    <row r="1570" spans="1:23">
      <c r="A1570" s="7">
        <v>46378</v>
      </c>
      <c r="B1570" s="8" t="s">
        <v>33</v>
      </c>
      <c r="C1570" s="8" t="s">
        <v>20</v>
      </c>
      <c r="D1570" s="8" t="s">
        <v>25</v>
      </c>
      <c r="E1570" s="8" t="s">
        <v>26</v>
      </c>
      <c r="F1570" s="9">
        <v>490</v>
      </c>
      <c r="G1570" s="9">
        <v>458</v>
      </c>
      <c r="H1570" s="9">
        <v>22</v>
      </c>
      <c r="I1570" s="9">
        <f t="shared" si="216"/>
        <v>436</v>
      </c>
      <c r="J1570" s="9">
        <v>30</v>
      </c>
      <c r="K1570" s="10">
        <f t="shared" si="217"/>
        <v>6.25E-2</v>
      </c>
      <c r="L1570" s="17">
        <v>90</v>
      </c>
      <c r="M1570" s="17">
        <v>30800</v>
      </c>
      <c r="N1570" s="17">
        <f t="shared" si="218"/>
        <v>39240</v>
      </c>
      <c r="O1570" s="17">
        <f t="shared" si="219"/>
        <v>8440</v>
      </c>
      <c r="P1570" s="10">
        <f t="shared" si="220"/>
        <v>0.9346938775510204</v>
      </c>
      <c r="Q1570" s="10">
        <f t="shared" si="221"/>
        <v>4.8034934497816595E-2</v>
      </c>
      <c r="R1570" s="10">
        <f t="shared" si="222"/>
        <v>0.21508664627930682</v>
      </c>
      <c r="S1570" s="18">
        <f t="shared" si="223"/>
        <v>70.642201834862391</v>
      </c>
      <c r="T1570" s="8">
        <f>480-ProductionData[[#This Row],[Downtime Minutes]]</f>
        <v>450</v>
      </c>
      <c r="U1570" s="11">
        <f t="shared" si="224"/>
        <v>1.0177777777777777</v>
      </c>
      <c r="V1570" s="18">
        <f>ProductionData[[#This Row],[Profit]]/ProductionData[[#This Row],[Good Units]]</f>
        <v>19.357798165137616</v>
      </c>
      <c r="W1570" s="11">
        <f>ProductionData[[#This Row],[Good Units]]/ProductionData[[#This Row],[Operating Minutes]]</f>
        <v>0.96888888888888891</v>
      </c>
    </row>
    <row r="1571" spans="1:23">
      <c r="A1571" s="7">
        <v>46378</v>
      </c>
      <c r="B1571" s="8" t="s">
        <v>33</v>
      </c>
      <c r="C1571" s="8" t="s">
        <v>27</v>
      </c>
      <c r="D1571" s="8" t="s">
        <v>21</v>
      </c>
      <c r="E1571" s="8" t="s">
        <v>24</v>
      </c>
      <c r="F1571" s="9">
        <v>390</v>
      </c>
      <c r="G1571" s="9">
        <v>357</v>
      </c>
      <c r="H1571" s="9">
        <v>14</v>
      </c>
      <c r="I1571" s="9">
        <f t="shared" si="216"/>
        <v>343</v>
      </c>
      <c r="J1571" s="9">
        <v>49</v>
      </c>
      <c r="K1571" s="10">
        <f t="shared" si="217"/>
        <v>0.10208333333333333</v>
      </c>
      <c r="L1571" s="17">
        <v>120</v>
      </c>
      <c r="M1571" s="17">
        <v>30800</v>
      </c>
      <c r="N1571" s="17">
        <f t="shared" si="218"/>
        <v>41160</v>
      </c>
      <c r="O1571" s="17">
        <f t="shared" si="219"/>
        <v>10360</v>
      </c>
      <c r="P1571" s="10">
        <f t="shared" si="220"/>
        <v>0.91538461538461535</v>
      </c>
      <c r="Q1571" s="10">
        <f t="shared" si="221"/>
        <v>3.9215686274509803E-2</v>
      </c>
      <c r="R1571" s="10">
        <f t="shared" si="222"/>
        <v>0.25170068027210885</v>
      </c>
      <c r="S1571" s="18">
        <f t="shared" si="223"/>
        <v>89.795918367346943</v>
      </c>
      <c r="T1571" s="8">
        <f>480-ProductionData[[#This Row],[Downtime Minutes]]</f>
        <v>431</v>
      </c>
      <c r="U1571" s="11">
        <f t="shared" si="224"/>
        <v>0.82830626450116007</v>
      </c>
      <c r="V1571" s="18">
        <f>ProductionData[[#This Row],[Profit]]/ProductionData[[#This Row],[Good Units]]</f>
        <v>30.204081632653061</v>
      </c>
      <c r="W1571" s="11">
        <f>ProductionData[[#This Row],[Good Units]]/ProductionData[[#This Row],[Operating Minutes]]</f>
        <v>0.79582366589327147</v>
      </c>
    </row>
    <row r="1572" spans="1:23">
      <c r="A1572" s="7">
        <v>46378</v>
      </c>
      <c r="B1572" s="8" t="s">
        <v>33</v>
      </c>
      <c r="C1572" s="8" t="s">
        <v>27</v>
      </c>
      <c r="D1572" s="8" t="s">
        <v>23</v>
      </c>
      <c r="E1572" s="8" t="s">
        <v>26</v>
      </c>
      <c r="F1572" s="9">
        <v>490</v>
      </c>
      <c r="G1572" s="9">
        <v>432</v>
      </c>
      <c r="H1572" s="9">
        <v>21</v>
      </c>
      <c r="I1572" s="9">
        <f t="shared" si="216"/>
        <v>411</v>
      </c>
      <c r="J1572" s="9">
        <v>38</v>
      </c>
      <c r="K1572" s="10">
        <f t="shared" si="217"/>
        <v>7.9166666666666663E-2</v>
      </c>
      <c r="L1572" s="17">
        <v>90</v>
      </c>
      <c r="M1572" s="17">
        <v>30800</v>
      </c>
      <c r="N1572" s="17">
        <f t="shared" si="218"/>
        <v>36990</v>
      </c>
      <c r="O1572" s="17">
        <f t="shared" si="219"/>
        <v>6190</v>
      </c>
      <c r="P1572" s="10">
        <f t="shared" si="220"/>
        <v>0.88163265306122451</v>
      </c>
      <c r="Q1572" s="10">
        <f t="shared" si="221"/>
        <v>4.8611111111111112E-2</v>
      </c>
      <c r="R1572" s="10">
        <f t="shared" si="222"/>
        <v>0.16734252500675859</v>
      </c>
      <c r="S1572" s="18">
        <f t="shared" si="223"/>
        <v>74.93917274939173</v>
      </c>
      <c r="T1572" s="8">
        <f>480-ProductionData[[#This Row],[Downtime Minutes]]</f>
        <v>442</v>
      </c>
      <c r="U1572" s="11">
        <f t="shared" si="224"/>
        <v>0.9773755656108597</v>
      </c>
      <c r="V1572" s="18">
        <f>ProductionData[[#This Row],[Profit]]/ProductionData[[#This Row],[Good Units]]</f>
        <v>15.060827250608272</v>
      </c>
      <c r="W1572" s="11">
        <f>ProductionData[[#This Row],[Good Units]]/ProductionData[[#This Row],[Operating Minutes]]</f>
        <v>0.92986425339366519</v>
      </c>
    </row>
    <row r="1573" spans="1:23">
      <c r="A1573" s="7">
        <v>46378</v>
      </c>
      <c r="B1573" s="8" t="s">
        <v>33</v>
      </c>
      <c r="C1573" s="8" t="s">
        <v>27</v>
      </c>
      <c r="D1573" s="8" t="s">
        <v>25</v>
      </c>
      <c r="E1573" s="8" t="s">
        <v>22</v>
      </c>
      <c r="F1573" s="9">
        <v>460</v>
      </c>
      <c r="G1573" s="9">
        <v>396</v>
      </c>
      <c r="H1573" s="9">
        <v>28</v>
      </c>
      <c r="I1573" s="9">
        <f t="shared" si="216"/>
        <v>368</v>
      </c>
      <c r="J1573" s="9">
        <v>70</v>
      </c>
      <c r="K1573" s="10">
        <f t="shared" si="217"/>
        <v>0.14583333333333334</v>
      </c>
      <c r="L1573" s="17">
        <v>100</v>
      </c>
      <c r="M1573" s="17">
        <v>30800</v>
      </c>
      <c r="N1573" s="17">
        <f t="shared" si="218"/>
        <v>36800</v>
      </c>
      <c r="O1573" s="17">
        <f t="shared" si="219"/>
        <v>6000</v>
      </c>
      <c r="P1573" s="10">
        <f t="shared" si="220"/>
        <v>0.86086956521739133</v>
      </c>
      <c r="Q1573" s="10">
        <f t="shared" si="221"/>
        <v>7.0707070707070704E-2</v>
      </c>
      <c r="R1573" s="10">
        <f t="shared" si="222"/>
        <v>0.16304347826086957</v>
      </c>
      <c r="S1573" s="18">
        <f t="shared" si="223"/>
        <v>83.695652173913047</v>
      </c>
      <c r="T1573" s="8">
        <f>480-ProductionData[[#This Row],[Downtime Minutes]]</f>
        <v>410</v>
      </c>
      <c r="U1573" s="11">
        <f t="shared" si="224"/>
        <v>0.96585365853658534</v>
      </c>
      <c r="V1573" s="18">
        <f>ProductionData[[#This Row],[Profit]]/ProductionData[[#This Row],[Good Units]]</f>
        <v>16.304347826086957</v>
      </c>
      <c r="W1573" s="11">
        <f>ProductionData[[#This Row],[Good Units]]/ProductionData[[#This Row],[Operating Minutes]]</f>
        <v>0.89756097560975612</v>
      </c>
    </row>
    <row r="1574" spans="1:23">
      <c r="A1574" s="7">
        <v>46378</v>
      </c>
      <c r="B1574" s="8" t="s">
        <v>33</v>
      </c>
      <c r="C1574" s="8" t="s">
        <v>28</v>
      </c>
      <c r="D1574" s="8" t="s">
        <v>21</v>
      </c>
      <c r="E1574" s="8" t="s">
        <v>26</v>
      </c>
      <c r="F1574" s="9">
        <v>510</v>
      </c>
      <c r="G1574" s="9">
        <v>494</v>
      </c>
      <c r="H1574" s="9">
        <v>10</v>
      </c>
      <c r="I1574" s="9">
        <f t="shared" si="216"/>
        <v>484</v>
      </c>
      <c r="J1574" s="9">
        <v>12</v>
      </c>
      <c r="K1574" s="10">
        <f t="shared" si="217"/>
        <v>2.5000000000000001E-2</v>
      </c>
      <c r="L1574" s="17">
        <v>90</v>
      </c>
      <c r="M1574" s="17">
        <v>30800</v>
      </c>
      <c r="N1574" s="17">
        <f t="shared" si="218"/>
        <v>43560</v>
      </c>
      <c r="O1574" s="17">
        <f t="shared" si="219"/>
        <v>12760</v>
      </c>
      <c r="P1574" s="10">
        <f t="shared" si="220"/>
        <v>0.96862745098039216</v>
      </c>
      <c r="Q1574" s="10">
        <f t="shared" si="221"/>
        <v>2.0242914979757085E-2</v>
      </c>
      <c r="R1574" s="10">
        <f t="shared" si="222"/>
        <v>0.29292929292929293</v>
      </c>
      <c r="S1574" s="18">
        <f t="shared" si="223"/>
        <v>63.636363636363633</v>
      </c>
      <c r="T1574" s="8">
        <f>480-ProductionData[[#This Row],[Downtime Minutes]]</f>
        <v>468</v>
      </c>
      <c r="U1574" s="11">
        <f t="shared" si="224"/>
        <v>1.0555555555555556</v>
      </c>
      <c r="V1574" s="18">
        <f>ProductionData[[#This Row],[Profit]]/ProductionData[[#This Row],[Good Units]]</f>
        <v>26.363636363636363</v>
      </c>
      <c r="W1574" s="11">
        <f>ProductionData[[#This Row],[Good Units]]/ProductionData[[#This Row],[Operating Minutes]]</f>
        <v>1.0341880341880343</v>
      </c>
    </row>
    <row r="1575" spans="1:23">
      <c r="A1575" s="7">
        <v>46378</v>
      </c>
      <c r="B1575" s="8" t="s">
        <v>33</v>
      </c>
      <c r="C1575" s="8" t="s">
        <v>28</v>
      </c>
      <c r="D1575" s="8" t="s">
        <v>23</v>
      </c>
      <c r="E1575" s="8" t="s">
        <v>22</v>
      </c>
      <c r="F1575" s="9">
        <v>450</v>
      </c>
      <c r="G1575" s="9">
        <v>436</v>
      </c>
      <c r="H1575" s="9">
        <v>22</v>
      </c>
      <c r="I1575" s="9">
        <f t="shared" si="216"/>
        <v>414</v>
      </c>
      <c r="J1575" s="9">
        <v>33</v>
      </c>
      <c r="K1575" s="10">
        <f t="shared" si="217"/>
        <v>6.8750000000000006E-2</v>
      </c>
      <c r="L1575" s="17">
        <v>100</v>
      </c>
      <c r="M1575" s="17">
        <v>30800</v>
      </c>
      <c r="N1575" s="17">
        <f t="shared" si="218"/>
        <v>41400</v>
      </c>
      <c r="O1575" s="17">
        <f t="shared" si="219"/>
        <v>10600</v>
      </c>
      <c r="P1575" s="10">
        <f t="shared" si="220"/>
        <v>0.96888888888888891</v>
      </c>
      <c r="Q1575" s="10">
        <f t="shared" si="221"/>
        <v>5.0458715596330278E-2</v>
      </c>
      <c r="R1575" s="10">
        <f t="shared" si="222"/>
        <v>0.2560386473429952</v>
      </c>
      <c r="S1575" s="18">
        <f t="shared" si="223"/>
        <v>74.39613526570048</v>
      </c>
      <c r="T1575" s="8">
        <f>480-ProductionData[[#This Row],[Downtime Minutes]]</f>
        <v>447</v>
      </c>
      <c r="U1575" s="11">
        <f t="shared" si="224"/>
        <v>0.97539149888143173</v>
      </c>
      <c r="V1575" s="18">
        <f>ProductionData[[#This Row],[Profit]]/ProductionData[[#This Row],[Good Units]]</f>
        <v>25.603864734299517</v>
      </c>
      <c r="W1575" s="11">
        <f>ProductionData[[#This Row],[Good Units]]/ProductionData[[#This Row],[Operating Minutes]]</f>
        <v>0.9261744966442953</v>
      </c>
    </row>
    <row r="1576" spans="1:23">
      <c r="A1576" s="7">
        <v>46378</v>
      </c>
      <c r="B1576" s="8" t="s">
        <v>33</v>
      </c>
      <c r="C1576" s="8" t="s">
        <v>28</v>
      </c>
      <c r="D1576" s="8" t="s">
        <v>25</v>
      </c>
      <c r="E1576" s="8" t="s">
        <v>24</v>
      </c>
      <c r="F1576" s="9">
        <v>410</v>
      </c>
      <c r="G1576" s="9">
        <v>386</v>
      </c>
      <c r="H1576" s="9">
        <v>16</v>
      </c>
      <c r="I1576" s="9">
        <f t="shared" si="216"/>
        <v>370</v>
      </c>
      <c r="J1576" s="9">
        <v>45</v>
      </c>
      <c r="K1576" s="10">
        <f t="shared" si="217"/>
        <v>9.375E-2</v>
      </c>
      <c r="L1576" s="17">
        <v>120</v>
      </c>
      <c r="M1576" s="17">
        <v>30800</v>
      </c>
      <c r="N1576" s="17">
        <f t="shared" si="218"/>
        <v>44400</v>
      </c>
      <c r="O1576" s="17">
        <f t="shared" si="219"/>
        <v>13600</v>
      </c>
      <c r="P1576" s="10">
        <f t="shared" si="220"/>
        <v>0.94146341463414629</v>
      </c>
      <c r="Q1576" s="10">
        <f t="shared" si="221"/>
        <v>4.145077720207254E-2</v>
      </c>
      <c r="R1576" s="10">
        <f t="shared" si="222"/>
        <v>0.30630630630630629</v>
      </c>
      <c r="S1576" s="18">
        <f t="shared" si="223"/>
        <v>83.243243243243242</v>
      </c>
      <c r="T1576" s="8">
        <f>480-ProductionData[[#This Row],[Downtime Minutes]]</f>
        <v>435</v>
      </c>
      <c r="U1576" s="11">
        <f t="shared" si="224"/>
        <v>0.88735632183908042</v>
      </c>
      <c r="V1576" s="18">
        <f>ProductionData[[#This Row],[Profit]]/ProductionData[[#This Row],[Good Units]]</f>
        <v>36.756756756756758</v>
      </c>
      <c r="W1576" s="11">
        <f>ProductionData[[#This Row],[Good Units]]/ProductionData[[#This Row],[Operating Minutes]]</f>
        <v>0.85057471264367812</v>
      </c>
    </row>
    <row r="1577" spans="1:23">
      <c r="A1577" s="7">
        <v>46379</v>
      </c>
      <c r="B1577" s="8" t="s">
        <v>33</v>
      </c>
      <c r="C1577" s="8" t="s">
        <v>20</v>
      </c>
      <c r="D1577" s="8" t="s">
        <v>21</v>
      </c>
      <c r="E1577" s="8" t="s">
        <v>24</v>
      </c>
      <c r="F1577" s="9">
        <v>400</v>
      </c>
      <c r="G1577" s="9">
        <v>374</v>
      </c>
      <c r="H1577" s="9">
        <v>8</v>
      </c>
      <c r="I1577" s="9">
        <f t="shared" si="216"/>
        <v>366</v>
      </c>
      <c r="J1577" s="9">
        <v>32</v>
      </c>
      <c r="K1577" s="10">
        <f t="shared" si="217"/>
        <v>6.6666666666666666E-2</v>
      </c>
      <c r="L1577" s="17">
        <v>120</v>
      </c>
      <c r="M1577" s="17">
        <v>30800</v>
      </c>
      <c r="N1577" s="17">
        <f t="shared" si="218"/>
        <v>43920</v>
      </c>
      <c r="O1577" s="17">
        <f t="shared" si="219"/>
        <v>13120</v>
      </c>
      <c r="P1577" s="10">
        <f t="shared" si="220"/>
        <v>0.93500000000000005</v>
      </c>
      <c r="Q1577" s="10">
        <f t="shared" si="221"/>
        <v>2.1390374331550801E-2</v>
      </c>
      <c r="R1577" s="10">
        <f t="shared" si="222"/>
        <v>0.2987249544626594</v>
      </c>
      <c r="S1577" s="18">
        <f t="shared" si="223"/>
        <v>84.15300546448087</v>
      </c>
      <c r="T1577" s="8">
        <f>480-ProductionData[[#This Row],[Downtime Minutes]]</f>
        <v>448</v>
      </c>
      <c r="U1577" s="11">
        <f t="shared" si="224"/>
        <v>0.8348214285714286</v>
      </c>
      <c r="V1577" s="18">
        <f>ProductionData[[#This Row],[Profit]]/ProductionData[[#This Row],[Good Units]]</f>
        <v>35.846994535519123</v>
      </c>
      <c r="W1577" s="11">
        <f>ProductionData[[#This Row],[Good Units]]/ProductionData[[#This Row],[Operating Minutes]]</f>
        <v>0.8169642857142857</v>
      </c>
    </row>
    <row r="1578" spans="1:23">
      <c r="A1578" s="7">
        <v>46379</v>
      </c>
      <c r="B1578" s="8" t="s">
        <v>33</v>
      </c>
      <c r="C1578" s="8" t="s">
        <v>20</v>
      </c>
      <c r="D1578" s="8" t="s">
        <v>23</v>
      </c>
      <c r="E1578" s="8" t="s">
        <v>26</v>
      </c>
      <c r="F1578" s="9">
        <v>520</v>
      </c>
      <c r="G1578" s="9">
        <v>501</v>
      </c>
      <c r="H1578" s="9">
        <v>22</v>
      </c>
      <c r="I1578" s="9">
        <f t="shared" si="216"/>
        <v>479</v>
      </c>
      <c r="J1578" s="9">
        <v>39</v>
      </c>
      <c r="K1578" s="10">
        <f t="shared" si="217"/>
        <v>8.1250000000000003E-2</v>
      </c>
      <c r="L1578" s="17">
        <v>90</v>
      </c>
      <c r="M1578" s="17">
        <v>30800</v>
      </c>
      <c r="N1578" s="17">
        <f t="shared" si="218"/>
        <v>43110</v>
      </c>
      <c r="O1578" s="17">
        <f t="shared" si="219"/>
        <v>12310</v>
      </c>
      <c r="P1578" s="10">
        <f t="shared" si="220"/>
        <v>0.96346153846153848</v>
      </c>
      <c r="Q1578" s="10">
        <f t="shared" si="221"/>
        <v>4.3912175648702596E-2</v>
      </c>
      <c r="R1578" s="10">
        <f t="shared" si="222"/>
        <v>0.28554859661331478</v>
      </c>
      <c r="S1578" s="18">
        <f t="shared" si="223"/>
        <v>64.300626304801668</v>
      </c>
      <c r="T1578" s="8">
        <f>480-ProductionData[[#This Row],[Downtime Minutes]]</f>
        <v>441</v>
      </c>
      <c r="U1578" s="11">
        <f t="shared" si="224"/>
        <v>1.1360544217687074</v>
      </c>
      <c r="V1578" s="18">
        <f>ProductionData[[#This Row],[Profit]]/ProductionData[[#This Row],[Good Units]]</f>
        <v>25.699373695198329</v>
      </c>
      <c r="W1578" s="11">
        <f>ProductionData[[#This Row],[Good Units]]/ProductionData[[#This Row],[Operating Minutes]]</f>
        <v>1.0861678004535147</v>
      </c>
    </row>
    <row r="1579" spans="1:23">
      <c r="A1579" s="7">
        <v>46379</v>
      </c>
      <c r="B1579" s="8" t="s">
        <v>33</v>
      </c>
      <c r="C1579" s="8" t="s">
        <v>20</v>
      </c>
      <c r="D1579" s="8" t="s">
        <v>25</v>
      </c>
      <c r="E1579" s="8" t="s">
        <v>22</v>
      </c>
      <c r="F1579" s="9">
        <v>460</v>
      </c>
      <c r="G1579" s="9">
        <v>435</v>
      </c>
      <c r="H1579" s="9">
        <v>27</v>
      </c>
      <c r="I1579" s="9">
        <f t="shared" si="216"/>
        <v>408</v>
      </c>
      <c r="J1579" s="9">
        <v>37</v>
      </c>
      <c r="K1579" s="10">
        <f t="shared" si="217"/>
        <v>7.7083333333333337E-2</v>
      </c>
      <c r="L1579" s="17">
        <v>100</v>
      </c>
      <c r="M1579" s="17">
        <v>30800</v>
      </c>
      <c r="N1579" s="17">
        <f t="shared" si="218"/>
        <v>40800</v>
      </c>
      <c r="O1579" s="17">
        <f t="shared" si="219"/>
        <v>10000</v>
      </c>
      <c r="P1579" s="10">
        <f t="shared" si="220"/>
        <v>0.94565217391304346</v>
      </c>
      <c r="Q1579" s="10">
        <f t="shared" si="221"/>
        <v>6.2068965517241378E-2</v>
      </c>
      <c r="R1579" s="10">
        <f t="shared" si="222"/>
        <v>0.24509803921568626</v>
      </c>
      <c r="S1579" s="18">
        <f t="shared" si="223"/>
        <v>75.490196078431367</v>
      </c>
      <c r="T1579" s="8">
        <f>480-ProductionData[[#This Row],[Downtime Minutes]]</f>
        <v>443</v>
      </c>
      <c r="U1579" s="11">
        <f t="shared" si="224"/>
        <v>0.98194130925507905</v>
      </c>
      <c r="V1579" s="18">
        <f>ProductionData[[#This Row],[Profit]]/ProductionData[[#This Row],[Good Units]]</f>
        <v>24.509803921568629</v>
      </c>
      <c r="W1579" s="11">
        <f>ProductionData[[#This Row],[Good Units]]/ProductionData[[#This Row],[Operating Minutes]]</f>
        <v>0.92099322799097061</v>
      </c>
    </row>
    <row r="1580" spans="1:23">
      <c r="A1580" s="7">
        <v>46379</v>
      </c>
      <c r="B1580" s="8" t="s">
        <v>33</v>
      </c>
      <c r="C1580" s="8" t="s">
        <v>27</v>
      </c>
      <c r="D1580" s="8" t="s">
        <v>21</v>
      </c>
      <c r="E1580" s="8" t="s">
        <v>26</v>
      </c>
      <c r="F1580" s="9">
        <v>480</v>
      </c>
      <c r="G1580" s="9">
        <v>440</v>
      </c>
      <c r="H1580" s="9">
        <v>25</v>
      </c>
      <c r="I1580" s="9">
        <f t="shared" si="216"/>
        <v>415</v>
      </c>
      <c r="J1580" s="9">
        <v>42</v>
      </c>
      <c r="K1580" s="10">
        <f t="shared" si="217"/>
        <v>8.7499999999999994E-2</v>
      </c>
      <c r="L1580" s="17">
        <v>90</v>
      </c>
      <c r="M1580" s="17">
        <v>30800</v>
      </c>
      <c r="N1580" s="17">
        <f t="shared" si="218"/>
        <v>37350</v>
      </c>
      <c r="O1580" s="17">
        <f t="shared" si="219"/>
        <v>6550</v>
      </c>
      <c r="P1580" s="10">
        <f t="shared" si="220"/>
        <v>0.91666666666666663</v>
      </c>
      <c r="Q1580" s="10">
        <f t="shared" si="221"/>
        <v>5.6818181818181816E-2</v>
      </c>
      <c r="R1580" s="10">
        <f t="shared" si="222"/>
        <v>0.1753681392235609</v>
      </c>
      <c r="S1580" s="18">
        <f t="shared" si="223"/>
        <v>74.216867469879517</v>
      </c>
      <c r="T1580" s="8">
        <f>480-ProductionData[[#This Row],[Downtime Minutes]]</f>
        <v>438</v>
      </c>
      <c r="U1580" s="11">
        <f t="shared" si="224"/>
        <v>1.004566210045662</v>
      </c>
      <c r="V1580" s="18">
        <f>ProductionData[[#This Row],[Profit]]/ProductionData[[#This Row],[Good Units]]</f>
        <v>15.783132530120483</v>
      </c>
      <c r="W1580" s="11">
        <f>ProductionData[[#This Row],[Good Units]]/ProductionData[[#This Row],[Operating Minutes]]</f>
        <v>0.94748858447488582</v>
      </c>
    </row>
    <row r="1581" spans="1:23">
      <c r="A1581" s="7">
        <v>46379</v>
      </c>
      <c r="B1581" s="8" t="s">
        <v>33</v>
      </c>
      <c r="C1581" s="8" t="s">
        <v>27</v>
      </c>
      <c r="D1581" s="8" t="s">
        <v>23</v>
      </c>
      <c r="E1581" s="8" t="s">
        <v>22</v>
      </c>
      <c r="F1581" s="9">
        <v>460</v>
      </c>
      <c r="G1581" s="9">
        <v>419</v>
      </c>
      <c r="H1581" s="9">
        <v>30</v>
      </c>
      <c r="I1581" s="9">
        <f t="shared" si="216"/>
        <v>389</v>
      </c>
      <c r="J1581" s="9">
        <v>63</v>
      </c>
      <c r="K1581" s="10">
        <f t="shared" si="217"/>
        <v>0.13125000000000001</v>
      </c>
      <c r="L1581" s="17">
        <v>100</v>
      </c>
      <c r="M1581" s="17">
        <v>30800</v>
      </c>
      <c r="N1581" s="17">
        <f t="shared" si="218"/>
        <v>38900</v>
      </c>
      <c r="O1581" s="17">
        <f t="shared" si="219"/>
        <v>8100</v>
      </c>
      <c r="P1581" s="10">
        <f t="shared" si="220"/>
        <v>0.91086956521739126</v>
      </c>
      <c r="Q1581" s="10">
        <f t="shared" si="221"/>
        <v>7.1599045346062054E-2</v>
      </c>
      <c r="R1581" s="10">
        <f t="shared" si="222"/>
        <v>0.20822622107969152</v>
      </c>
      <c r="S1581" s="18">
        <f t="shared" si="223"/>
        <v>79.177377892030847</v>
      </c>
      <c r="T1581" s="8">
        <f>480-ProductionData[[#This Row],[Downtime Minutes]]</f>
        <v>417</v>
      </c>
      <c r="U1581" s="11">
        <f t="shared" si="224"/>
        <v>1.0047961630695443</v>
      </c>
      <c r="V1581" s="18">
        <f>ProductionData[[#This Row],[Profit]]/ProductionData[[#This Row],[Good Units]]</f>
        <v>20.822622107969153</v>
      </c>
      <c r="W1581" s="11">
        <f>ProductionData[[#This Row],[Good Units]]/ProductionData[[#This Row],[Operating Minutes]]</f>
        <v>0.93285371702637887</v>
      </c>
    </row>
    <row r="1582" spans="1:23">
      <c r="A1582" s="7">
        <v>46379</v>
      </c>
      <c r="B1582" s="8" t="s">
        <v>33</v>
      </c>
      <c r="C1582" s="8" t="s">
        <v>27</v>
      </c>
      <c r="D1582" s="8" t="s">
        <v>25</v>
      </c>
      <c r="E1582" s="8" t="s">
        <v>24</v>
      </c>
      <c r="F1582" s="9">
        <v>390</v>
      </c>
      <c r="G1582" s="9">
        <v>336</v>
      </c>
      <c r="H1582" s="9">
        <v>22</v>
      </c>
      <c r="I1582" s="9">
        <f t="shared" si="216"/>
        <v>314</v>
      </c>
      <c r="J1582" s="9">
        <v>52</v>
      </c>
      <c r="K1582" s="10">
        <f t="shared" si="217"/>
        <v>0.10833333333333334</v>
      </c>
      <c r="L1582" s="17">
        <v>120</v>
      </c>
      <c r="M1582" s="17">
        <v>30800</v>
      </c>
      <c r="N1582" s="17">
        <f t="shared" si="218"/>
        <v>37680</v>
      </c>
      <c r="O1582" s="17">
        <f t="shared" si="219"/>
        <v>6880</v>
      </c>
      <c r="P1582" s="10">
        <f t="shared" si="220"/>
        <v>0.86153846153846159</v>
      </c>
      <c r="Q1582" s="10">
        <f t="shared" si="221"/>
        <v>6.5476190476190479E-2</v>
      </c>
      <c r="R1582" s="10">
        <f t="shared" si="222"/>
        <v>0.18259023354564755</v>
      </c>
      <c r="S1582" s="18">
        <f t="shared" si="223"/>
        <v>98.089171974522287</v>
      </c>
      <c r="T1582" s="8">
        <f>480-ProductionData[[#This Row],[Downtime Minutes]]</f>
        <v>428</v>
      </c>
      <c r="U1582" s="11">
        <f t="shared" si="224"/>
        <v>0.78504672897196259</v>
      </c>
      <c r="V1582" s="18">
        <f>ProductionData[[#This Row],[Profit]]/ProductionData[[#This Row],[Good Units]]</f>
        <v>21.910828025477706</v>
      </c>
      <c r="W1582" s="11">
        <f>ProductionData[[#This Row],[Good Units]]/ProductionData[[#This Row],[Operating Minutes]]</f>
        <v>0.73364485981308414</v>
      </c>
    </row>
    <row r="1583" spans="1:23">
      <c r="A1583" s="7">
        <v>46379</v>
      </c>
      <c r="B1583" s="8" t="s">
        <v>33</v>
      </c>
      <c r="C1583" s="8" t="s">
        <v>28</v>
      </c>
      <c r="D1583" s="8" t="s">
        <v>21</v>
      </c>
      <c r="E1583" s="8" t="s">
        <v>22</v>
      </c>
      <c r="F1583" s="9">
        <v>450</v>
      </c>
      <c r="G1583" s="9">
        <v>438</v>
      </c>
      <c r="H1583" s="9">
        <v>19</v>
      </c>
      <c r="I1583" s="9">
        <f t="shared" si="216"/>
        <v>419</v>
      </c>
      <c r="J1583" s="9">
        <v>22</v>
      </c>
      <c r="K1583" s="10">
        <f t="shared" si="217"/>
        <v>4.583333333333333E-2</v>
      </c>
      <c r="L1583" s="17">
        <v>100</v>
      </c>
      <c r="M1583" s="17">
        <v>30800</v>
      </c>
      <c r="N1583" s="17">
        <f t="shared" si="218"/>
        <v>41900</v>
      </c>
      <c r="O1583" s="17">
        <f t="shared" si="219"/>
        <v>11100</v>
      </c>
      <c r="P1583" s="10">
        <f t="shared" si="220"/>
        <v>0.97333333333333338</v>
      </c>
      <c r="Q1583" s="10">
        <f t="shared" si="221"/>
        <v>4.3378995433789952E-2</v>
      </c>
      <c r="R1583" s="10">
        <f t="shared" si="222"/>
        <v>0.2649164677804296</v>
      </c>
      <c r="S1583" s="18">
        <f t="shared" si="223"/>
        <v>73.508353221957037</v>
      </c>
      <c r="T1583" s="8">
        <f>480-ProductionData[[#This Row],[Downtime Minutes]]</f>
        <v>458</v>
      </c>
      <c r="U1583" s="11">
        <f t="shared" si="224"/>
        <v>0.95633187772925765</v>
      </c>
      <c r="V1583" s="18">
        <f>ProductionData[[#This Row],[Profit]]/ProductionData[[#This Row],[Good Units]]</f>
        <v>26.491646778042959</v>
      </c>
      <c r="W1583" s="11">
        <f>ProductionData[[#This Row],[Good Units]]/ProductionData[[#This Row],[Operating Minutes]]</f>
        <v>0.91484716157205237</v>
      </c>
    </row>
    <row r="1584" spans="1:23">
      <c r="A1584" s="7">
        <v>46379</v>
      </c>
      <c r="B1584" s="8" t="s">
        <v>33</v>
      </c>
      <c r="C1584" s="8" t="s">
        <v>28</v>
      </c>
      <c r="D1584" s="8" t="s">
        <v>23</v>
      </c>
      <c r="E1584" s="8" t="s">
        <v>24</v>
      </c>
      <c r="F1584" s="9">
        <v>390</v>
      </c>
      <c r="G1584" s="9">
        <v>378</v>
      </c>
      <c r="H1584" s="9">
        <v>8</v>
      </c>
      <c r="I1584" s="9">
        <f t="shared" si="216"/>
        <v>370</v>
      </c>
      <c r="J1584" s="9">
        <v>28</v>
      </c>
      <c r="K1584" s="10">
        <f t="shared" si="217"/>
        <v>5.8333333333333334E-2</v>
      </c>
      <c r="L1584" s="17">
        <v>120</v>
      </c>
      <c r="M1584" s="17">
        <v>30800</v>
      </c>
      <c r="N1584" s="17">
        <f t="shared" si="218"/>
        <v>44400</v>
      </c>
      <c r="O1584" s="17">
        <f t="shared" si="219"/>
        <v>13600</v>
      </c>
      <c r="P1584" s="10">
        <f t="shared" si="220"/>
        <v>0.96923076923076923</v>
      </c>
      <c r="Q1584" s="10">
        <f t="shared" si="221"/>
        <v>2.1164021164021163E-2</v>
      </c>
      <c r="R1584" s="10">
        <f t="shared" si="222"/>
        <v>0.30630630630630629</v>
      </c>
      <c r="S1584" s="18">
        <f t="shared" si="223"/>
        <v>83.243243243243242</v>
      </c>
      <c r="T1584" s="8">
        <f>480-ProductionData[[#This Row],[Downtime Minutes]]</f>
        <v>452</v>
      </c>
      <c r="U1584" s="11">
        <f t="shared" si="224"/>
        <v>0.83628318584070793</v>
      </c>
      <c r="V1584" s="18">
        <f>ProductionData[[#This Row],[Profit]]/ProductionData[[#This Row],[Good Units]]</f>
        <v>36.756756756756758</v>
      </c>
      <c r="W1584" s="11">
        <f>ProductionData[[#This Row],[Good Units]]/ProductionData[[#This Row],[Operating Minutes]]</f>
        <v>0.81858407079646023</v>
      </c>
    </row>
    <row r="1585" spans="1:23">
      <c r="A1585" s="7">
        <v>46379</v>
      </c>
      <c r="B1585" s="8" t="s">
        <v>33</v>
      </c>
      <c r="C1585" s="8" t="s">
        <v>28</v>
      </c>
      <c r="D1585" s="8" t="s">
        <v>25</v>
      </c>
      <c r="E1585" s="8" t="s">
        <v>26</v>
      </c>
      <c r="F1585" s="9">
        <v>490</v>
      </c>
      <c r="G1585" s="9">
        <v>465</v>
      </c>
      <c r="H1585" s="9">
        <v>16</v>
      </c>
      <c r="I1585" s="9">
        <f t="shared" si="216"/>
        <v>449</v>
      </c>
      <c r="J1585" s="9">
        <v>42</v>
      </c>
      <c r="K1585" s="10">
        <f t="shared" si="217"/>
        <v>8.7499999999999994E-2</v>
      </c>
      <c r="L1585" s="17">
        <v>90</v>
      </c>
      <c r="M1585" s="17">
        <v>30800</v>
      </c>
      <c r="N1585" s="17">
        <f t="shared" si="218"/>
        <v>40410</v>
      </c>
      <c r="O1585" s="17">
        <f t="shared" si="219"/>
        <v>9610</v>
      </c>
      <c r="P1585" s="10">
        <f t="shared" si="220"/>
        <v>0.94897959183673475</v>
      </c>
      <c r="Q1585" s="10">
        <f t="shared" si="221"/>
        <v>3.4408602150537634E-2</v>
      </c>
      <c r="R1585" s="10">
        <f t="shared" si="222"/>
        <v>0.23781242266765651</v>
      </c>
      <c r="S1585" s="18">
        <f t="shared" si="223"/>
        <v>68.596881959910917</v>
      </c>
      <c r="T1585" s="8">
        <f>480-ProductionData[[#This Row],[Downtime Minutes]]</f>
        <v>438</v>
      </c>
      <c r="U1585" s="11">
        <f t="shared" si="224"/>
        <v>1.0616438356164384</v>
      </c>
      <c r="V1585" s="18">
        <f>ProductionData[[#This Row],[Profit]]/ProductionData[[#This Row],[Good Units]]</f>
        <v>21.403118040089087</v>
      </c>
      <c r="W1585" s="11">
        <f>ProductionData[[#This Row],[Good Units]]/ProductionData[[#This Row],[Operating Minutes]]</f>
        <v>1.0251141552511416</v>
      </c>
    </row>
    <row r="1586" spans="1:23">
      <c r="A1586" s="7">
        <v>46380</v>
      </c>
      <c r="B1586" s="8" t="s">
        <v>33</v>
      </c>
      <c r="C1586" s="8" t="s">
        <v>20</v>
      </c>
      <c r="D1586" s="8" t="s">
        <v>21</v>
      </c>
      <c r="E1586" s="8" t="s">
        <v>26</v>
      </c>
      <c r="F1586" s="9">
        <v>500</v>
      </c>
      <c r="G1586" s="9">
        <v>471</v>
      </c>
      <c r="H1586" s="9">
        <v>17</v>
      </c>
      <c r="I1586" s="9">
        <f t="shared" si="216"/>
        <v>454</v>
      </c>
      <c r="J1586" s="9">
        <v>26</v>
      </c>
      <c r="K1586" s="10">
        <f t="shared" si="217"/>
        <v>5.4166666666666669E-2</v>
      </c>
      <c r="L1586" s="17">
        <v>90</v>
      </c>
      <c r="M1586" s="17">
        <v>30800</v>
      </c>
      <c r="N1586" s="17">
        <f t="shared" si="218"/>
        <v>40860</v>
      </c>
      <c r="O1586" s="17">
        <f t="shared" si="219"/>
        <v>10060</v>
      </c>
      <c r="P1586" s="10">
        <f t="shared" si="220"/>
        <v>0.94199999999999995</v>
      </c>
      <c r="Q1586" s="10">
        <f t="shared" si="221"/>
        <v>3.6093418259023353E-2</v>
      </c>
      <c r="R1586" s="10">
        <f t="shared" si="222"/>
        <v>0.24620655898188937</v>
      </c>
      <c r="S1586" s="18">
        <f t="shared" si="223"/>
        <v>67.841409691629963</v>
      </c>
      <c r="T1586" s="8">
        <f>480-ProductionData[[#This Row],[Downtime Minutes]]</f>
        <v>454</v>
      </c>
      <c r="U1586" s="11">
        <f t="shared" si="224"/>
        <v>1.0374449339207048</v>
      </c>
      <c r="V1586" s="18">
        <f>ProductionData[[#This Row],[Profit]]/ProductionData[[#This Row],[Good Units]]</f>
        <v>22.158590308370044</v>
      </c>
      <c r="W1586" s="11">
        <f>ProductionData[[#This Row],[Good Units]]/ProductionData[[#This Row],[Operating Minutes]]</f>
        <v>1</v>
      </c>
    </row>
    <row r="1587" spans="1:23">
      <c r="A1587" s="7">
        <v>46380</v>
      </c>
      <c r="B1587" s="8" t="s">
        <v>33</v>
      </c>
      <c r="C1587" s="8" t="s">
        <v>20</v>
      </c>
      <c r="D1587" s="8" t="s">
        <v>23</v>
      </c>
      <c r="E1587" s="8" t="s">
        <v>22</v>
      </c>
      <c r="F1587" s="9">
        <v>460</v>
      </c>
      <c r="G1587" s="9">
        <v>449</v>
      </c>
      <c r="H1587" s="9">
        <v>22</v>
      </c>
      <c r="I1587" s="9">
        <f t="shared" si="216"/>
        <v>427</v>
      </c>
      <c r="J1587" s="9">
        <v>51</v>
      </c>
      <c r="K1587" s="10">
        <f t="shared" si="217"/>
        <v>0.10625</v>
      </c>
      <c r="L1587" s="17">
        <v>100</v>
      </c>
      <c r="M1587" s="17">
        <v>30800</v>
      </c>
      <c r="N1587" s="17">
        <f t="shared" si="218"/>
        <v>42700</v>
      </c>
      <c r="O1587" s="17">
        <f t="shared" si="219"/>
        <v>11900</v>
      </c>
      <c r="P1587" s="10">
        <f t="shared" si="220"/>
        <v>0.97608695652173916</v>
      </c>
      <c r="Q1587" s="10">
        <f t="shared" si="221"/>
        <v>4.8997772828507792E-2</v>
      </c>
      <c r="R1587" s="10">
        <f t="shared" si="222"/>
        <v>0.27868852459016391</v>
      </c>
      <c r="S1587" s="18">
        <f t="shared" si="223"/>
        <v>72.131147540983605</v>
      </c>
      <c r="T1587" s="8">
        <f>480-ProductionData[[#This Row],[Downtime Minutes]]</f>
        <v>429</v>
      </c>
      <c r="U1587" s="11">
        <f t="shared" si="224"/>
        <v>1.0466200466200466</v>
      </c>
      <c r="V1587" s="18">
        <f>ProductionData[[#This Row],[Profit]]/ProductionData[[#This Row],[Good Units]]</f>
        <v>27.868852459016395</v>
      </c>
      <c r="W1587" s="11">
        <f>ProductionData[[#This Row],[Good Units]]/ProductionData[[#This Row],[Operating Minutes]]</f>
        <v>0.99533799533799538</v>
      </c>
    </row>
    <row r="1588" spans="1:23">
      <c r="A1588" s="7">
        <v>46380</v>
      </c>
      <c r="B1588" s="8" t="s">
        <v>33</v>
      </c>
      <c r="C1588" s="8" t="s">
        <v>20</v>
      </c>
      <c r="D1588" s="8" t="s">
        <v>25</v>
      </c>
      <c r="E1588" s="8" t="s">
        <v>24</v>
      </c>
      <c r="F1588" s="9">
        <v>410</v>
      </c>
      <c r="G1588" s="9">
        <v>375</v>
      </c>
      <c r="H1588" s="9">
        <v>17</v>
      </c>
      <c r="I1588" s="9">
        <f t="shared" si="216"/>
        <v>358</v>
      </c>
      <c r="J1588" s="9">
        <v>53</v>
      </c>
      <c r="K1588" s="10">
        <f t="shared" si="217"/>
        <v>0.11041666666666666</v>
      </c>
      <c r="L1588" s="17">
        <v>120</v>
      </c>
      <c r="M1588" s="17">
        <v>30800</v>
      </c>
      <c r="N1588" s="17">
        <f t="shared" si="218"/>
        <v>42960</v>
      </c>
      <c r="O1588" s="17">
        <f t="shared" si="219"/>
        <v>12160</v>
      </c>
      <c r="P1588" s="10">
        <f t="shared" si="220"/>
        <v>0.91463414634146345</v>
      </c>
      <c r="Q1588" s="10">
        <f t="shared" si="221"/>
        <v>4.5333333333333337E-2</v>
      </c>
      <c r="R1588" s="10">
        <f t="shared" si="222"/>
        <v>0.28305400372439476</v>
      </c>
      <c r="S1588" s="18">
        <f t="shared" si="223"/>
        <v>86.033519553072622</v>
      </c>
      <c r="T1588" s="8">
        <f>480-ProductionData[[#This Row],[Downtime Minutes]]</f>
        <v>427</v>
      </c>
      <c r="U1588" s="11">
        <f t="shared" si="224"/>
        <v>0.87822014051522246</v>
      </c>
      <c r="V1588" s="18">
        <f>ProductionData[[#This Row],[Profit]]/ProductionData[[#This Row],[Good Units]]</f>
        <v>33.966480446927378</v>
      </c>
      <c r="W1588" s="11">
        <f>ProductionData[[#This Row],[Good Units]]/ProductionData[[#This Row],[Operating Minutes]]</f>
        <v>0.83840749414519911</v>
      </c>
    </row>
    <row r="1589" spans="1:23">
      <c r="A1589" s="7">
        <v>46380</v>
      </c>
      <c r="B1589" s="8" t="s">
        <v>33</v>
      </c>
      <c r="C1589" s="8" t="s">
        <v>27</v>
      </c>
      <c r="D1589" s="8" t="s">
        <v>21</v>
      </c>
      <c r="E1589" s="8" t="s">
        <v>22</v>
      </c>
      <c r="F1589" s="9">
        <v>470</v>
      </c>
      <c r="G1589" s="9">
        <v>415</v>
      </c>
      <c r="H1589" s="9">
        <v>25</v>
      </c>
      <c r="I1589" s="9">
        <f t="shared" si="216"/>
        <v>390</v>
      </c>
      <c r="J1589" s="9">
        <v>65</v>
      </c>
      <c r="K1589" s="10">
        <f t="shared" si="217"/>
        <v>0.13541666666666666</v>
      </c>
      <c r="L1589" s="17">
        <v>100</v>
      </c>
      <c r="M1589" s="17">
        <v>30800</v>
      </c>
      <c r="N1589" s="17">
        <f t="shared" si="218"/>
        <v>39000</v>
      </c>
      <c r="O1589" s="17">
        <f t="shared" si="219"/>
        <v>8200</v>
      </c>
      <c r="P1589" s="10">
        <f t="shared" si="220"/>
        <v>0.88297872340425532</v>
      </c>
      <c r="Q1589" s="10">
        <f t="shared" si="221"/>
        <v>6.0240963855421686E-2</v>
      </c>
      <c r="R1589" s="10">
        <f t="shared" si="222"/>
        <v>0.21025641025641026</v>
      </c>
      <c r="S1589" s="18">
        <f t="shared" si="223"/>
        <v>78.974358974358978</v>
      </c>
      <c r="T1589" s="8">
        <f>480-ProductionData[[#This Row],[Downtime Minutes]]</f>
        <v>415</v>
      </c>
      <c r="U1589" s="11">
        <f t="shared" si="224"/>
        <v>1</v>
      </c>
      <c r="V1589" s="18">
        <f>ProductionData[[#This Row],[Profit]]/ProductionData[[#This Row],[Good Units]]</f>
        <v>21.025641025641026</v>
      </c>
      <c r="W1589" s="11">
        <f>ProductionData[[#This Row],[Good Units]]/ProductionData[[#This Row],[Operating Minutes]]</f>
        <v>0.93975903614457834</v>
      </c>
    </row>
    <row r="1590" spans="1:23">
      <c r="A1590" s="7">
        <v>46380</v>
      </c>
      <c r="B1590" s="8" t="s">
        <v>33</v>
      </c>
      <c r="C1590" s="8" t="s">
        <v>27</v>
      </c>
      <c r="D1590" s="8" t="s">
        <v>23</v>
      </c>
      <c r="E1590" s="8" t="s">
        <v>24</v>
      </c>
      <c r="F1590" s="9">
        <v>400</v>
      </c>
      <c r="G1590" s="9">
        <v>357</v>
      </c>
      <c r="H1590" s="9">
        <v>16</v>
      </c>
      <c r="I1590" s="9">
        <f t="shared" si="216"/>
        <v>341</v>
      </c>
      <c r="J1590" s="9">
        <v>63</v>
      </c>
      <c r="K1590" s="10">
        <f t="shared" si="217"/>
        <v>0.13125000000000001</v>
      </c>
      <c r="L1590" s="17">
        <v>120</v>
      </c>
      <c r="M1590" s="17">
        <v>30800</v>
      </c>
      <c r="N1590" s="17">
        <f t="shared" si="218"/>
        <v>40920</v>
      </c>
      <c r="O1590" s="17">
        <f t="shared" si="219"/>
        <v>10120</v>
      </c>
      <c r="P1590" s="10">
        <f t="shared" si="220"/>
        <v>0.89249999999999996</v>
      </c>
      <c r="Q1590" s="10">
        <f t="shared" si="221"/>
        <v>4.4817927170868348E-2</v>
      </c>
      <c r="R1590" s="10">
        <f t="shared" si="222"/>
        <v>0.24731182795698925</v>
      </c>
      <c r="S1590" s="18">
        <f t="shared" si="223"/>
        <v>90.322580645161295</v>
      </c>
      <c r="T1590" s="8">
        <f>480-ProductionData[[#This Row],[Downtime Minutes]]</f>
        <v>417</v>
      </c>
      <c r="U1590" s="11">
        <f t="shared" si="224"/>
        <v>0.85611510791366907</v>
      </c>
      <c r="V1590" s="18">
        <f>ProductionData[[#This Row],[Profit]]/ProductionData[[#This Row],[Good Units]]</f>
        <v>29.677419354838708</v>
      </c>
      <c r="W1590" s="11">
        <f>ProductionData[[#This Row],[Good Units]]/ProductionData[[#This Row],[Operating Minutes]]</f>
        <v>0.81774580335731417</v>
      </c>
    </row>
    <row r="1591" spans="1:23">
      <c r="A1591" s="7">
        <v>46380</v>
      </c>
      <c r="B1591" s="8" t="s">
        <v>33</v>
      </c>
      <c r="C1591" s="8" t="s">
        <v>27</v>
      </c>
      <c r="D1591" s="8" t="s">
        <v>25</v>
      </c>
      <c r="E1591" s="8" t="s">
        <v>26</v>
      </c>
      <c r="F1591" s="9">
        <v>520</v>
      </c>
      <c r="G1591" s="9">
        <v>438</v>
      </c>
      <c r="H1591" s="9">
        <v>29</v>
      </c>
      <c r="I1591" s="9">
        <f t="shared" si="216"/>
        <v>409</v>
      </c>
      <c r="J1591" s="9">
        <v>66</v>
      </c>
      <c r="K1591" s="10">
        <f t="shared" si="217"/>
        <v>0.13750000000000001</v>
      </c>
      <c r="L1591" s="17">
        <v>90</v>
      </c>
      <c r="M1591" s="17">
        <v>30800</v>
      </c>
      <c r="N1591" s="17">
        <f t="shared" si="218"/>
        <v>36810</v>
      </c>
      <c r="O1591" s="17">
        <f t="shared" si="219"/>
        <v>6010</v>
      </c>
      <c r="P1591" s="10">
        <f t="shared" si="220"/>
        <v>0.84230769230769231</v>
      </c>
      <c r="Q1591" s="10">
        <f t="shared" si="221"/>
        <v>6.6210045662100453E-2</v>
      </c>
      <c r="R1591" s="10">
        <f t="shared" si="222"/>
        <v>0.16327085031241512</v>
      </c>
      <c r="S1591" s="18">
        <f t="shared" si="223"/>
        <v>75.30562347188264</v>
      </c>
      <c r="T1591" s="8">
        <f>480-ProductionData[[#This Row],[Downtime Minutes]]</f>
        <v>414</v>
      </c>
      <c r="U1591" s="11">
        <f t="shared" si="224"/>
        <v>1.0579710144927537</v>
      </c>
      <c r="V1591" s="18">
        <f>ProductionData[[#This Row],[Profit]]/ProductionData[[#This Row],[Good Units]]</f>
        <v>14.69437652811736</v>
      </c>
      <c r="W1591" s="11">
        <f>ProductionData[[#This Row],[Good Units]]/ProductionData[[#This Row],[Operating Minutes]]</f>
        <v>0.98792270531400961</v>
      </c>
    </row>
    <row r="1592" spans="1:23">
      <c r="A1592" s="7">
        <v>46380</v>
      </c>
      <c r="B1592" s="8" t="s">
        <v>33</v>
      </c>
      <c r="C1592" s="8" t="s">
        <v>28</v>
      </c>
      <c r="D1592" s="8" t="s">
        <v>21</v>
      </c>
      <c r="E1592" s="8" t="s">
        <v>24</v>
      </c>
      <c r="F1592" s="9">
        <v>410</v>
      </c>
      <c r="G1592" s="9">
        <v>413</v>
      </c>
      <c r="H1592" s="9">
        <v>9</v>
      </c>
      <c r="I1592" s="9">
        <f t="shared" si="216"/>
        <v>404</v>
      </c>
      <c r="J1592" s="9">
        <v>31</v>
      </c>
      <c r="K1592" s="10">
        <f t="shared" si="217"/>
        <v>6.458333333333334E-2</v>
      </c>
      <c r="L1592" s="17">
        <v>120</v>
      </c>
      <c r="M1592" s="17">
        <v>30800</v>
      </c>
      <c r="N1592" s="17">
        <f t="shared" si="218"/>
        <v>48480</v>
      </c>
      <c r="O1592" s="17">
        <f t="shared" si="219"/>
        <v>17680</v>
      </c>
      <c r="P1592" s="10">
        <f t="shared" si="220"/>
        <v>1.0073170731707317</v>
      </c>
      <c r="Q1592" s="10">
        <f t="shared" si="221"/>
        <v>2.1791767554479417E-2</v>
      </c>
      <c r="R1592" s="10">
        <f t="shared" si="222"/>
        <v>0.36468646864686466</v>
      </c>
      <c r="S1592" s="18">
        <f t="shared" si="223"/>
        <v>76.237623762376231</v>
      </c>
      <c r="T1592" s="8">
        <f>480-ProductionData[[#This Row],[Downtime Minutes]]</f>
        <v>449</v>
      </c>
      <c r="U1592" s="11">
        <f t="shared" si="224"/>
        <v>0.91982182628062359</v>
      </c>
      <c r="V1592" s="18">
        <f>ProductionData[[#This Row],[Profit]]/ProductionData[[#This Row],[Good Units]]</f>
        <v>43.762376237623762</v>
      </c>
      <c r="W1592" s="11">
        <f>ProductionData[[#This Row],[Good Units]]/ProductionData[[#This Row],[Operating Minutes]]</f>
        <v>0.89977728285077951</v>
      </c>
    </row>
    <row r="1593" spans="1:23">
      <c r="A1593" s="7">
        <v>46380</v>
      </c>
      <c r="B1593" s="8" t="s">
        <v>33</v>
      </c>
      <c r="C1593" s="8" t="s">
        <v>28</v>
      </c>
      <c r="D1593" s="8" t="s">
        <v>23</v>
      </c>
      <c r="E1593" s="8" t="s">
        <v>26</v>
      </c>
      <c r="F1593" s="9">
        <v>510</v>
      </c>
      <c r="G1593" s="9">
        <v>500</v>
      </c>
      <c r="H1593" s="9">
        <v>14</v>
      </c>
      <c r="I1593" s="9">
        <f t="shared" si="216"/>
        <v>486</v>
      </c>
      <c r="J1593" s="9">
        <v>23</v>
      </c>
      <c r="K1593" s="10">
        <f t="shared" si="217"/>
        <v>4.791666666666667E-2</v>
      </c>
      <c r="L1593" s="17">
        <v>90</v>
      </c>
      <c r="M1593" s="17">
        <v>30800</v>
      </c>
      <c r="N1593" s="17">
        <f t="shared" si="218"/>
        <v>43740</v>
      </c>
      <c r="O1593" s="17">
        <f t="shared" si="219"/>
        <v>12940</v>
      </c>
      <c r="P1593" s="10">
        <f t="shared" si="220"/>
        <v>0.98039215686274506</v>
      </c>
      <c r="Q1593" s="10">
        <f t="shared" si="221"/>
        <v>2.8000000000000001E-2</v>
      </c>
      <c r="R1593" s="10">
        <f t="shared" si="222"/>
        <v>0.2958390489254687</v>
      </c>
      <c r="S1593" s="18">
        <f t="shared" si="223"/>
        <v>63.374485596707821</v>
      </c>
      <c r="T1593" s="8">
        <f>480-ProductionData[[#This Row],[Downtime Minutes]]</f>
        <v>457</v>
      </c>
      <c r="U1593" s="11">
        <f t="shared" si="224"/>
        <v>1.0940919037199124</v>
      </c>
      <c r="V1593" s="18">
        <f>ProductionData[[#This Row],[Profit]]/ProductionData[[#This Row],[Good Units]]</f>
        <v>26.625514403292183</v>
      </c>
      <c r="W1593" s="11">
        <f>ProductionData[[#This Row],[Good Units]]/ProductionData[[#This Row],[Operating Minutes]]</f>
        <v>1.0634573304157549</v>
      </c>
    </row>
    <row r="1594" spans="1:23">
      <c r="A1594" s="7">
        <v>46380</v>
      </c>
      <c r="B1594" s="8" t="s">
        <v>33</v>
      </c>
      <c r="C1594" s="8" t="s">
        <v>28</v>
      </c>
      <c r="D1594" s="8" t="s">
        <v>25</v>
      </c>
      <c r="E1594" s="8" t="s">
        <v>22</v>
      </c>
      <c r="F1594" s="9">
        <v>460</v>
      </c>
      <c r="G1594" s="9">
        <v>443</v>
      </c>
      <c r="H1594" s="9">
        <v>23</v>
      </c>
      <c r="I1594" s="9">
        <f t="shared" si="216"/>
        <v>420</v>
      </c>
      <c r="J1594" s="9">
        <v>32</v>
      </c>
      <c r="K1594" s="10">
        <f t="shared" si="217"/>
        <v>6.6666666666666666E-2</v>
      </c>
      <c r="L1594" s="17">
        <v>100</v>
      </c>
      <c r="M1594" s="17">
        <v>30800</v>
      </c>
      <c r="N1594" s="17">
        <f t="shared" si="218"/>
        <v>42000</v>
      </c>
      <c r="O1594" s="17">
        <f t="shared" si="219"/>
        <v>11200</v>
      </c>
      <c r="P1594" s="10">
        <f t="shared" si="220"/>
        <v>0.96304347826086956</v>
      </c>
      <c r="Q1594" s="10">
        <f t="shared" si="221"/>
        <v>5.1918735891647853E-2</v>
      </c>
      <c r="R1594" s="10">
        <f t="shared" si="222"/>
        <v>0.26666666666666666</v>
      </c>
      <c r="S1594" s="18">
        <f t="shared" si="223"/>
        <v>73.333333333333329</v>
      </c>
      <c r="T1594" s="8">
        <f>480-ProductionData[[#This Row],[Downtime Minutes]]</f>
        <v>448</v>
      </c>
      <c r="U1594" s="11">
        <f t="shared" si="224"/>
        <v>0.9888392857142857</v>
      </c>
      <c r="V1594" s="18">
        <f>ProductionData[[#This Row],[Profit]]/ProductionData[[#This Row],[Good Units]]</f>
        <v>26.666666666666668</v>
      </c>
      <c r="W1594" s="11">
        <f>ProductionData[[#This Row],[Good Units]]/ProductionData[[#This Row],[Operating Minutes]]</f>
        <v>0.9375</v>
      </c>
    </row>
    <row r="1595" spans="1:23">
      <c r="A1595" s="7">
        <v>46381</v>
      </c>
      <c r="B1595" s="8" t="s">
        <v>33</v>
      </c>
      <c r="C1595" s="8" t="s">
        <v>20</v>
      </c>
      <c r="D1595" s="8" t="s">
        <v>21</v>
      </c>
      <c r="E1595" s="8" t="s">
        <v>22</v>
      </c>
      <c r="F1595" s="9">
        <v>450</v>
      </c>
      <c r="G1595" s="9">
        <v>423</v>
      </c>
      <c r="H1595" s="9">
        <v>19</v>
      </c>
      <c r="I1595" s="9">
        <f t="shared" si="216"/>
        <v>404</v>
      </c>
      <c r="J1595" s="9">
        <v>42</v>
      </c>
      <c r="K1595" s="10">
        <f t="shared" si="217"/>
        <v>8.7499999999999994E-2</v>
      </c>
      <c r="L1595" s="17">
        <v>100</v>
      </c>
      <c r="M1595" s="17">
        <v>30800</v>
      </c>
      <c r="N1595" s="17">
        <f t="shared" si="218"/>
        <v>40400</v>
      </c>
      <c r="O1595" s="17">
        <f t="shared" si="219"/>
        <v>9600</v>
      </c>
      <c r="P1595" s="10">
        <f t="shared" si="220"/>
        <v>0.94</v>
      </c>
      <c r="Q1595" s="10">
        <f t="shared" si="221"/>
        <v>4.4917257683215132E-2</v>
      </c>
      <c r="R1595" s="10">
        <f t="shared" si="222"/>
        <v>0.23762376237623761</v>
      </c>
      <c r="S1595" s="18">
        <f t="shared" si="223"/>
        <v>76.237623762376231</v>
      </c>
      <c r="T1595" s="8">
        <f>480-ProductionData[[#This Row],[Downtime Minutes]]</f>
        <v>438</v>
      </c>
      <c r="U1595" s="11">
        <f t="shared" si="224"/>
        <v>0.96575342465753422</v>
      </c>
      <c r="V1595" s="18">
        <f>ProductionData[[#This Row],[Profit]]/ProductionData[[#This Row],[Good Units]]</f>
        <v>23.762376237623762</v>
      </c>
      <c r="W1595" s="11">
        <f>ProductionData[[#This Row],[Good Units]]/ProductionData[[#This Row],[Operating Minutes]]</f>
        <v>0.92237442922374424</v>
      </c>
    </row>
    <row r="1596" spans="1:23">
      <c r="A1596" s="7">
        <v>46381</v>
      </c>
      <c r="B1596" s="8" t="s">
        <v>33</v>
      </c>
      <c r="C1596" s="8" t="s">
        <v>20</v>
      </c>
      <c r="D1596" s="8" t="s">
        <v>23</v>
      </c>
      <c r="E1596" s="8" t="s">
        <v>24</v>
      </c>
      <c r="F1596" s="9">
        <v>400</v>
      </c>
      <c r="G1596" s="9">
        <v>375</v>
      </c>
      <c r="H1596" s="9">
        <v>14</v>
      </c>
      <c r="I1596" s="9">
        <f t="shared" si="216"/>
        <v>361</v>
      </c>
      <c r="J1596" s="9">
        <v>45</v>
      </c>
      <c r="K1596" s="10">
        <f t="shared" si="217"/>
        <v>9.375E-2</v>
      </c>
      <c r="L1596" s="17">
        <v>120</v>
      </c>
      <c r="M1596" s="17">
        <v>30800</v>
      </c>
      <c r="N1596" s="17">
        <f t="shared" si="218"/>
        <v>43320</v>
      </c>
      <c r="O1596" s="17">
        <f t="shared" si="219"/>
        <v>12520</v>
      </c>
      <c r="P1596" s="10">
        <f t="shared" si="220"/>
        <v>0.9375</v>
      </c>
      <c r="Q1596" s="10">
        <f t="shared" si="221"/>
        <v>3.7333333333333336E-2</v>
      </c>
      <c r="R1596" s="10">
        <f t="shared" si="222"/>
        <v>0.28901200369344415</v>
      </c>
      <c r="S1596" s="18">
        <f t="shared" si="223"/>
        <v>85.31855955678671</v>
      </c>
      <c r="T1596" s="8">
        <f>480-ProductionData[[#This Row],[Downtime Minutes]]</f>
        <v>435</v>
      </c>
      <c r="U1596" s="11">
        <f t="shared" si="224"/>
        <v>0.86206896551724133</v>
      </c>
      <c r="V1596" s="18">
        <f>ProductionData[[#This Row],[Profit]]/ProductionData[[#This Row],[Good Units]]</f>
        <v>34.681440443213297</v>
      </c>
      <c r="W1596" s="11">
        <f>ProductionData[[#This Row],[Good Units]]/ProductionData[[#This Row],[Operating Minutes]]</f>
        <v>0.8298850574712644</v>
      </c>
    </row>
    <row r="1597" spans="1:23">
      <c r="A1597" s="7">
        <v>46381</v>
      </c>
      <c r="B1597" s="8" t="s">
        <v>33</v>
      </c>
      <c r="C1597" s="8" t="s">
        <v>20</v>
      </c>
      <c r="D1597" s="8" t="s">
        <v>25</v>
      </c>
      <c r="E1597" s="8" t="s">
        <v>26</v>
      </c>
      <c r="F1597" s="9">
        <v>510</v>
      </c>
      <c r="G1597" s="9">
        <v>479</v>
      </c>
      <c r="H1597" s="9">
        <v>18</v>
      </c>
      <c r="I1597" s="9">
        <f t="shared" si="216"/>
        <v>461</v>
      </c>
      <c r="J1597" s="9">
        <v>43</v>
      </c>
      <c r="K1597" s="10">
        <f t="shared" si="217"/>
        <v>8.9583333333333334E-2</v>
      </c>
      <c r="L1597" s="17">
        <v>90</v>
      </c>
      <c r="M1597" s="17">
        <v>30800</v>
      </c>
      <c r="N1597" s="17">
        <f t="shared" si="218"/>
        <v>41490</v>
      </c>
      <c r="O1597" s="17">
        <f t="shared" si="219"/>
        <v>10690</v>
      </c>
      <c r="P1597" s="10">
        <f t="shared" si="220"/>
        <v>0.9392156862745098</v>
      </c>
      <c r="Q1597" s="10">
        <f t="shared" si="221"/>
        <v>3.7578288100208766E-2</v>
      </c>
      <c r="R1597" s="10">
        <f t="shared" si="222"/>
        <v>0.25765244637261991</v>
      </c>
      <c r="S1597" s="18">
        <f t="shared" si="223"/>
        <v>66.811279826464215</v>
      </c>
      <c r="T1597" s="8">
        <f>480-ProductionData[[#This Row],[Downtime Minutes]]</f>
        <v>437</v>
      </c>
      <c r="U1597" s="11">
        <f t="shared" si="224"/>
        <v>1.0961098398169336</v>
      </c>
      <c r="V1597" s="18">
        <f>ProductionData[[#This Row],[Profit]]/ProductionData[[#This Row],[Good Units]]</f>
        <v>23.188720173535792</v>
      </c>
      <c r="W1597" s="11">
        <f>ProductionData[[#This Row],[Good Units]]/ProductionData[[#This Row],[Operating Minutes]]</f>
        <v>1.0549199084668193</v>
      </c>
    </row>
    <row r="1598" spans="1:23">
      <c r="A1598" s="7">
        <v>46381</v>
      </c>
      <c r="B1598" s="8" t="s">
        <v>33</v>
      </c>
      <c r="C1598" s="8" t="s">
        <v>27</v>
      </c>
      <c r="D1598" s="8" t="s">
        <v>21</v>
      </c>
      <c r="E1598" s="8" t="s">
        <v>24</v>
      </c>
      <c r="F1598" s="9">
        <v>400</v>
      </c>
      <c r="G1598" s="9">
        <v>368</v>
      </c>
      <c r="H1598" s="9">
        <v>19</v>
      </c>
      <c r="I1598" s="9">
        <f t="shared" si="216"/>
        <v>349</v>
      </c>
      <c r="J1598" s="9">
        <v>52</v>
      </c>
      <c r="K1598" s="10">
        <f t="shared" si="217"/>
        <v>0.10833333333333334</v>
      </c>
      <c r="L1598" s="17">
        <v>120</v>
      </c>
      <c r="M1598" s="17">
        <v>30800</v>
      </c>
      <c r="N1598" s="17">
        <f t="shared" si="218"/>
        <v>41880</v>
      </c>
      <c r="O1598" s="17">
        <f t="shared" si="219"/>
        <v>11080</v>
      </c>
      <c r="P1598" s="10">
        <f t="shared" si="220"/>
        <v>0.92</v>
      </c>
      <c r="Q1598" s="10">
        <f t="shared" si="221"/>
        <v>5.1630434782608696E-2</v>
      </c>
      <c r="R1598" s="10">
        <f t="shared" si="222"/>
        <v>0.26456542502387775</v>
      </c>
      <c r="S1598" s="18">
        <f t="shared" si="223"/>
        <v>88.252148997134668</v>
      </c>
      <c r="T1598" s="8">
        <f>480-ProductionData[[#This Row],[Downtime Minutes]]</f>
        <v>428</v>
      </c>
      <c r="U1598" s="11">
        <f t="shared" si="224"/>
        <v>0.85981308411214952</v>
      </c>
      <c r="V1598" s="18">
        <f>ProductionData[[#This Row],[Profit]]/ProductionData[[#This Row],[Good Units]]</f>
        <v>31.747851002865328</v>
      </c>
      <c r="W1598" s="11">
        <f>ProductionData[[#This Row],[Good Units]]/ProductionData[[#This Row],[Operating Minutes]]</f>
        <v>0.81542056074766356</v>
      </c>
    </row>
    <row r="1599" spans="1:23">
      <c r="A1599" s="7">
        <v>46381</v>
      </c>
      <c r="B1599" s="8" t="s">
        <v>33</v>
      </c>
      <c r="C1599" s="8" t="s">
        <v>27</v>
      </c>
      <c r="D1599" s="8" t="s">
        <v>23</v>
      </c>
      <c r="E1599" s="8" t="s">
        <v>26</v>
      </c>
      <c r="F1599" s="9">
        <v>490</v>
      </c>
      <c r="G1599" s="9">
        <v>428</v>
      </c>
      <c r="H1599" s="9">
        <v>24</v>
      </c>
      <c r="I1599" s="9">
        <f t="shared" si="216"/>
        <v>404</v>
      </c>
      <c r="J1599" s="9">
        <v>54</v>
      </c>
      <c r="K1599" s="10">
        <f t="shared" si="217"/>
        <v>0.1125</v>
      </c>
      <c r="L1599" s="17">
        <v>90</v>
      </c>
      <c r="M1599" s="17">
        <v>30800</v>
      </c>
      <c r="N1599" s="17">
        <f t="shared" si="218"/>
        <v>36360</v>
      </c>
      <c r="O1599" s="17">
        <f t="shared" si="219"/>
        <v>5560</v>
      </c>
      <c r="P1599" s="10">
        <f t="shared" si="220"/>
        <v>0.87346938775510208</v>
      </c>
      <c r="Q1599" s="10">
        <f t="shared" si="221"/>
        <v>5.6074766355140186E-2</v>
      </c>
      <c r="R1599" s="10">
        <f t="shared" si="222"/>
        <v>0.15291529152915292</v>
      </c>
      <c r="S1599" s="18">
        <f t="shared" si="223"/>
        <v>76.237623762376231</v>
      </c>
      <c r="T1599" s="8">
        <f>480-ProductionData[[#This Row],[Downtime Minutes]]</f>
        <v>426</v>
      </c>
      <c r="U1599" s="11">
        <f t="shared" si="224"/>
        <v>1.0046948356807512</v>
      </c>
      <c r="V1599" s="18">
        <f>ProductionData[[#This Row],[Profit]]/ProductionData[[#This Row],[Good Units]]</f>
        <v>13.762376237623762</v>
      </c>
      <c r="W1599" s="11">
        <f>ProductionData[[#This Row],[Good Units]]/ProductionData[[#This Row],[Operating Minutes]]</f>
        <v>0.94835680751173712</v>
      </c>
    </row>
    <row r="1600" spans="1:23">
      <c r="A1600" s="7">
        <v>46381</v>
      </c>
      <c r="B1600" s="8" t="s">
        <v>33</v>
      </c>
      <c r="C1600" s="8" t="s">
        <v>27</v>
      </c>
      <c r="D1600" s="8" t="s">
        <v>25</v>
      </c>
      <c r="E1600" s="8" t="s">
        <v>22</v>
      </c>
      <c r="F1600" s="9">
        <v>460</v>
      </c>
      <c r="G1600" s="9">
        <v>390</v>
      </c>
      <c r="H1600" s="9">
        <v>26</v>
      </c>
      <c r="I1600" s="9">
        <f t="shared" si="216"/>
        <v>364</v>
      </c>
      <c r="J1600" s="9">
        <v>71</v>
      </c>
      <c r="K1600" s="10">
        <f t="shared" si="217"/>
        <v>0.14791666666666667</v>
      </c>
      <c r="L1600" s="17">
        <v>100</v>
      </c>
      <c r="M1600" s="17">
        <v>30800</v>
      </c>
      <c r="N1600" s="17">
        <f t="shared" si="218"/>
        <v>36400</v>
      </c>
      <c r="O1600" s="17">
        <f t="shared" si="219"/>
        <v>5600</v>
      </c>
      <c r="P1600" s="10">
        <f t="shared" si="220"/>
        <v>0.84782608695652173</v>
      </c>
      <c r="Q1600" s="10">
        <f t="shared" si="221"/>
        <v>6.6666666666666666E-2</v>
      </c>
      <c r="R1600" s="10">
        <f t="shared" si="222"/>
        <v>0.15384615384615385</v>
      </c>
      <c r="S1600" s="18">
        <f t="shared" si="223"/>
        <v>84.615384615384613</v>
      </c>
      <c r="T1600" s="8">
        <f>480-ProductionData[[#This Row],[Downtime Minutes]]</f>
        <v>409</v>
      </c>
      <c r="U1600" s="11">
        <f t="shared" si="224"/>
        <v>0.95354523227383858</v>
      </c>
      <c r="V1600" s="18">
        <f>ProductionData[[#This Row],[Profit]]/ProductionData[[#This Row],[Good Units]]</f>
        <v>15.384615384615385</v>
      </c>
      <c r="W1600" s="11">
        <f>ProductionData[[#This Row],[Good Units]]/ProductionData[[#This Row],[Operating Minutes]]</f>
        <v>0.88997555012224938</v>
      </c>
    </row>
    <row r="1601" spans="1:23">
      <c r="A1601" s="7">
        <v>46381</v>
      </c>
      <c r="B1601" s="8" t="s">
        <v>33</v>
      </c>
      <c r="C1601" s="8" t="s">
        <v>28</v>
      </c>
      <c r="D1601" s="8" t="s">
        <v>21</v>
      </c>
      <c r="E1601" s="8" t="s">
        <v>26</v>
      </c>
      <c r="F1601" s="9">
        <v>490</v>
      </c>
      <c r="G1601" s="9">
        <v>489</v>
      </c>
      <c r="H1601" s="9">
        <v>11</v>
      </c>
      <c r="I1601" s="9">
        <f t="shared" si="216"/>
        <v>478</v>
      </c>
      <c r="J1601" s="9">
        <v>18</v>
      </c>
      <c r="K1601" s="10">
        <f t="shared" si="217"/>
        <v>3.7499999999999999E-2</v>
      </c>
      <c r="L1601" s="17">
        <v>90</v>
      </c>
      <c r="M1601" s="17">
        <v>30800</v>
      </c>
      <c r="N1601" s="17">
        <f t="shared" si="218"/>
        <v>43020</v>
      </c>
      <c r="O1601" s="17">
        <f t="shared" si="219"/>
        <v>12220</v>
      </c>
      <c r="P1601" s="10">
        <f t="shared" si="220"/>
        <v>0.99795918367346936</v>
      </c>
      <c r="Q1601" s="10">
        <f t="shared" si="221"/>
        <v>2.2494887525562373E-2</v>
      </c>
      <c r="R1601" s="10">
        <f t="shared" si="222"/>
        <v>0.28405392840539284</v>
      </c>
      <c r="S1601" s="18">
        <f t="shared" si="223"/>
        <v>64.43514644351464</v>
      </c>
      <c r="T1601" s="8">
        <f>480-ProductionData[[#This Row],[Downtime Minutes]]</f>
        <v>462</v>
      </c>
      <c r="U1601" s="11">
        <f t="shared" si="224"/>
        <v>1.0584415584415585</v>
      </c>
      <c r="V1601" s="18">
        <f>ProductionData[[#This Row],[Profit]]/ProductionData[[#This Row],[Good Units]]</f>
        <v>25.564853556485357</v>
      </c>
      <c r="W1601" s="11">
        <f>ProductionData[[#This Row],[Good Units]]/ProductionData[[#This Row],[Operating Minutes]]</f>
        <v>1.0346320346320346</v>
      </c>
    </row>
    <row r="1602" spans="1:23">
      <c r="A1602" s="7">
        <v>46381</v>
      </c>
      <c r="B1602" s="8" t="s">
        <v>33</v>
      </c>
      <c r="C1602" s="8" t="s">
        <v>28</v>
      </c>
      <c r="D1602" s="8" t="s">
        <v>23</v>
      </c>
      <c r="E1602" s="8" t="s">
        <v>22</v>
      </c>
      <c r="F1602" s="9">
        <v>440</v>
      </c>
      <c r="G1602" s="9">
        <v>414</v>
      </c>
      <c r="H1602" s="9">
        <v>17</v>
      </c>
      <c r="I1602" s="9">
        <f t="shared" ref="I1602:I1657" si="225">G1602-H1602</f>
        <v>397</v>
      </c>
      <c r="J1602" s="9">
        <v>42</v>
      </c>
      <c r="K1602" s="10">
        <f t="shared" ref="K1602:K1657" si="226">J1602/480</f>
        <v>8.7499999999999994E-2</v>
      </c>
      <c r="L1602" s="17">
        <v>100</v>
      </c>
      <c r="M1602" s="17">
        <v>30800</v>
      </c>
      <c r="N1602" s="17">
        <f t="shared" ref="N1602:N1657" si="227">I1602*L1602</f>
        <v>39700</v>
      </c>
      <c r="O1602" s="17">
        <f t="shared" ref="O1602:O1657" si="228">N1602-M1602</f>
        <v>8900</v>
      </c>
      <c r="P1602" s="10">
        <f t="shared" ref="P1602:P1657" si="229">G1602/F1602</f>
        <v>0.94090909090909092</v>
      </c>
      <c r="Q1602" s="10">
        <f t="shared" ref="Q1602:Q1657" si="230">H1602/G1602</f>
        <v>4.1062801932367152E-2</v>
      </c>
      <c r="R1602" s="10">
        <f t="shared" ref="R1602:R1657" si="231">O1602/N1602</f>
        <v>0.22418136020151133</v>
      </c>
      <c r="S1602" s="18">
        <f t="shared" ref="S1602:S1657" si="232">M1602/I1602</f>
        <v>77.581863979848862</v>
      </c>
      <c r="T1602" s="8">
        <f>480-ProductionData[[#This Row],[Downtime Minutes]]</f>
        <v>438</v>
      </c>
      <c r="U1602" s="11">
        <f t="shared" ref="U1602:U1657" si="233">G1602/T1602</f>
        <v>0.9452054794520548</v>
      </c>
      <c r="V1602" s="18">
        <f>ProductionData[[#This Row],[Profit]]/ProductionData[[#This Row],[Good Units]]</f>
        <v>22.418136020151135</v>
      </c>
      <c r="W1602" s="11">
        <f>ProductionData[[#This Row],[Good Units]]/ProductionData[[#This Row],[Operating Minutes]]</f>
        <v>0.90639269406392697</v>
      </c>
    </row>
    <row r="1603" spans="1:23">
      <c r="A1603" s="7">
        <v>46381</v>
      </c>
      <c r="B1603" s="8" t="s">
        <v>33</v>
      </c>
      <c r="C1603" s="8" t="s">
        <v>28</v>
      </c>
      <c r="D1603" s="8" t="s">
        <v>25</v>
      </c>
      <c r="E1603" s="8" t="s">
        <v>24</v>
      </c>
      <c r="F1603" s="9">
        <v>400</v>
      </c>
      <c r="G1603" s="9">
        <v>364</v>
      </c>
      <c r="H1603" s="9">
        <v>14</v>
      </c>
      <c r="I1603" s="9">
        <f t="shared" si="225"/>
        <v>350</v>
      </c>
      <c r="J1603" s="9">
        <v>26</v>
      </c>
      <c r="K1603" s="10">
        <f t="shared" si="226"/>
        <v>5.4166666666666669E-2</v>
      </c>
      <c r="L1603" s="17">
        <v>120</v>
      </c>
      <c r="M1603" s="17">
        <v>30800</v>
      </c>
      <c r="N1603" s="17">
        <f t="shared" si="227"/>
        <v>42000</v>
      </c>
      <c r="O1603" s="17">
        <f t="shared" si="228"/>
        <v>11200</v>
      </c>
      <c r="P1603" s="10">
        <f t="shared" si="229"/>
        <v>0.91</v>
      </c>
      <c r="Q1603" s="10">
        <f t="shared" si="230"/>
        <v>3.8461538461538464E-2</v>
      </c>
      <c r="R1603" s="10">
        <f t="shared" si="231"/>
        <v>0.26666666666666666</v>
      </c>
      <c r="S1603" s="18">
        <f t="shared" si="232"/>
        <v>88</v>
      </c>
      <c r="T1603" s="8">
        <f>480-ProductionData[[#This Row],[Downtime Minutes]]</f>
        <v>454</v>
      </c>
      <c r="U1603" s="11">
        <f t="shared" si="233"/>
        <v>0.80176211453744495</v>
      </c>
      <c r="V1603" s="18">
        <f>ProductionData[[#This Row],[Profit]]/ProductionData[[#This Row],[Good Units]]</f>
        <v>32</v>
      </c>
      <c r="W1603" s="11">
        <f>ProductionData[[#This Row],[Good Units]]/ProductionData[[#This Row],[Operating Minutes]]</f>
        <v>0.77092511013215859</v>
      </c>
    </row>
    <row r="1604" spans="1:23">
      <c r="A1604" s="7">
        <v>46382</v>
      </c>
      <c r="B1604" s="8" t="s">
        <v>33</v>
      </c>
      <c r="C1604" s="8" t="s">
        <v>20</v>
      </c>
      <c r="D1604" s="8" t="s">
        <v>21</v>
      </c>
      <c r="E1604" s="8" t="s">
        <v>24</v>
      </c>
      <c r="F1604" s="9">
        <v>390</v>
      </c>
      <c r="G1604" s="9">
        <v>379</v>
      </c>
      <c r="H1604" s="9">
        <v>10</v>
      </c>
      <c r="I1604" s="9">
        <f t="shared" si="225"/>
        <v>369</v>
      </c>
      <c r="J1604" s="9">
        <v>25</v>
      </c>
      <c r="K1604" s="10">
        <f t="shared" si="226"/>
        <v>5.2083333333333336E-2</v>
      </c>
      <c r="L1604" s="17">
        <v>120</v>
      </c>
      <c r="M1604" s="17">
        <v>30800</v>
      </c>
      <c r="N1604" s="17">
        <f t="shared" si="227"/>
        <v>44280</v>
      </c>
      <c r="O1604" s="17">
        <f t="shared" si="228"/>
        <v>13480</v>
      </c>
      <c r="P1604" s="10">
        <f t="shared" si="229"/>
        <v>0.97179487179487178</v>
      </c>
      <c r="Q1604" s="10">
        <f t="shared" si="230"/>
        <v>2.6385224274406333E-2</v>
      </c>
      <c r="R1604" s="10">
        <f t="shared" si="231"/>
        <v>0.30442637759710928</v>
      </c>
      <c r="S1604" s="18">
        <f t="shared" si="232"/>
        <v>83.468834688346888</v>
      </c>
      <c r="T1604" s="8">
        <f>480-ProductionData[[#This Row],[Downtime Minutes]]</f>
        <v>455</v>
      </c>
      <c r="U1604" s="11">
        <f t="shared" si="233"/>
        <v>0.83296703296703301</v>
      </c>
      <c r="V1604" s="18">
        <f>ProductionData[[#This Row],[Profit]]/ProductionData[[#This Row],[Good Units]]</f>
        <v>36.531165311653119</v>
      </c>
      <c r="W1604" s="11">
        <f>ProductionData[[#This Row],[Good Units]]/ProductionData[[#This Row],[Operating Minutes]]</f>
        <v>0.81098901098901099</v>
      </c>
    </row>
    <row r="1605" spans="1:23">
      <c r="A1605" s="7">
        <v>46382</v>
      </c>
      <c r="B1605" s="8" t="s">
        <v>33</v>
      </c>
      <c r="C1605" s="8" t="s">
        <v>20</v>
      </c>
      <c r="D1605" s="8" t="s">
        <v>23</v>
      </c>
      <c r="E1605" s="8" t="s">
        <v>26</v>
      </c>
      <c r="F1605" s="9">
        <v>500</v>
      </c>
      <c r="G1605" s="9">
        <v>485</v>
      </c>
      <c r="H1605" s="9">
        <v>19</v>
      </c>
      <c r="I1605" s="9">
        <f t="shared" si="225"/>
        <v>466</v>
      </c>
      <c r="J1605" s="9">
        <v>37</v>
      </c>
      <c r="K1605" s="10">
        <f t="shared" si="226"/>
        <v>7.7083333333333337E-2</v>
      </c>
      <c r="L1605" s="17">
        <v>90</v>
      </c>
      <c r="M1605" s="17">
        <v>30800</v>
      </c>
      <c r="N1605" s="17">
        <f t="shared" si="227"/>
        <v>41940</v>
      </c>
      <c r="O1605" s="17">
        <f t="shared" si="228"/>
        <v>11140</v>
      </c>
      <c r="P1605" s="10">
        <f t="shared" si="229"/>
        <v>0.97</v>
      </c>
      <c r="Q1605" s="10">
        <f t="shared" si="230"/>
        <v>3.9175257731958762E-2</v>
      </c>
      <c r="R1605" s="10">
        <f t="shared" si="231"/>
        <v>0.26561754887935146</v>
      </c>
      <c r="S1605" s="18">
        <f t="shared" si="232"/>
        <v>66.094420600858371</v>
      </c>
      <c r="T1605" s="8">
        <f>480-ProductionData[[#This Row],[Downtime Minutes]]</f>
        <v>443</v>
      </c>
      <c r="U1605" s="11">
        <f t="shared" si="233"/>
        <v>1.0948081264108351</v>
      </c>
      <c r="V1605" s="18">
        <f>ProductionData[[#This Row],[Profit]]/ProductionData[[#This Row],[Good Units]]</f>
        <v>23.905579399141629</v>
      </c>
      <c r="W1605" s="11">
        <f>ProductionData[[#This Row],[Good Units]]/ProductionData[[#This Row],[Operating Minutes]]</f>
        <v>1.0519187358916477</v>
      </c>
    </row>
    <row r="1606" spans="1:23">
      <c r="A1606" s="7">
        <v>46382</v>
      </c>
      <c r="B1606" s="8" t="s">
        <v>33</v>
      </c>
      <c r="C1606" s="8" t="s">
        <v>20</v>
      </c>
      <c r="D1606" s="8" t="s">
        <v>25</v>
      </c>
      <c r="E1606" s="8" t="s">
        <v>22</v>
      </c>
      <c r="F1606" s="9">
        <v>440</v>
      </c>
      <c r="G1606" s="9">
        <v>398</v>
      </c>
      <c r="H1606" s="9">
        <v>24</v>
      </c>
      <c r="I1606" s="9">
        <f t="shared" si="225"/>
        <v>374</v>
      </c>
      <c r="J1606" s="9">
        <v>58</v>
      </c>
      <c r="K1606" s="10">
        <f t="shared" si="226"/>
        <v>0.12083333333333333</v>
      </c>
      <c r="L1606" s="17">
        <v>100</v>
      </c>
      <c r="M1606" s="17">
        <v>30800</v>
      </c>
      <c r="N1606" s="17">
        <f t="shared" si="227"/>
        <v>37400</v>
      </c>
      <c r="O1606" s="17">
        <f t="shared" si="228"/>
        <v>6600</v>
      </c>
      <c r="P1606" s="10">
        <f t="shared" si="229"/>
        <v>0.90454545454545454</v>
      </c>
      <c r="Q1606" s="10">
        <f t="shared" si="230"/>
        <v>6.030150753768844E-2</v>
      </c>
      <c r="R1606" s="10">
        <f t="shared" si="231"/>
        <v>0.17647058823529413</v>
      </c>
      <c r="S1606" s="18">
        <f t="shared" si="232"/>
        <v>82.352941176470594</v>
      </c>
      <c r="T1606" s="8">
        <f>480-ProductionData[[#This Row],[Downtime Minutes]]</f>
        <v>422</v>
      </c>
      <c r="U1606" s="11">
        <f t="shared" si="233"/>
        <v>0.94312796208530802</v>
      </c>
      <c r="V1606" s="18">
        <f>ProductionData[[#This Row],[Profit]]/ProductionData[[#This Row],[Good Units]]</f>
        <v>17.647058823529413</v>
      </c>
      <c r="W1606" s="11">
        <f>ProductionData[[#This Row],[Good Units]]/ProductionData[[#This Row],[Operating Minutes]]</f>
        <v>0.88625592417061616</v>
      </c>
    </row>
    <row r="1607" spans="1:23">
      <c r="A1607" s="7">
        <v>46382</v>
      </c>
      <c r="B1607" s="8" t="s">
        <v>33</v>
      </c>
      <c r="C1607" s="8" t="s">
        <v>27</v>
      </c>
      <c r="D1607" s="8" t="s">
        <v>21</v>
      </c>
      <c r="E1607" s="8" t="s">
        <v>26</v>
      </c>
      <c r="F1607" s="9">
        <v>510</v>
      </c>
      <c r="G1607" s="9">
        <v>469</v>
      </c>
      <c r="H1607" s="9">
        <v>24</v>
      </c>
      <c r="I1607" s="9">
        <f t="shared" si="225"/>
        <v>445</v>
      </c>
      <c r="J1607" s="9">
        <v>38</v>
      </c>
      <c r="K1607" s="10">
        <f t="shared" si="226"/>
        <v>7.9166666666666663E-2</v>
      </c>
      <c r="L1607" s="17">
        <v>90</v>
      </c>
      <c r="M1607" s="17">
        <v>30800</v>
      </c>
      <c r="N1607" s="17">
        <f t="shared" si="227"/>
        <v>40050</v>
      </c>
      <c r="O1607" s="17">
        <f t="shared" si="228"/>
        <v>9250</v>
      </c>
      <c r="P1607" s="10">
        <f t="shared" si="229"/>
        <v>0.91960784313725485</v>
      </c>
      <c r="Q1607" s="10">
        <f t="shared" si="230"/>
        <v>5.1172707889125799E-2</v>
      </c>
      <c r="R1607" s="10">
        <f t="shared" si="231"/>
        <v>0.23096129837702872</v>
      </c>
      <c r="S1607" s="18">
        <f t="shared" si="232"/>
        <v>69.213483146067418</v>
      </c>
      <c r="T1607" s="8">
        <f>480-ProductionData[[#This Row],[Downtime Minutes]]</f>
        <v>442</v>
      </c>
      <c r="U1607" s="11">
        <f t="shared" si="233"/>
        <v>1.0610859728506787</v>
      </c>
      <c r="V1607" s="18">
        <f>ProductionData[[#This Row],[Profit]]/ProductionData[[#This Row],[Good Units]]</f>
        <v>20.786516853932586</v>
      </c>
      <c r="W1607" s="11">
        <f>ProductionData[[#This Row],[Good Units]]/ProductionData[[#This Row],[Operating Minutes]]</f>
        <v>1.0067873303167421</v>
      </c>
    </row>
    <row r="1608" spans="1:23">
      <c r="A1608" s="7">
        <v>46382</v>
      </c>
      <c r="B1608" s="8" t="s">
        <v>33</v>
      </c>
      <c r="C1608" s="8" t="s">
        <v>27</v>
      </c>
      <c r="D1608" s="8" t="s">
        <v>23</v>
      </c>
      <c r="E1608" s="8" t="s">
        <v>22</v>
      </c>
      <c r="F1608" s="9">
        <v>440</v>
      </c>
      <c r="G1608" s="9">
        <v>397</v>
      </c>
      <c r="H1608" s="9">
        <v>29</v>
      </c>
      <c r="I1608" s="9">
        <f t="shared" si="225"/>
        <v>368</v>
      </c>
      <c r="J1608" s="9">
        <v>59</v>
      </c>
      <c r="K1608" s="10">
        <f t="shared" si="226"/>
        <v>0.12291666666666666</v>
      </c>
      <c r="L1608" s="17">
        <v>100</v>
      </c>
      <c r="M1608" s="17">
        <v>30800</v>
      </c>
      <c r="N1608" s="17">
        <f t="shared" si="227"/>
        <v>36800</v>
      </c>
      <c r="O1608" s="17">
        <f t="shared" si="228"/>
        <v>6000</v>
      </c>
      <c r="P1608" s="10">
        <f t="shared" si="229"/>
        <v>0.90227272727272723</v>
      </c>
      <c r="Q1608" s="10">
        <f t="shared" si="230"/>
        <v>7.3047858942065488E-2</v>
      </c>
      <c r="R1608" s="10">
        <f t="shared" si="231"/>
        <v>0.16304347826086957</v>
      </c>
      <c r="S1608" s="18">
        <f t="shared" si="232"/>
        <v>83.695652173913047</v>
      </c>
      <c r="T1608" s="8">
        <f>480-ProductionData[[#This Row],[Downtime Minutes]]</f>
        <v>421</v>
      </c>
      <c r="U1608" s="11">
        <f t="shared" si="233"/>
        <v>0.94299287410926369</v>
      </c>
      <c r="V1608" s="18">
        <f>ProductionData[[#This Row],[Profit]]/ProductionData[[#This Row],[Good Units]]</f>
        <v>16.304347826086957</v>
      </c>
      <c r="W1608" s="11">
        <f>ProductionData[[#This Row],[Good Units]]/ProductionData[[#This Row],[Operating Minutes]]</f>
        <v>0.87410926365795727</v>
      </c>
    </row>
    <row r="1609" spans="1:23">
      <c r="A1609" s="7">
        <v>46382</v>
      </c>
      <c r="B1609" s="8" t="s">
        <v>33</v>
      </c>
      <c r="C1609" s="8" t="s">
        <v>27</v>
      </c>
      <c r="D1609" s="8" t="s">
        <v>25</v>
      </c>
      <c r="E1609" s="8" t="s">
        <v>24</v>
      </c>
      <c r="F1609" s="9">
        <v>390</v>
      </c>
      <c r="G1609" s="9">
        <v>343</v>
      </c>
      <c r="H1609" s="9">
        <v>22</v>
      </c>
      <c r="I1609" s="9">
        <f t="shared" si="225"/>
        <v>321</v>
      </c>
      <c r="J1609" s="9">
        <v>51</v>
      </c>
      <c r="K1609" s="10">
        <f t="shared" si="226"/>
        <v>0.10625</v>
      </c>
      <c r="L1609" s="17">
        <v>120</v>
      </c>
      <c r="M1609" s="17">
        <v>30800</v>
      </c>
      <c r="N1609" s="17">
        <f t="shared" si="227"/>
        <v>38520</v>
      </c>
      <c r="O1609" s="17">
        <f t="shared" si="228"/>
        <v>7720</v>
      </c>
      <c r="P1609" s="10">
        <f t="shared" si="229"/>
        <v>0.87948717948717947</v>
      </c>
      <c r="Q1609" s="10">
        <f t="shared" si="230"/>
        <v>6.4139941690962099E-2</v>
      </c>
      <c r="R1609" s="10">
        <f t="shared" si="231"/>
        <v>0.20041536863966772</v>
      </c>
      <c r="S1609" s="18">
        <f t="shared" si="232"/>
        <v>95.950155763239877</v>
      </c>
      <c r="T1609" s="8">
        <f>480-ProductionData[[#This Row],[Downtime Minutes]]</f>
        <v>429</v>
      </c>
      <c r="U1609" s="11">
        <f t="shared" si="233"/>
        <v>0.79953379953379955</v>
      </c>
      <c r="V1609" s="18">
        <f>ProductionData[[#This Row],[Profit]]/ProductionData[[#This Row],[Good Units]]</f>
        <v>24.049844236760123</v>
      </c>
      <c r="W1609" s="11">
        <f>ProductionData[[#This Row],[Good Units]]/ProductionData[[#This Row],[Operating Minutes]]</f>
        <v>0.74825174825174823</v>
      </c>
    </row>
    <row r="1610" spans="1:23">
      <c r="A1610" s="7">
        <v>46382</v>
      </c>
      <c r="B1610" s="8" t="s">
        <v>33</v>
      </c>
      <c r="C1610" s="8" t="s">
        <v>28</v>
      </c>
      <c r="D1610" s="8" t="s">
        <v>21</v>
      </c>
      <c r="E1610" s="8" t="s">
        <v>22</v>
      </c>
      <c r="F1610" s="9">
        <v>430</v>
      </c>
      <c r="G1610" s="9">
        <v>430</v>
      </c>
      <c r="H1610" s="9">
        <v>16</v>
      </c>
      <c r="I1610" s="9">
        <f t="shared" si="225"/>
        <v>414</v>
      </c>
      <c r="J1610" s="9">
        <v>29</v>
      </c>
      <c r="K1610" s="10">
        <f t="shared" si="226"/>
        <v>6.0416666666666667E-2</v>
      </c>
      <c r="L1610" s="17">
        <v>100</v>
      </c>
      <c r="M1610" s="17">
        <v>30800</v>
      </c>
      <c r="N1610" s="17">
        <f t="shared" si="227"/>
        <v>41400</v>
      </c>
      <c r="O1610" s="17">
        <f t="shared" si="228"/>
        <v>10600</v>
      </c>
      <c r="P1610" s="10">
        <f t="shared" si="229"/>
        <v>1</v>
      </c>
      <c r="Q1610" s="10">
        <f t="shared" si="230"/>
        <v>3.7209302325581395E-2</v>
      </c>
      <c r="R1610" s="10">
        <f t="shared" si="231"/>
        <v>0.2560386473429952</v>
      </c>
      <c r="S1610" s="18">
        <f t="shared" si="232"/>
        <v>74.39613526570048</v>
      </c>
      <c r="T1610" s="8">
        <f>480-ProductionData[[#This Row],[Downtime Minutes]]</f>
        <v>451</v>
      </c>
      <c r="U1610" s="11">
        <f t="shared" si="233"/>
        <v>0.95343680709534373</v>
      </c>
      <c r="V1610" s="18">
        <f>ProductionData[[#This Row],[Profit]]/ProductionData[[#This Row],[Good Units]]</f>
        <v>25.603864734299517</v>
      </c>
      <c r="W1610" s="11">
        <f>ProductionData[[#This Row],[Good Units]]/ProductionData[[#This Row],[Operating Minutes]]</f>
        <v>0.91796008869179602</v>
      </c>
    </row>
    <row r="1611" spans="1:23">
      <c r="A1611" s="7">
        <v>46382</v>
      </c>
      <c r="B1611" s="8" t="s">
        <v>33</v>
      </c>
      <c r="C1611" s="8" t="s">
        <v>28</v>
      </c>
      <c r="D1611" s="8" t="s">
        <v>23</v>
      </c>
      <c r="E1611" s="8" t="s">
        <v>24</v>
      </c>
      <c r="F1611" s="9">
        <v>400</v>
      </c>
      <c r="G1611" s="9">
        <v>387</v>
      </c>
      <c r="H1611" s="9">
        <v>11</v>
      </c>
      <c r="I1611" s="9">
        <f t="shared" si="225"/>
        <v>376</v>
      </c>
      <c r="J1611" s="9">
        <v>33</v>
      </c>
      <c r="K1611" s="10">
        <f t="shared" si="226"/>
        <v>6.8750000000000006E-2</v>
      </c>
      <c r="L1611" s="17">
        <v>120</v>
      </c>
      <c r="M1611" s="17">
        <v>30800</v>
      </c>
      <c r="N1611" s="17">
        <f t="shared" si="227"/>
        <v>45120</v>
      </c>
      <c r="O1611" s="17">
        <f t="shared" si="228"/>
        <v>14320</v>
      </c>
      <c r="P1611" s="10">
        <f t="shared" si="229"/>
        <v>0.96750000000000003</v>
      </c>
      <c r="Q1611" s="10">
        <f t="shared" si="230"/>
        <v>2.8423772609819122E-2</v>
      </c>
      <c r="R1611" s="10">
        <f t="shared" si="231"/>
        <v>0.31737588652482268</v>
      </c>
      <c r="S1611" s="18">
        <f t="shared" si="232"/>
        <v>81.914893617021278</v>
      </c>
      <c r="T1611" s="8">
        <f>480-ProductionData[[#This Row],[Downtime Minutes]]</f>
        <v>447</v>
      </c>
      <c r="U1611" s="11">
        <f t="shared" si="233"/>
        <v>0.86577181208053688</v>
      </c>
      <c r="V1611" s="18">
        <f>ProductionData[[#This Row],[Profit]]/ProductionData[[#This Row],[Good Units]]</f>
        <v>38.085106382978722</v>
      </c>
      <c r="W1611" s="11">
        <f>ProductionData[[#This Row],[Good Units]]/ProductionData[[#This Row],[Operating Minutes]]</f>
        <v>0.84116331096196872</v>
      </c>
    </row>
    <row r="1612" spans="1:23">
      <c r="A1612" s="7">
        <v>46382</v>
      </c>
      <c r="B1612" s="8" t="s">
        <v>33</v>
      </c>
      <c r="C1612" s="8" t="s">
        <v>28</v>
      </c>
      <c r="D1612" s="8" t="s">
        <v>25</v>
      </c>
      <c r="E1612" s="8" t="s">
        <v>26</v>
      </c>
      <c r="F1612" s="9">
        <v>510</v>
      </c>
      <c r="G1612" s="9">
        <v>480</v>
      </c>
      <c r="H1612" s="9">
        <v>20</v>
      </c>
      <c r="I1612" s="9">
        <f t="shared" si="225"/>
        <v>460</v>
      </c>
      <c r="J1612" s="9">
        <v>32</v>
      </c>
      <c r="K1612" s="10">
        <f t="shared" si="226"/>
        <v>6.6666666666666666E-2</v>
      </c>
      <c r="L1612" s="17">
        <v>90</v>
      </c>
      <c r="M1612" s="17">
        <v>30800</v>
      </c>
      <c r="N1612" s="17">
        <f t="shared" si="227"/>
        <v>41400</v>
      </c>
      <c r="O1612" s="17">
        <f t="shared" si="228"/>
        <v>10600</v>
      </c>
      <c r="P1612" s="10">
        <f t="shared" si="229"/>
        <v>0.94117647058823528</v>
      </c>
      <c r="Q1612" s="10">
        <f t="shared" si="230"/>
        <v>4.1666666666666664E-2</v>
      </c>
      <c r="R1612" s="10">
        <f t="shared" si="231"/>
        <v>0.2560386473429952</v>
      </c>
      <c r="S1612" s="18">
        <f t="shared" si="232"/>
        <v>66.956521739130437</v>
      </c>
      <c r="T1612" s="8">
        <f>480-ProductionData[[#This Row],[Downtime Minutes]]</f>
        <v>448</v>
      </c>
      <c r="U1612" s="11">
        <f t="shared" si="233"/>
        <v>1.0714285714285714</v>
      </c>
      <c r="V1612" s="18">
        <f>ProductionData[[#This Row],[Profit]]/ProductionData[[#This Row],[Good Units]]</f>
        <v>23.043478260869566</v>
      </c>
      <c r="W1612" s="11">
        <f>ProductionData[[#This Row],[Good Units]]/ProductionData[[#This Row],[Operating Minutes]]</f>
        <v>1.0267857142857142</v>
      </c>
    </row>
    <row r="1613" spans="1:23">
      <c r="A1613" s="7">
        <v>46383</v>
      </c>
      <c r="B1613" s="8" t="s">
        <v>33</v>
      </c>
      <c r="C1613" s="8" t="s">
        <v>20</v>
      </c>
      <c r="D1613" s="8" t="s">
        <v>21</v>
      </c>
      <c r="E1613" s="8" t="s">
        <v>26</v>
      </c>
      <c r="F1613" s="9">
        <v>510</v>
      </c>
      <c r="G1613" s="9">
        <v>485</v>
      </c>
      <c r="H1613" s="9">
        <v>13</v>
      </c>
      <c r="I1613" s="9">
        <f t="shared" si="225"/>
        <v>472</v>
      </c>
      <c r="J1613" s="9">
        <v>29</v>
      </c>
      <c r="K1613" s="10">
        <f t="shared" si="226"/>
        <v>6.0416666666666667E-2</v>
      </c>
      <c r="L1613" s="17">
        <v>90</v>
      </c>
      <c r="M1613" s="17">
        <v>30800</v>
      </c>
      <c r="N1613" s="17">
        <f t="shared" si="227"/>
        <v>42480</v>
      </c>
      <c r="O1613" s="17">
        <f t="shared" si="228"/>
        <v>11680</v>
      </c>
      <c r="P1613" s="10">
        <f t="shared" si="229"/>
        <v>0.9509803921568627</v>
      </c>
      <c r="Q1613" s="10">
        <f t="shared" si="230"/>
        <v>2.6804123711340205E-2</v>
      </c>
      <c r="R1613" s="10">
        <f t="shared" si="231"/>
        <v>0.27495291902071561</v>
      </c>
      <c r="S1613" s="18">
        <f t="shared" si="232"/>
        <v>65.254237288135599</v>
      </c>
      <c r="T1613" s="8">
        <f>480-ProductionData[[#This Row],[Downtime Minutes]]</f>
        <v>451</v>
      </c>
      <c r="U1613" s="11">
        <f t="shared" si="233"/>
        <v>1.0753880266075388</v>
      </c>
      <c r="V1613" s="18">
        <f>ProductionData[[#This Row],[Profit]]/ProductionData[[#This Row],[Good Units]]</f>
        <v>24.745762711864408</v>
      </c>
      <c r="W1613" s="11">
        <f>ProductionData[[#This Row],[Good Units]]/ProductionData[[#This Row],[Operating Minutes]]</f>
        <v>1.0465631929046564</v>
      </c>
    </row>
    <row r="1614" spans="1:23">
      <c r="A1614" s="7">
        <v>46383</v>
      </c>
      <c r="B1614" s="8" t="s">
        <v>33</v>
      </c>
      <c r="C1614" s="8" t="s">
        <v>20</v>
      </c>
      <c r="D1614" s="8" t="s">
        <v>23</v>
      </c>
      <c r="E1614" s="8" t="s">
        <v>22</v>
      </c>
      <c r="F1614" s="9">
        <v>450</v>
      </c>
      <c r="G1614" s="9">
        <v>424</v>
      </c>
      <c r="H1614" s="9">
        <v>24</v>
      </c>
      <c r="I1614" s="9">
        <f t="shared" si="225"/>
        <v>400</v>
      </c>
      <c r="J1614" s="9">
        <v>46</v>
      </c>
      <c r="K1614" s="10">
        <f t="shared" si="226"/>
        <v>9.583333333333334E-2</v>
      </c>
      <c r="L1614" s="17">
        <v>100</v>
      </c>
      <c r="M1614" s="17">
        <v>30800</v>
      </c>
      <c r="N1614" s="17">
        <f t="shared" si="227"/>
        <v>40000</v>
      </c>
      <c r="O1614" s="17">
        <f t="shared" si="228"/>
        <v>9200</v>
      </c>
      <c r="P1614" s="10">
        <f t="shared" si="229"/>
        <v>0.94222222222222218</v>
      </c>
      <c r="Q1614" s="10">
        <f t="shared" si="230"/>
        <v>5.6603773584905662E-2</v>
      </c>
      <c r="R1614" s="10">
        <f t="shared" si="231"/>
        <v>0.23</v>
      </c>
      <c r="S1614" s="18">
        <f t="shared" si="232"/>
        <v>77</v>
      </c>
      <c r="T1614" s="8">
        <f>480-ProductionData[[#This Row],[Downtime Minutes]]</f>
        <v>434</v>
      </c>
      <c r="U1614" s="11">
        <f t="shared" si="233"/>
        <v>0.97695852534562211</v>
      </c>
      <c r="V1614" s="18">
        <f>ProductionData[[#This Row],[Profit]]/ProductionData[[#This Row],[Good Units]]</f>
        <v>23</v>
      </c>
      <c r="W1614" s="11">
        <f>ProductionData[[#This Row],[Good Units]]/ProductionData[[#This Row],[Operating Minutes]]</f>
        <v>0.92165898617511521</v>
      </c>
    </row>
    <row r="1615" spans="1:23">
      <c r="A1615" s="7">
        <v>46383</v>
      </c>
      <c r="B1615" s="8" t="s">
        <v>33</v>
      </c>
      <c r="C1615" s="8" t="s">
        <v>20</v>
      </c>
      <c r="D1615" s="8" t="s">
        <v>25</v>
      </c>
      <c r="E1615" s="8" t="s">
        <v>24</v>
      </c>
      <c r="F1615" s="9">
        <v>390</v>
      </c>
      <c r="G1615" s="9">
        <v>350</v>
      </c>
      <c r="H1615" s="9">
        <v>14</v>
      </c>
      <c r="I1615" s="9">
        <f t="shared" si="225"/>
        <v>336</v>
      </c>
      <c r="J1615" s="9">
        <v>54</v>
      </c>
      <c r="K1615" s="10">
        <f t="shared" si="226"/>
        <v>0.1125</v>
      </c>
      <c r="L1615" s="17">
        <v>120</v>
      </c>
      <c r="M1615" s="17">
        <v>30800</v>
      </c>
      <c r="N1615" s="17">
        <f t="shared" si="227"/>
        <v>40320</v>
      </c>
      <c r="O1615" s="17">
        <f t="shared" si="228"/>
        <v>9520</v>
      </c>
      <c r="P1615" s="10">
        <f t="shared" si="229"/>
        <v>0.89743589743589747</v>
      </c>
      <c r="Q1615" s="10">
        <f t="shared" si="230"/>
        <v>0.04</v>
      </c>
      <c r="R1615" s="10">
        <f t="shared" si="231"/>
        <v>0.2361111111111111</v>
      </c>
      <c r="S1615" s="18">
        <f t="shared" si="232"/>
        <v>91.666666666666671</v>
      </c>
      <c r="T1615" s="8">
        <f>480-ProductionData[[#This Row],[Downtime Minutes]]</f>
        <v>426</v>
      </c>
      <c r="U1615" s="11">
        <f t="shared" si="233"/>
        <v>0.82159624413145538</v>
      </c>
      <c r="V1615" s="18">
        <f>ProductionData[[#This Row],[Profit]]/ProductionData[[#This Row],[Good Units]]</f>
        <v>28.333333333333332</v>
      </c>
      <c r="W1615" s="11">
        <f>ProductionData[[#This Row],[Good Units]]/ProductionData[[#This Row],[Operating Minutes]]</f>
        <v>0.78873239436619713</v>
      </c>
    </row>
    <row r="1616" spans="1:23">
      <c r="A1616" s="7">
        <v>46383</v>
      </c>
      <c r="B1616" s="8" t="s">
        <v>33</v>
      </c>
      <c r="C1616" s="8" t="s">
        <v>27</v>
      </c>
      <c r="D1616" s="8" t="s">
        <v>21</v>
      </c>
      <c r="E1616" s="8" t="s">
        <v>22</v>
      </c>
      <c r="F1616" s="9">
        <v>470</v>
      </c>
      <c r="G1616" s="9">
        <v>422</v>
      </c>
      <c r="H1616" s="9">
        <v>29</v>
      </c>
      <c r="I1616" s="9">
        <f t="shared" si="225"/>
        <v>393</v>
      </c>
      <c r="J1616" s="9">
        <v>60</v>
      </c>
      <c r="K1616" s="10">
        <f t="shared" si="226"/>
        <v>0.125</v>
      </c>
      <c r="L1616" s="17">
        <v>100</v>
      </c>
      <c r="M1616" s="17">
        <v>30800</v>
      </c>
      <c r="N1616" s="17">
        <f t="shared" si="227"/>
        <v>39300</v>
      </c>
      <c r="O1616" s="17">
        <f t="shared" si="228"/>
        <v>8500</v>
      </c>
      <c r="P1616" s="10">
        <f t="shared" si="229"/>
        <v>0.89787234042553188</v>
      </c>
      <c r="Q1616" s="10">
        <f t="shared" si="230"/>
        <v>6.8720379146919433E-2</v>
      </c>
      <c r="R1616" s="10">
        <f t="shared" si="231"/>
        <v>0.21628498727735368</v>
      </c>
      <c r="S1616" s="18">
        <f t="shared" si="232"/>
        <v>78.371501272264638</v>
      </c>
      <c r="T1616" s="8">
        <f>480-ProductionData[[#This Row],[Downtime Minutes]]</f>
        <v>420</v>
      </c>
      <c r="U1616" s="11">
        <f t="shared" si="233"/>
        <v>1.0047619047619047</v>
      </c>
      <c r="V1616" s="18">
        <f>ProductionData[[#This Row],[Profit]]/ProductionData[[#This Row],[Good Units]]</f>
        <v>21.628498727735369</v>
      </c>
      <c r="W1616" s="11">
        <f>ProductionData[[#This Row],[Good Units]]/ProductionData[[#This Row],[Operating Minutes]]</f>
        <v>0.93571428571428572</v>
      </c>
    </row>
    <row r="1617" spans="1:23">
      <c r="A1617" s="7">
        <v>46383</v>
      </c>
      <c r="B1617" s="8" t="s">
        <v>33</v>
      </c>
      <c r="C1617" s="8" t="s">
        <v>27</v>
      </c>
      <c r="D1617" s="8" t="s">
        <v>23</v>
      </c>
      <c r="E1617" s="8" t="s">
        <v>24</v>
      </c>
      <c r="F1617" s="9">
        <v>390</v>
      </c>
      <c r="G1617" s="9">
        <v>346</v>
      </c>
      <c r="H1617" s="9">
        <v>16</v>
      </c>
      <c r="I1617" s="9">
        <f t="shared" si="225"/>
        <v>330</v>
      </c>
      <c r="J1617" s="9">
        <v>59</v>
      </c>
      <c r="K1617" s="10">
        <f t="shared" si="226"/>
        <v>0.12291666666666666</v>
      </c>
      <c r="L1617" s="17">
        <v>120</v>
      </c>
      <c r="M1617" s="17">
        <v>30800</v>
      </c>
      <c r="N1617" s="17">
        <f t="shared" si="227"/>
        <v>39600</v>
      </c>
      <c r="O1617" s="17">
        <f t="shared" si="228"/>
        <v>8800</v>
      </c>
      <c r="P1617" s="10">
        <f t="shared" si="229"/>
        <v>0.88717948717948714</v>
      </c>
      <c r="Q1617" s="10">
        <f t="shared" si="230"/>
        <v>4.6242774566473986E-2</v>
      </c>
      <c r="R1617" s="10">
        <f t="shared" si="231"/>
        <v>0.22222222222222221</v>
      </c>
      <c r="S1617" s="18">
        <f t="shared" si="232"/>
        <v>93.333333333333329</v>
      </c>
      <c r="T1617" s="8">
        <f>480-ProductionData[[#This Row],[Downtime Minutes]]</f>
        <v>421</v>
      </c>
      <c r="U1617" s="11">
        <f t="shared" si="233"/>
        <v>0.82185273159144889</v>
      </c>
      <c r="V1617" s="18">
        <f>ProductionData[[#This Row],[Profit]]/ProductionData[[#This Row],[Good Units]]</f>
        <v>26.666666666666668</v>
      </c>
      <c r="W1617" s="11">
        <f>ProductionData[[#This Row],[Good Units]]/ProductionData[[#This Row],[Operating Minutes]]</f>
        <v>0.78384798099762465</v>
      </c>
    </row>
    <row r="1618" spans="1:23">
      <c r="A1618" s="7">
        <v>46383</v>
      </c>
      <c r="B1618" s="8" t="s">
        <v>33</v>
      </c>
      <c r="C1618" s="8" t="s">
        <v>27</v>
      </c>
      <c r="D1618" s="8" t="s">
        <v>25</v>
      </c>
      <c r="E1618" s="8" t="s">
        <v>26</v>
      </c>
      <c r="F1618" s="9">
        <v>480</v>
      </c>
      <c r="G1618" s="9">
        <v>410</v>
      </c>
      <c r="H1618" s="9">
        <v>25</v>
      </c>
      <c r="I1618" s="9">
        <f t="shared" si="225"/>
        <v>385</v>
      </c>
      <c r="J1618" s="9">
        <v>53</v>
      </c>
      <c r="K1618" s="10">
        <f t="shared" si="226"/>
        <v>0.11041666666666666</v>
      </c>
      <c r="L1618" s="17">
        <v>90</v>
      </c>
      <c r="M1618" s="17">
        <v>30800</v>
      </c>
      <c r="N1618" s="17">
        <f t="shared" si="227"/>
        <v>34650</v>
      </c>
      <c r="O1618" s="17">
        <f t="shared" si="228"/>
        <v>3850</v>
      </c>
      <c r="P1618" s="10">
        <f t="shared" si="229"/>
        <v>0.85416666666666663</v>
      </c>
      <c r="Q1618" s="10">
        <f t="shared" si="230"/>
        <v>6.097560975609756E-2</v>
      </c>
      <c r="R1618" s="10">
        <f t="shared" si="231"/>
        <v>0.1111111111111111</v>
      </c>
      <c r="S1618" s="18">
        <f t="shared" si="232"/>
        <v>80</v>
      </c>
      <c r="T1618" s="8">
        <f>480-ProductionData[[#This Row],[Downtime Minutes]]</f>
        <v>427</v>
      </c>
      <c r="U1618" s="11">
        <f t="shared" si="233"/>
        <v>0.96018735362997654</v>
      </c>
      <c r="V1618" s="18">
        <f>ProductionData[[#This Row],[Profit]]/ProductionData[[#This Row],[Good Units]]</f>
        <v>10</v>
      </c>
      <c r="W1618" s="11">
        <f>ProductionData[[#This Row],[Good Units]]/ProductionData[[#This Row],[Operating Minutes]]</f>
        <v>0.90163934426229508</v>
      </c>
    </row>
    <row r="1619" spans="1:23">
      <c r="A1619" s="7">
        <v>46383</v>
      </c>
      <c r="B1619" s="8" t="s">
        <v>33</v>
      </c>
      <c r="C1619" s="8" t="s">
        <v>28</v>
      </c>
      <c r="D1619" s="8" t="s">
        <v>21</v>
      </c>
      <c r="E1619" s="8" t="s">
        <v>24</v>
      </c>
      <c r="F1619" s="9">
        <v>380</v>
      </c>
      <c r="G1619" s="9">
        <v>363</v>
      </c>
      <c r="H1619" s="9">
        <v>10</v>
      </c>
      <c r="I1619" s="9">
        <f t="shared" si="225"/>
        <v>353</v>
      </c>
      <c r="J1619" s="9">
        <v>23</v>
      </c>
      <c r="K1619" s="10">
        <f t="shared" si="226"/>
        <v>4.791666666666667E-2</v>
      </c>
      <c r="L1619" s="17">
        <v>120</v>
      </c>
      <c r="M1619" s="17">
        <v>30800</v>
      </c>
      <c r="N1619" s="17">
        <f t="shared" si="227"/>
        <v>42360</v>
      </c>
      <c r="O1619" s="17">
        <f t="shared" si="228"/>
        <v>11560</v>
      </c>
      <c r="P1619" s="10">
        <f t="shared" si="229"/>
        <v>0.95526315789473681</v>
      </c>
      <c r="Q1619" s="10">
        <f t="shared" si="230"/>
        <v>2.7548209366391185E-2</v>
      </c>
      <c r="R1619" s="10">
        <f t="shared" si="231"/>
        <v>0.27289896128423041</v>
      </c>
      <c r="S1619" s="18">
        <f t="shared" si="232"/>
        <v>87.252124645892351</v>
      </c>
      <c r="T1619" s="8">
        <f>480-ProductionData[[#This Row],[Downtime Minutes]]</f>
        <v>457</v>
      </c>
      <c r="U1619" s="11">
        <f t="shared" si="233"/>
        <v>0.79431072210065645</v>
      </c>
      <c r="V1619" s="18">
        <f>ProductionData[[#This Row],[Profit]]/ProductionData[[#This Row],[Good Units]]</f>
        <v>32.747875354107649</v>
      </c>
      <c r="W1619" s="11">
        <f>ProductionData[[#This Row],[Good Units]]/ProductionData[[#This Row],[Operating Minutes]]</f>
        <v>0.7724288840262582</v>
      </c>
    </row>
    <row r="1620" spans="1:23">
      <c r="A1620" s="7">
        <v>46383</v>
      </c>
      <c r="B1620" s="8" t="s">
        <v>33</v>
      </c>
      <c r="C1620" s="8" t="s">
        <v>28</v>
      </c>
      <c r="D1620" s="8" t="s">
        <v>23</v>
      </c>
      <c r="E1620" s="8" t="s">
        <v>26</v>
      </c>
      <c r="F1620" s="9">
        <v>520</v>
      </c>
      <c r="G1620" s="9">
        <v>496</v>
      </c>
      <c r="H1620" s="9">
        <v>14</v>
      </c>
      <c r="I1620" s="9">
        <f t="shared" si="225"/>
        <v>482</v>
      </c>
      <c r="J1620" s="9">
        <v>17</v>
      </c>
      <c r="K1620" s="10">
        <f t="shared" si="226"/>
        <v>3.5416666666666666E-2</v>
      </c>
      <c r="L1620" s="17">
        <v>90</v>
      </c>
      <c r="M1620" s="17">
        <v>30800</v>
      </c>
      <c r="N1620" s="17">
        <f t="shared" si="227"/>
        <v>43380</v>
      </c>
      <c r="O1620" s="17">
        <f t="shared" si="228"/>
        <v>12580</v>
      </c>
      <c r="P1620" s="10">
        <f t="shared" si="229"/>
        <v>0.9538461538461539</v>
      </c>
      <c r="Q1620" s="10">
        <f t="shared" si="230"/>
        <v>2.8225806451612902E-2</v>
      </c>
      <c r="R1620" s="10">
        <f t="shared" si="231"/>
        <v>0.28999538958045185</v>
      </c>
      <c r="S1620" s="18">
        <f t="shared" si="232"/>
        <v>63.900414937759336</v>
      </c>
      <c r="T1620" s="8">
        <f>480-ProductionData[[#This Row],[Downtime Minutes]]</f>
        <v>463</v>
      </c>
      <c r="U1620" s="11">
        <f t="shared" si="233"/>
        <v>1.0712742980561556</v>
      </c>
      <c r="V1620" s="18">
        <f>ProductionData[[#This Row],[Profit]]/ProductionData[[#This Row],[Good Units]]</f>
        <v>26.099585062240664</v>
      </c>
      <c r="W1620" s="11">
        <f>ProductionData[[#This Row],[Good Units]]/ProductionData[[#This Row],[Operating Minutes]]</f>
        <v>1.0410367170626349</v>
      </c>
    </row>
    <row r="1621" spans="1:23">
      <c r="A1621" s="7">
        <v>46383</v>
      </c>
      <c r="B1621" s="8" t="s">
        <v>33</v>
      </c>
      <c r="C1621" s="8" t="s">
        <v>28</v>
      </c>
      <c r="D1621" s="8" t="s">
        <v>25</v>
      </c>
      <c r="E1621" s="8" t="s">
        <v>22</v>
      </c>
      <c r="F1621" s="9">
        <v>430</v>
      </c>
      <c r="G1621" s="9">
        <v>404</v>
      </c>
      <c r="H1621" s="9">
        <v>18</v>
      </c>
      <c r="I1621" s="9">
        <f t="shared" si="225"/>
        <v>386</v>
      </c>
      <c r="J1621" s="9">
        <v>29</v>
      </c>
      <c r="K1621" s="10">
        <f t="shared" si="226"/>
        <v>6.0416666666666667E-2</v>
      </c>
      <c r="L1621" s="17">
        <v>100</v>
      </c>
      <c r="M1621" s="17">
        <v>30800</v>
      </c>
      <c r="N1621" s="17">
        <f t="shared" si="227"/>
        <v>38600</v>
      </c>
      <c r="O1621" s="17">
        <f t="shared" si="228"/>
        <v>7800</v>
      </c>
      <c r="P1621" s="10">
        <f t="shared" si="229"/>
        <v>0.93953488372093019</v>
      </c>
      <c r="Q1621" s="10">
        <f t="shared" si="230"/>
        <v>4.4554455445544552E-2</v>
      </c>
      <c r="R1621" s="10">
        <f t="shared" si="231"/>
        <v>0.20207253886010362</v>
      </c>
      <c r="S1621" s="18">
        <f t="shared" si="232"/>
        <v>79.792746113989637</v>
      </c>
      <c r="T1621" s="8">
        <f>480-ProductionData[[#This Row],[Downtime Minutes]]</f>
        <v>451</v>
      </c>
      <c r="U1621" s="11">
        <f t="shared" si="233"/>
        <v>0.89578713968957868</v>
      </c>
      <c r="V1621" s="18">
        <f>ProductionData[[#This Row],[Profit]]/ProductionData[[#This Row],[Good Units]]</f>
        <v>20.207253886010363</v>
      </c>
      <c r="W1621" s="11">
        <f>ProductionData[[#This Row],[Good Units]]/ProductionData[[#This Row],[Operating Minutes]]</f>
        <v>0.85587583148558755</v>
      </c>
    </row>
    <row r="1622" spans="1:23">
      <c r="A1622" s="7">
        <v>46384</v>
      </c>
      <c r="B1622" s="8" t="s">
        <v>33</v>
      </c>
      <c r="C1622" s="8" t="s">
        <v>20</v>
      </c>
      <c r="D1622" s="8" t="s">
        <v>21</v>
      </c>
      <c r="E1622" s="8" t="s">
        <v>22</v>
      </c>
      <c r="F1622" s="9">
        <v>450</v>
      </c>
      <c r="G1622" s="9">
        <v>425</v>
      </c>
      <c r="H1622" s="9">
        <v>18</v>
      </c>
      <c r="I1622" s="9">
        <f t="shared" si="225"/>
        <v>407</v>
      </c>
      <c r="J1622" s="9">
        <v>33</v>
      </c>
      <c r="K1622" s="10">
        <f t="shared" si="226"/>
        <v>6.8750000000000006E-2</v>
      </c>
      <c r="L1622" s="17">
        <v>100</v>
      </c>
      <c r="M1622" s="17">
        <v>30800</v>
      </c>
      <c r="N1622" s="17">
        <f t="shared" si="227"/>
        <v>40700</v>
      </c>
      <c r="O1622" s="17">
        <f t="shared" si="228"/>
        <v>9900</v>
      </c>
      <c r="P1622" s="10">
        <f t="shared" si="229"/>
        <v>0.94444444444444442</v>
      </c>
      <c r="Q1622" s="10">
        <f t="shared" si="230"/>
        <v>4.2352941176470586E-2</v>
      </c>
      <c r="R1622" s="10">
        <f t="shared" si="231"/>
        <v>0.24324324324324326</v>
      </c>
      <c r="S1622" s="18">
        <f t="shared" si="232"/>
        <v>75.675675675675677</v>
      </c>
      <c r="T1622" s="8">
        <f>480-ProductionData[[#This Row],[Downtime Minutes]]</f>
        <v>447</v>
      </c>
      <c r="U1622" s="11">
        <f t="shared" si="233"/>
        <v>0.95078299776286357</v>
      </c>
      <c r="V1622" s="18">
        <f>ProductionData[[#This Row],[Profit]]/ProductionData[[#This Row],[Good Units]]</f>
        <v>24.324324324324323</v>
      </c>
      <c r="W1622" s="11">
        <f>ProductionData[[#This Row],[Good Units]]/ProductionData[[#This Row],[Operating Minutes]]</f>
        <v>0.91051454138702459</v>
      </c>
    </row>
    <row r="1623" spans="1:23">
      <c r="A1623" s="7">
        <v>46384</v>
      </c>
      <c r="B1623" s="8" t="s">
        <v>33</v>
      </c>
      <c r="C1623" s="8" t="s">
        <v>20</v>
      </c>
      <c r="D1623" s="8" t="s">
        <v>23</v>
      </c>
      <c r="E1623" s="8" t="s">
        <v>24</v>
      </c>
      <c r="F1623" s="9">
        <v>400</v>
      </c>
      <c r="G1623" s="9">
        <v>383</v>
      </c>
      <c r="H1623" s="9">
        <v>13</v>
      </c>
      <c r="I1623" s="9">
        <f t="shared" si="225"/>
        <v>370</v>
      </c>
      <c r="J1623" s="9">
        <v>49</v>
      </c>
      <c r="K1623" s="10">
        <f t="shared" si="226"/>
        <v>0.10208333333333333</v>
      </c>
      <c r="L1623" s="17">
        <v>120</v>
      </c>
      <c r="M1623" s="17">
        <v>30800</v>
      </c>
      <c r="N1623" s="17">
        <f t="shared" si="227"/>
        <v>44400</v>
      </c>
      <c r="O1623" s="17">
        <f t="shared" si="228"/>
        <v>13600</v>
      </c>
      <c r="P1623" s="10">
        <f t="shared" si="229"/>
        <v>0.95750000000000002</v>
      </c>
      <c r="Q1623" s="10">
        <f t="shared" si="230"/>
        <v>3.3942558746736295E-2</v>
      </c>
      <c r="R1623" s="10">
        <f t="shared" si="231"/>
        <v>0.30630630630630629</v>
      </c>
      <c r="S1623" s="18">
        <f t="shared" si="232"/>
        <v>83.243243243243242</v>
      </c>
      <c r="T1623" s="8">
        <f>480-ProductionData[[#This Row],[Downtime Minutes]]</f>
        <v>431</v>
      </c>
      <c r="U1623" s="11">
        <f t="shared" si="233"/>
        <v>0.88863109048723898</v>
      </c>
      <c r="V1623" s="18">
        <f>ProductionData[[#This Row],[Profit]]/ProductionData[[#This Row],[Good Units]]</f>
        <v>36.756756756756758</v>
      </c>
      <c r="W1623" s="11">
        <f>ProductionData[[#This Row],[Good Units]]/ProductionData[[#This Row],[Operating Minutes]]</f>
        <v>0.85846867749419953</v>
      </c>
    </row>
    <row r="1624" spans="1:23">
      <c r="A1624" s="7">
        <v>46384</v>
      </c>
      <c r="B1624" s="8" t="s">
        <v>33</v>
      </c>
      <c r="C1624" s="8" t="s">
        <v>20</v>
      </c>
      <c r="D1624" s="8" t="s">
        <v>25</v>
      </c>
      <c r="E1624" s="8" t="s">
        <v>26</v>
      </c>
      <c r="F1624" s="9">
        <v>500</v>
      </c>
      <c r="G1624" s="9">
        <v>456</v>
      </c>
      <c r="H1624" s="9">
        <v>20</v>
      </c>
      <c r="I1624" s="9">
        <f t="shared" si="225"/>
        <v>436</v>
      </c>
      <c r="J1624" s="9">
        <v>40</v>
      </c>
      <c r="K1624" s="10">
        <f t="shared" si="226"/>
        <v>8.3333333333333329E-2</v>
      </c>
      <c r="L1624" s="17">
        <v>90</v>
      </c>
      <c r="M1624" s="17">
        <v>30800</v>
      </c>
      <c r="N1624" s="17">
        <f t="shared" si="227"/>
        <v>39240</v>
      </c>
      <c r="O1624" s="17">
        <f t="shared" si="228"/>
        <v>8440</v>
      </c>
      <c r="P1624" s="10">
        <f t="shared" si="229"/>
        <v>0.91200000000000003</v>
      </c>
      <c r="Q1624" s="10">
        <f t="shared" si="230"/>
        <v>4.3859649122807015E-2</v>
      </c>
      <c r="R1624" s="10">
        <f t="shared" si="231"/>
        <v>0.21508664627930682</v>
      </c>
      <c r="S1624" s="18">
        <f t="shared" si="232"/>
        <v>70.642201834862391</v>
      </c>
      <c r="T1624" s="8">
        <f>480-ProductionData[[#This Row],[Downtime Minutes]]</f>
        <v>440</v>
      </c>
      <c r="U1624" s="11">
        <f t="shared" si="233"/>
        <v>1.0363636363636364</v>
      </c>
      <c r="V1624" s="18">
        <f>ProductionData[[#This Row],[Profit]]/ProductionData[[#This Row],[Good Units]]</f>
        <v>19.357798165137616</v>
      </c>
      <c r="W1624" s="11">
        <f>ProductionData[[#This Row],[Good Units]]/ProductionData[[#This Row],[Operating Minutes]]</f>
        <v>0.99090909090909096</v>
      </c>
    </row>
    <row r="1625" spans="1:23">
      <c r="A1625" s="7">
        <v>46384</v>
      </c>
      <c r="B1625" s="8" t="s">
        <v>33</v>
      </c>
      <c r="C1625" s="8" t="s">
        <v>27</v>
      </c>
      <c r="D1625" s="8" t="s">
        <v>21</v>
      </c>
      <c r="E1625" s="8" t="s">
        <v>24</v>
      </c>
      <c r="F1625" s="9">
        <v>410</v>
      </c>
      <c r="G1625" s="9">
        <v>367</v>
      </c>
      <c r="H1625" s="9">
        <v>19</v>
      </c>
      <c r="I1625" s="9">
        <f t="shared" si="225"/>
        <v>348</v>
      </c>
      <c r="J1625" s="9">
        <v>57</v>
      </c>
      <c r="K1625" s="10">
        <f t="shared" si="226"/>
        <v>0.11874999999999999</v>
      </c>
      <c r="L1625" s="17">
        <v>120</v>
      </c>
      <c r="M1625" s="17">
        <v>30800</v>
      </c>
      <c r="N1625" s="17">
        <f t="shared" si="227"/>
        <v>41760</v>
      </c>
      <c r="O1625" s="17">
        <f t="shared" si="228"/>
        <v>10960</v>
      </c>
      <c r="P1625" s="10">
        <f t="shared" si="229"/>
        <v>0.89512195121951221</v>
      </c>
      <c r="Q1625" s="10">
        <f t="shared" si="230"/>
        <v>5.1771117166212535E-2</v>
      </c>
      <c r="R1625" s="10">
        <f t="shared" si="231"/>
        <v>0.26245210727969348</v>
      </c>
      <c r="S1625" s="18">
        <f t="shared" si="232"/>
        <v>88.505747126436788</v>
      </c>
      <c r="T1625" s="8">
        <f>480-ProductionData[[#This Row],[Downtime Minutes]]</f>
        <v>423</v>
      </c>
      <c r="U1625" s="11">
        <f t="shared" si="233"/>
        <v>0.86761229314420807</v>
      </c>
      <c r="V1625" s="18">
        <f>ProductionData[[#This Row],[Profit]]/ProductionData[[#This Row],[Good Units]]</f>
        <v>31.494252873563219</v>
      </c>
      <c r="W1625" s="11">
        <f>ProductionData[[#This Row],[Good Units]]/ProductionData[[#This Row],[Operating Minutes]]</f>
        <v>0.82269503546099287</v>
      </c>
    </row>
    <row r="1626" spans="1:23">
      <c r="A1626" s="7">
        <v>46384</v>
      </c>
      <c r="B1626" s="8" t="s">
        <v>33</v>
      </c>
      <c r="C1626" s="8" t="s">
        <v>27</v>
      </c>
      <c r="D1626" s="8" t="s">
        <v>23</v>
      </c>
      <c r="E1626" s="8" t="s">
        <v>26</v>
      </c>
      <c r="F1626" s="9">
        <v>500</v>
      </c>
      <c r="G1626" s="9">
        <v>439</v>
      </c>
      <c r="H1626" s="9">
        <v>23</v>
      </c>
      <c r="I1626" s="9">
        <f t="shared" si="225"/>
        <v>416</v>
      </c>
      <c r="J1626" s="9">
        <v>55</v>
      </c>
      <c r="K1626" s="10">
        <f t="shared" si="226"/>
        <v>0.11458333333333333</v>
      </c>
      <c r="L1626" s="17">
        <v>90</v>
      </c>
      <c r="M1626" s="17">
        <v>30800</v>
      </c>
      <c r="N1626" s="17">
        <f t="shared" si="227"/>
        <v>37440</v>
      </c>
      <c r="O1626" s="17">
        <f t="shared" si="228"/>
        <v>6640</v>
      </c>
      <c r="P1626" s="10">
        <f t="shared" si="229"/>
        <v>0.878</v>
      </c>
      <c r="Q1626" s="10">
        <f t="shared" si="230"/>
        <v>5.2391799544419138E-2</v>
      </c>
      <c r="R1626" s="10">
        <f t="shared" si="231"/>
        <v>0.17735042735042736</v>
      </c>
      <c r="S1626" s="18">
        <f t="shared" si="232"/>
        <v>74.038461538461533</v>
      </c>
      <c r="T1626" s="8">
        <f>480-ProductionData[[#This Row],[Downtime Minutes]]</f>
        <v>425</v>
      </c>
      <c r="U1626" s="11">
        <f t="shared" si="233"/>
        <v>1.0329411764705883</v>
      </c>
      <c r="V1626" s="18">
        <f>ProductionData[[#This Row],[Profit]]/ProductionData[[#This Row],[Good Units]]</f>
        <v>15.961538461538462</v>
      </c>
      <c r="W1626" s="11">
        <f>ProductionData[[#This Row],[Good Units]]/ProductionData[[#This Row],[Operating Minutes]]</f>
        <v>0.97882352941176476</v>
      </c>
    </row>
    <row r="1627" spans="1:23">
      <c r="A1627" s="7">
        <v>46384</v>
      </c>
      <c r="B1627" s="8" t="s">
        <v>33</v>
      </c>
      <c r="C1627" s="8" t="s">
        <v>27</v>
      </c>
      <c r="D1627" s="8" t="s">
        <v>25</v>
      </c>
      <c r="E1627" s="8" t="s">
        <v>22</v>
      </c>
      <c r="F1627" s="9">
        <v>470</v>
      </c>
      <c r="G1627" s="9">
        <v>417</v>
      </c>
      <c r="H1627" s="9">
        <v>33</v>
      </c>
      <c r="I1627" s="9">
        <f t="shared" si="225"/>
        <v>384</v>
      </c>
      <c r="J1627" s="9">
        <v>74</v>
      </c>
      <c r="K1627" s="10">
        <f t="shared" si="226"/>
        <v>0.15416666666666667</v>
      </c>
      <c r="L1627" s="17">
        <v>100</v>
      </c>
      <c r="M1627" s="17">
        <v>30800</v>
      </c>
      <c r="N1627" s="17">
        <f t="shared" si="227"/>
        <v>38400</v>
      </c>
      <c r="O1627" s="17">
        <f t="shared" si="228"/>
        <v>7600</v>
      </c>
      <c r="P1627" s="10">
        <f t="shared" si="229"/>
        <v>0.88723404255319149</v>
      </c>
      <c r="Q1627" s="10">
        <f t="shared" si="230"/>
        <v>7.9136690647482008E-2</v>
      </c>
      <c r="R1627" s="10">
        <f t="shared" si="231"/>
        <v>0.19791666666666666</v>
      </c>
      <c r="S1627" s="18">
        <f t="shared" si="232"/>
        <v>80.208333333333329</v>
      </c>
      <c r="T1627" s="8">
        <f>480-ProductionData[[#This Row],[Downtime Minutes]]</f>
        <v>406</v>
      </c>
      <c r="U1627" s="11">
        <f t="shared" si="233"/>
        <v>1.0270935960591132</v>
      </c>
      <c r="V1627" s="18">
        <f>ProductionData[[#This Row],[Profit]]/ProductionData[[#This Row],[Good Units]]</f>
        <v>19.791666666666668</v>
      </c>
      <c r="W1627" s="11">
        <f>ProductionData[[#This Row],[Good Units]]/ProductionData[[#This Row],[Operating Minutes]]</f>
        <v>0.94581280788177335</v>
      </c>
    </row>
    <row r="1628" spans="1:23">
      <c r="A1628" s="7">
        <v>46384</v>
      </c>
      <c r="B1628" s="8" t="s">
        <v>33</v>
      </c>
      <c r="C1628" s="8" t="s">
        <v>28</v>
      </c>
      <c r="D1628" s="8" t="s">
        <v>21</v>
      </c>
      <c r="E1628" s="8" t="s">
        <v>26</v>
      </c>
      <c r="F1628" s="9">
        <v>510</v>
      </c>
      <c r="G1628" s="9">
        <v>503</v>
      </c>
      <c r="H1628" s="9">
        <v>14</v>
      </c>
      <c r="I1628" s="9">
        <f t="shared" si="225"/>
        <v>489</v>
      </c>
      <c r="J1628" s="9">
        <v>29</v>
      </c>
      <c r="K1628" s="10">
        <f t="shared" si="226"/>
        <v>6.0416666666666667E-2</v>
      </c>
      <c r="L1628" s="17">
        <v>90</v>
      </c>
      <c r="M1628" s="17">
        <v>30800</v>
      </c>
      <c r="N1628" s="17">
        <f t="shared" si="227"/>
        <v>44010</v>
      </c>
      <c r="O1628" s="17">
        <f t="shared" si="228"/>
        <v>13210</v>
      </c>
      <c r="P1628" s="10">
        <f t="shared" si="229"/>
        <v>0.98627450980392162</v>
      </c>
      <c r="Q1628" s="10">
        <f t="shared" si="230"/>
        <v>2.7833001988071572E-2</v>
      </c>
      <c r="R1628" s="10">
        <f t="shared" si="231"/>
        <v>0.30015905476028176</v>
      </c>
      <c r="S1628" s="18">
        <f t="shared" si="232"/>
        <v>62.985685071574643</v>
      </c>
      <c r="T1628" s="8">
        <f>480-ProductionData[[#This Row],[Downtime Minutes]]</f>
        <v>451</v>
      </c>
      <c r="U1628" s="11">
        <f t="shared" si="233"/>
        <v>1.1152993348115299</v>
      </c>
      <c r="V1628" s="18">
        <f>ProductionData[[#This Row],[Profit]]/ProductionData[[#This Row],[Good Units]]</f>
        <v>27.014314928425357</v>
      </c>
      <c r="W1628" s="11">
        <f>ProductionData[[#This Row],[Good Units]]/ProductionData[[#This Row],[Operating Minutes]]</f>
        <v>1.0842572062084257</v>
      </c>
    </row>
    <row r="1629" spans="1:23">
      <c r="A1629" s="7">
        <v>46384</v>
      </c>
      <c r="B1629" s="8" t="s">
        <v>33</v>
      </c>
      <c r="C1629" s="8" t="s">
        <v>28</v>
      </c>
      <c r="D1629" s="8" t="s">
        <v>23</v>
      </c>
      <c r="E1629" s="8" t="s">
        <v>22</v>
      </c>
      <c r="F1629" s="9">
        <v>450</v>
      </c>
      <c r="G1629" s="9">
        <v>424</v>
      </c>
      <c r="H1629" s="9">
        <v>19</v>
      </c>
      <c r="I1629" s="9">
        <f t="shared" si="225"/>
        <v>405</v>
      </c>
      <c r="J1629" s="9">
        <v>28</v>
      </c>
      <c r="K1629" s="10">
        <f t="shared" si="226"/>
        <v>5.8333333333333334E-2</v>
      </c>
      <c r="L1629" s="17">
        <v>100</v>
      </c>
      <c r="M1629" s="17">
        <v>30800</v>
      </c>
      <c r="N1629" s="17">
        <f t="shared" si="227"/>
        <v>40500</v>
      </c>
      <c r="O1629" s="17">
        <f t="shared" si="228"/>
        <v>9700</v>
      </c>
      <c r="P1629" s="10">
        <f t="shared" si="229"/>
        <v>0.94222222222222218</v>
      </c>
      <c r="Q1629" s="10">
        <f t="shared" si="230"/>
        <v>4.4811320754716978E-2</v>
      </c>
      <c r="R1629" s="10">
        <f t="shared" si="231"/>
        <v>0.23950617283950618</v>
      </c>
      <c r="S1629" s="18">
        <f t="shared" si="232"/>
        <v>76.049382716049379</v>
      </c>
      <c r="T1629" s="8">
        <f>480-ProductionData[[#This Row],[Downtime Minutes]]</f>
        <v>452</v>
      </c>
      <c r="U1629" s="11">
        <f t="shared" si="233"/>
        <v>0.93805309734513276</v>
      </c>
      <c r="V1629" s="18">
        <f>ProductionData[[#This Row],[Profit]]/ProductionData[[#This Row],[Good Units]]</f>
        <v>23.950617283950617</v>
      </c>
      <c r="W1629" s="11">
        <f>ProductionData[[#This Row],[Good Units]]/ProductionData[[#This Row],[Operating Minutes]]</f>
        <v>0.89601769911504425</v>
      </c>
    </row>
    <row r="1630" spans="1:23">
      <c r="A1630" s="7">
        <v>46384</v>
      </c>
      <c r="B1630" s="8" t="s">
        <v>33</v>
      </c>
      <c r="C1630" s="8" t="s">
        <v>28</v>
      </c>
      <c r="D1630" s="8" t="s">
        <v>25</v>
      </c>
      <c r="E1630" s="8" t="s">
        <v>24</v>
      </c>
      <c r="F1630" s="9">
        <v>400</v>
      </c>
      <c r="G1630" s="9">
        <v>380</v>
      </c>
      <c r="H1630" s="9">
        <v>16</v>
      </c>
      <c r="I1630" s="9">
        <f t="shared" si="225"/>
        <v>364</v>
      </c>
      <c r="J1630" s="9">
        <v>39</v>
      </c>
      <c r="K1630" s="10">
        <f t="shared" si="226"/>
        <v>8.1250000000000003E-2</v>
      </c>
      <c r="L1630" s="17">
        <v>120</v>
      </c>
      <c r="M1630" s="17">
        <v>30800</v>
      </c>
      <c r="N1630" s="17">
        <f t="shared" si="227"/>
        <v>43680</v>
      </c>
      <c r="O1630" s="17">
        <f t="shared" si="228"/>
        <v>12880</v>
      </c>
      <c r="P1630" s="10">
        <f t="shared" si="229"/>
        <v>0.95</v>
      </c>
      <c r="Q1630" s="10">
        <f t="shared" si="230"/>
        <v>4.2105263157894736E-2</v>
      </c>
      <c r="R1630" s="10">
        <f t="shared" si="231"/>
        <v>0.29487179487179488</v>
      </c>
      <c r="S1630" s="18">
        <f t="shared" si="232"/>
        <v>84.615384615384613</v>
      </c>
      <c r="T1630" s="8">
        <f>480-ProductionData[[#This Row],[Downtime Minutes]]</f>
        <v>441</v>
      </c>
      <c r="U1630" s="11">
        <f t="shared" si="233"/>
        <v>0.86167800453514742</v>
      </c>
      <c r="V1630" s="18">
        <f>ProductionData[[#This Row],[Profit]]/ProductionData[[#This Row],[Good Units]]</f>
        <v>35.384615384615387</v>
      </c>
      <c r="W1630" s="11">
        <f>ProductionData[[#This Row],[Good Units]]/ProductionData[[#This Row],[Operating Minutes]]</f>
        <v>0.82539682539682535</v>
      </c>
    </row>
    <row r="1631" spans="1:23">
      <c r="A1631" s="7">
        <v>46385</v>
      </c>
      <c r="B1631" s="8" t="s">
        <v>33</v>
      </c>
      <c r="C1631" s="8" t="s">
        <v>20</v>
      </c>
      <c r="D1631" s="8" t="s">
        <v>21</v>
      </c>
      <c r="E1631" s="8" t="s">
        <v>24</v>
      </c>
      <c r="F1631" s="9">
        <v>410</v>
      </c>
      <c r="G1631" s="9">
        <v>391</v>
      </c>
      <c r="H1631" s="9">
        <v>8</v>
      </c>
      <c r="I1631" s="9">
        <f t="shared" si="225"/>
        <v>383</v>
      </c>
      <c r="J1631" s="9">
        <v>39</v>
      </c>
      <c r="K1631" s="10">
        <f t="shared" si="226"/>
        <v>8.1250000000000003E-2</v>
      </c>
      <c r="L1631" s="17">
        <v>120</v>
      </c>
      <c r="M1631" s="17">
        <v>30800</v>
      </c>
      <c r="N1631" s="17">
        <f t="shared" si="227"/>
        <v>45960</v>
      </c>
      <c r="O1631" s="17">
        <f t="shared" si="228"/>
        <v>15160</v>
      </c>
      <c r="P1631" s="10">
        <f t="shared" si="229"/>
        <v>0.95365853658536581</v>
      </c>
      <c r="Q1631" s="10">
        <f t="shared" si="230"/>
        <v>2.0460358056265986E-2</v>
      </c>
      <c r="R1631" s="10">
        <f t="shared" si="231"/>
        <v>0.329852045256745</v>
      </c>
      <c r="S1631" s="18">
        <f t="shared" si="232"/>
        <v>80.417754569190606</v>
      </c>
      <c r="T1631" s="8">
        <f>480-ProductionData[[#This Row],[Downtime Minutes]]</f>
        <v>441</v>
      </c>
      <c r="U1631" s="11">
        <f t="shared" si="233"/>
        <v>0.88662131519274379</v>
      </c>
      <c r="V1631" s="18">
        <f>ProductionData[[#This Row],[Profit]]/ProductionData[[#This Row],[Good Units]]</f>
        <v>39.582245430809401</v>
      </c>
      <c r="W1631" s="11">
        <f>ProductionData[[#This Row],[Good Units]]/ProductionData[[#This Row],[Operating Minutes]]</f>
        <v>0.86848072562358281</v>
      </c>
    </row>
    <row r="1632" spans="1:23">
      <c r="A1632" s="7">
        <v>46385</v>
      </c>
      <c r="B1632" s="8" t="s">
        <v>33</v>
      </c>
      <c r="C1632" s="8" t="s">
        <v>20</v>
      </c>
      <c r="D1632" s="8" t="s">
        <v>23</v>
      </c>
      <c r="E1632" s="8" t="s">
        <v>26</v>
      </c>
      <c r="F1632" s="9">
        <v>490</v>
      </c>
      <c r="G1632" s="9">
        <v>448</v>
      </c>
      <c r="H1632" s="9">
        <v>19</v>
      </c>
      <c r="I1632" s="9">
        <f t="shared" si="225"/>
        <v>429</v>
      </c>
      <c r="J1632" s="9">
        <v>27</v>
      </c>
      <c r="K1632" s="10">
        <f t="shared" si="226"/>
        <v>5.6250000000000001E-2</v>
      </c>
      <c r="L1632" s="17">
        <v>90</v>
      </c>
      <c r="M1632" s="17">
        <v>30800</v>
      </c>
      <c r="N1632" s="17">
        <f t="shared" si="227"/>
        <v>38610</v>
      </c>
      <c r="O1632" s="17">
        <f t="shared" si="228"/>
        <v>7810</v>
      </c>
      <c r="P1632" s="10">
        <f t="shared" si="229"/>
        <v>0.91428571428571426</v>
      </c>
      <c r="Q1632" s="10">
        <f t="shared" si="230"/>
        <v>4.2410714285714288E-2</v>
      </c>
      <c r="R1632" s="10">
        <f t="shared" si="231"/>
        <v>0.20227920227920229</v>
      </c>
      <c r="S1632" s="18">
        <f t="shared" si="232"/>
        <v>71.794871794871796</v>
      </c>
      <c r="T1632" s="8">
        <f>480-ProductionData[[#This Row],[Downtime Minutes]]</f>
        <v>453</v>
      </c>
      <c r="U1632" s="11">
        <f t="shared" si="233"/>
        <v>0.98896247240618107</v>
      </c>
      <c r="V1632" s="18">
        <f>ProductionData[[#This Row],[Profit]]/ProductionData[[#This Row],[Good Units]]</f>
        <v>18.205128205128204</v>
      </c>
      <c r="W1632" s="11">
        <f>ProductionData[[#This Row],[Good Units]]/ProductionData[[#This Row],[Operating Minutes]]</f>
        <v>0.94701986754966883</v>
      </c>
    </row>
    <row r="1633" spans="1:23">
      <c r="A1633" s="7">
        <v>46385</v>
      </c>
      <c r="B1633" s="8" t="s">
        <v>33</v>
      </c>
      <c r="C1633" s="8" t="s">
        <v>20</v>
      </c>
      <c r="D1633" s="8" t="s">
        <v>25</v>
      </c>
      <c r="E1633" s="8" t="s">
        <v>22</v>
      </c>
      <c r="F1633" s="9">
        <v>450</v>
      </c>
      <c r="G1633" s="9">
        <v>419</v>
      </c>
      <c r="H1633" s="9">
        <v>25</v>
      </c>
      <c r="I1633" s="9">
        <f t="shared" si="225"/>
        <v>394</v>
      </c>
      <c r="J1633" s="9">
        <v>48</v>
      </c>
      <c r="K1633" s="10">
        <f t="shared" si="226"/>
        <v>0.1</v>
      </c>
      <c r="L1633" s="17">
        <v>100</v>
      </c>
      <c r="M1633" s="17">
        <v>30800</v>
      </c>
      <c r="N1633" s="17">
        <f t="shared" si="227"/>
        <v>39400</v>
      </c>
      <c r="O1633" s="17">
        <f t="shared" si="228"/>
        <v>8600</v>
      </c>
      <c r="P1633" s="10">
        <f t="shared" si="229"/>
        <v>0.93111111111111111</v>
      </c>
      <c r="Q1633" s="10">
        <f t="shared" si="230"/>
        <v>5.9665871121718374E-2</v>
      </c>
      <c r="R1633" s="10">
        <f t="shared" si="231"/>
        <v>0.21827411167512689</v>
      </c>
      <c r="S1633" s="18">
        <f t="shared" si="232"/>
        <v>78.172588832487307</v>
      </c>
      <c r="T1633" s="8">
        <f>480-ProductionData[[#This Row],[Downtime Minutes]]</f>
        <v>432</v>
      </c>
      <c r="U1633" s="11">
        <f t="shared" si="233"/>
        <v>0.96990740740740744</v>
      </c>
      <c r="V1633" s="18">
        <f>ProductionData[[#This Row],[Profit]]/ProductionData[[#This Row],[Good Units]]</f>
        <v>21.82741116751269</v>
      </c>
      <c r="W1633" s="11">
        <f>ProductionData[[#This Row],[Good Units]]/ProductionData[[#This Row],[Operating Minutes]]</f>
        <v>0.91203703703703709</v>
      </c>
    </row>
    <row r="1634" spans="1:23">
      <c r="A1634" s="7">
        <v>46385</v>
      </c>
      <c r="B1634" s="8" t="s">
        <v>33</v>
      </c>
      <c r="C1634" s="8" t="s">
        <v>27</v>
      </c>
      <c r="D1634" s="8" t="s">
        <v>21</v>
      </c>
      <c r="E1634" s="8" t="s">
        <v>26</v>
      </c>
      <c r="F1634" s="9">
        <v>480</v>
      </c>
      <c r="G1634" s="9">
        <v>444</v>
      </c>
      <c r="H1634" s="9">
        <v>19</v>
      </c>
      <c r="I1634" s="9">
        <f t="shared" si="225"/>
        <v>425</v>
      </c>
      <c r="J1634" s="9">
        <v>44</v>
      </c>
      <c r="K1634" s="10">
        <f t="shared" si="226"/>
        <v>9.166666666666666E-2</v>
      </c>
      <c r="L1634" s="17">
        <v>90</v>
      </c>
      <c r="M1634" s="17">
        <v>30800</v>
      </c>
      <c r="N1634" s="17">
        <f t="shared" si="227"/>
        <v>38250</v>
      </c>
      <c r="O1634" s="17">
        <f t="shared" si="228"/>
        <v>7450</v>
      </c>
      <c r="P1634" s="10">
        <f t="shared" si="229"/>
        <v>0.92500000000000004</v>
      </c>
      <c r="Q1634" s="10">
        <f t="shared" si="230"/>
        <v>4.2792792792792793E-2</v>
      </c>
      <c r="R1634" s="10">
        <f t="shared" si="231"/>
        <v>0.19477124183006536</v>
      </c>
      <c r="S1634" s="18">
        <f t="shared" si="232"/>
        <v>72.470588235294116</v>
      </c>
      <c r="T1634" s="8">
        <f>480-ProductionData[[#This Row],[Downtime Minutes]]</f>
        <v>436</v>
      </c>
      <c r="U1634" s="11">
        <f t="shared" si="233"/>
        <v>1.0183486238532109</v>
      </c>
      <c r="V1634" s="18">
        <f>ProductionData[[#This Row],[Profit]]/ProductionData[[#This Row],[Good Units]]</f>
        <v>17.529411764705884</v>
      </c>
      <c r="W1634" s="11">
        <f>ProductionData[[#This Row],[Good Units]]/ProductionData[[#This Row],[Operating Minutes]]</f>
        <v>0.97477064220183485</v>
      </c>
    </row>
    <row r="1635" spans="1:23">
      <c r="A1635" s="7">
        <v>46385</v>
      </c>
      <c r="B1635" s="8" t="s">
        <v>33</v>
      </c>
      <c r="C1635" s="8" t="s">
        <v>27</v>
      </c>
      <c r="D1635" s="8" t="s">
        <v>23</v>
      </c>
      <c r="E1635" s="8" t="s">
        <v>22</v>
      </c>
      <c r="F1635" s="9">
        <v>450</v>
      </c>
      <c r="G1635" s="9">
        <v>412</v>
      </c>
      <c r="H1635" s="9">
        <v>26</v>
      </c>
      <c r="I1635" s="9">
        <f t="shared" si="225"/>
        <v>386</v>
      </c>
      <c r="J1635" s="9">
        <v>56</v>
      </c>
      <c r="K1635" s="10">
        <f t="shared" si="226"/>
        <v>0.11666666666666667</v>
      </c>
      <c r="L1635" s="17">
        <v>100</v>
      </c>
      <c r="M1635" s="17">
        <v>30800</v>
      </c>
      <c r="N1635" s="17">
        <f t="shared" si="227"/>
        <v>38600</v>
      </c>
      <c r="O1635" s="17">
        <f t="shared" si="228"/>
        <v>7800</v>
      </c>
      <c r="P1635" s="10">
        <f t="shared" si="229"/>
        <v>0.91555555555555557</v>
      </c>
      <c r="Q1635" s="10">
        <f t="shared" si="230"/>
        <v>6.3106796116504854E-2</v>
      </c>
      <c r="R1635" s="10">
        <f t="shared" si="231"/>
        <v>0.20207253886010362</v>
      </c>
      <c r="S1635" s="18">
        <f t="shared" si="232"/>
        <v>79.792746113989637</v>
      </c>
      <c r="T1635" s="8">
        <f>480-ProductionData[[#This Row],[Downtime Minutes]]</f>
        <v>424</v>
      </c>
      <c r="U1635" s="11">
        <f t="shared" si="233"/>
        <v>0.97169811320754718</v>
      </c>
      <c r="V1635" s="18">
        <f>ProductionData[[#This Row],[Profit]]/ProductionData[[#This Row],[Good Units]]</f>
        <v>20.207253886010363</v>
      </c>
      <c r="W1635" s="11">
        <f>ProductionData[[#This Row],[Good Units]]/ProductionData[[#This Row],[Operating Minutes]]</f>
        <v>0.910377358490566</v>
      </c>
    </row>
    <row r="1636" spans="1:23">
      <c r="A1636" s="7">
        <v>46385</v>
      </c>
      <c r="B1636" s="8" t="s">
        <v>33</v>
      </c>
      <c r="C1636" s="8" t="s">
        <v>27</v>
      </c>
      <c r="D1636" s="8" t="s">
        <v>25</v>
      </c>
      <c r="E1636" s="8" t="s">
        <v>24</v>
      </c>
      <c r="F1636" s="9">
        <v>390</v>
      </c>
      <c r="G1636" s="9">
        <v>327</v>
      </c>
      <c r="H1636" s="9">
        <v>18</v>
      </c>
      <c r="I1636" s="9">
        <f t="shared" si="225"/>
        <v>309</v>
      </c>
      <c r="J1636" s="9">
        <v>53</v>
      </c>
      <c r="K1636" s="10">
        <f t="shared" si="226"/>
        <v>0.11041666666666666</v>
      </c>
      <c r="L1636" s="17">
        <v>120</v>
      </c>
      <c r="M1636" s="17">
        <v>30800</v>
      </c>
      <c r="N1636" s="17">
        <f t="shared" si="227"/>
        <v>37080</v>
      </c>
      <c r="O1636" s="17">
        <f t="shared" si="228"/>
        <v>6280</v>
      </c>
      <c r="P1636" s="10">
        <f t="shared" si="229"/>
        <v>0.83846153846153848</v>
      </c>
      <c r="Q1636" s="10">
        <f t="shared" si="230"/>
        <v>5.5045871559633031E-2</v>
      </c>
      <c r="R1636" s="10">
        <f t="shared" si="231"/>
        <v>0.16936353829557713</v>
      </c>
      <c r="S1636" s="18">
        <f t="shared" si="232"/>
        <v>99.676375404530745</v>
      </c>
      <c r="T1636" s="8">
        <f>480-ProductionData[[#This Row],[Downtime Minutes]]</f>
        <v>427</v>
      </c>
      <c r="U1636" s="11">
        <f t="shared" si="233"/>
        <v>0.76580796252927397</v>
      </c>
      <c r="V1636" s="18">
        <f>ProductionData[[#This Row],[Profit]]/ProductionData[[#This Row],[Good Units]]</f>
        <v>20.323624595469255</v>
      </c>
      <c r="W1636" s="11">
        <f>ProductionData[[#This Row],[Good Units]]/ProductionData[[#This Row],[Operating Minutes]]</f>
        <v>0.72365339578454335</v>
      </c>
    </row>
    <row r="1637" spans="1:23">
      <c r="A1637" s="7">
        <v>46385</v>
      </c>
      <c r="B1637" s="8" t="s">
        <v>33</v>
      </c>
      <c r="C1637" s="8" t="s">
        <v>28</v>
      </c>
      <c r="D1637" s="8" t="s">
        <v>21</v>
      </c>
      <c r="E1637" s="8" t="s">
        <v>22</v>
      </c>
      <c r="F1637" s="9">
        <v>440</v>
      </c>
      <c r="G1637" s="9">
        <v>418</v>
      </c>
      <c r="H1637" s="9">
        <v>15</v>
      </c>
      <c r="I1637" s="9">
        <f t="shared" si="225"/>
        <v>403</v>
      </c>
      <c r="J1637" s="9">
        <v>28</v>
      </c>
      <c r="K1637" s="10">
        <f t="shared" si="226"/>
        <v>5.8333333333333334E-2</v>
      </c>
      <c r="L1637" s="17">
        <v>100</v>
      </c>
      <c r="M1637" s="17">
        <v>30800</v>
      </c>
      <c r="N1637" s="17">
        <f t="shared" si="227"/>
        <v>40300</v>
      </c>
      <c r="O1637" s="17">
        <f t="shared" si="228"/>
        <v>9500</v>
      </c>
      <c r="P1637" s="10">
        <f t="shared" si="229"/>
        <v>0.95</v>
      </c>
      <c r="Q1637" s="10">
        <f t="shared" si="230"/>
        <v>3.5885167464114832E-2</v>
      </c>
      <c r="R1637" s="10">
        <f t="shared" si="231"/>
        <v>0.23573200992555832</v>
      </c>
      <c r="S1637" s="18">
        <f t="shared" si="232"/>
        <v>76.426799007444174</v>
      </c>
      <c r="T1637" s="8">
        <f>480-ProductionData[[#This Row],[Downtime Minutes]]</f>
        <v>452</v>
      </c>
      <c r="U1637" s="11">
        <f t="shared" si="233"/>
        <v>0.9247787610619469</v>
      </c>
      <c r="V1637" s="18">
        <f>ProductionData[[#This Row],[Profit]]/ProductionData[[#This Row],[Good Units]]</f>
        <v>23.573200992555833</v>
      </c>
      <c r="W1637" s="11">
        <f>ProductionData[[#This Row],[Good Units]]/ProductionData[[#This Row],[Operating Minutes]]</f>
        <v>0.8915929203539823</v>
      </c>
    </row>
    <row r="1638" spans="1:23">
      <c r="A1638" s="7">
        <v>46385</v>
      </c>
      <c r="B1638" s="8" t="s">
        <v>33</v>
      </c>
      <c r="C1638" s="8" t="s">
        <v>28</v>
      </c>
      <c r="D1638" s="8" t="s">
        <v>23</v>
      </c>
      <c r="E1638" s="8" t="s">
        <v>24</v>
      </c>
      <c r="F1638" s="9">
        <v>390</v>
      </c>
      <c r="G1638" s="9">
        <v>379</v>
      </c>
      <c r="H1638" s="9">
        <v>9</v>
      </c>
      <c r="I1638" s="9">
        <f t="shared" si="225"/>
        <v>370</v>
      </c>
      <c r="J1638" s="9">
        <v>17</v>
      </c>
      <c r="K1638" s="10">
        <f t="shared" si="226"/>
        <v>3.5416666666666666E-2</v>
      </c>
      <c r="L1638" s="17">
        <v>120</v>
      </c>
      <c r="M1638" s="17">
        <v>30800</v>
      </c>
      <c r="N1638" s="17">
        <f t="shared" si="227"/>
        <v>44400</v>
      </c>
      <c r="O1638" s="17">
        <f t="shared" si="228"/>
        <v>13600</v>
      </c>
      <c r="P1638" s="10">
        <f t="shared" si="229"/>
        <v>0.97179487179487178</v>
      </c>
      <c r="Q1638" s="10">
        <f t="shared" si="230"/>
        <v>2.3746701846965697E-2</v>
      </c>
      <c r="R1638" s="10">
        <f t="shared" si="231"/>
        <v>0.30630630630630629</v>
      </c>
      <c r="S1638" s="18">
        <f t="shared" si="232"/>
        <v>83.243243243243242</v>
      </c>
      <c r="T1638" s="8">
        <f>480-ProductionData[[#This Row],[Downtime Minutes]]</f>
        <v>463</v>
      </c>
      <c r="U1638" s="11">
        <f t="shared" si="233"/>
        <v>0.81857451403887693</v>
      </c>
      <c r="V1638" s="18">
        <f>ProductionData[[#This Row],[Profit]]/ProductionData[[#This Row],[Good Units]]</f>
        <v>36.756756756756758</v>
      </c>
      <c r="W1638" s="11">
        <f>ProductionData[[#This Row],[Good Units]]/ProductionData[[#This Row],[Operating Minutes]]</f>
        <v>0.79913606911447088</v>
      </c>
    </row>
    <row r="1639" spans="1:23">
      <c r="A1639" s="7">
        <v>46385</v>
      </c>
      <c r="B1639" s="8" t="s">
        <v>33</v>
      </c>
      <c r="C1639" s="8" t="s">
        <v>28</v>
      </c>
      <c r="D1639" s="8" t="s">
        <v>25</v>
      </c>
      <c r="E1639" s="8" t="s">
        <v>26</v>
      </c>
      <c r="F1639" s="9">
        <v>490</v>
      </c>
      <c r="G1639" s="9">
        <v>446</v>
      </c>
      <c r="H1639" s="9">
        <v>15</v>
      </c>
      <c r="I1639" s="9">
        <f t="shared" si="225"/>
        <v>431</v>
      </c>
      <c r="J1639" s="9">
        <v>28</v>
      </c>
      <c r="K1639" s="10">
        <f t="shared" si="226"/>
        <v>5.8333333333333334E-2</v>
      </c>
      <c r="L1639" s="17">
        <v>90</v>
      </c>
      <c r="M1639" s="17">
        <v>30800</v>
      </c>
      <c r="N1639" s="17">
        <f t="shared" si="227"/>
        <v>38790</v>
      </c>
      <c r="O1639" s="17">
        <f t="shared" si="228"/>
        <v>7990</v>
      </c>
      <c r="P1639" s="10">
        <f t="shared" si="229"/>
        <v>0.91020408163265309</v>
      </c>
      <c r="Q1639" s="10">
        <f t="shared" si="230"/>
        <v>3.3632286995515695E-2</v>
      </c>
      <c r="R1639" s="10">
        <f t="shared" si="231"/>
        <v>0.20598092291827791</v>
      </c>
      <c r="S1639" s="18">
        <f t="shared" si="232"/>
        <v>71.461716937354993</v>
      </c>
      <c r="T1639" s="8">
        <f>480-ProductionData[[#This Row],[Downtime Minutes]]</f>
        <v>452</v>
      </c>
      <c r="U1639" s="11">
        <f t="shared" si="233"/>
        <v>0.98672566371681414</v>
      </c>
      <c r="V1639" s="18">
        <f>ProductionData[[#This Row],[Profit]]/ProductionData[[#This Row],[Good Units]]</f>
        <v>18.538283062645011</v>
      </c>
      <c r="W1639" s="11">
        <f>ProductionData[[#This Row],[Good Units]]/ProductionData[[#This Row],[Operating Minutes]]</f>
        <v>0.95353982300884954</v>
      </c>
    </row>
    <row r="1640" spans="1:23">
      <c r="A1640" s="7">
        <v>46386</v>
      </c>
      <c r="B1640" s="8" t="s">
        <v>33</v>
      </c>
      <c r="C1640" s="8" t="s">
        <v>20</v>
      </c>
      <c r="D1640" s="8" t="s">
        <v>21</v>
      </c>
      <c r="E1640" s="8" t="s">
        <v>26</v>
      </c>
      <c r="F1640" s="9">
        <v>500</v>
      </c>
      <c r="G1640" s="9">
        <v>486</v>
      </c>
      <c r="H1640" s="9">
        <v>13</v>
      </c>
      <c r="I1640" s="9">
        <f t="shared" si="225"/>
        <v>473</v>
      </c>
      <c r="J1640" s="9">
        <v>19</v>
      </c>
      <c r="K1640" s="10">
        <f t="shared" si="226"/>
        <v>3.9583333333333331E-2</v>
      </c>
      <c r="L1640" s="17">
        <v>90</v>
      </c>
      <c r="M1640" s="17">
        <v>30800</v>
      </c>
      <c r="N1640" s="17">
        <f t="shared" si="227"/>
        <v>42570</v>
      </c>
      <c r="O1640" s="17">
        <f t="shared" si="228"/>
        <v>11770</v>
      </c>
      <c r="P1640" s="10">
        <f t="shared" si="229"/>
        <v>0.97199999999999998</v>
      </c>
      <c r="Q1640" s="10">
        <f t="shared" si="230"/>
        <v>2.6748971193415638E-2</v>
      </c>
      <c r="R1640" s="10">
        <f t="shared" si="231"/>
        <v>0.27648578811369506</v>
      </c>
      <c r="S1640" s="18">
        <f t="shared" si="232"/>
        <v>65.116279069767444</v>
      </c>
      <c r="T1640" s="8">
        <f>480-ProductionData[[#This Row],[Downtime Minutes]]</f>
        <v>461</v>
      </c>
      <c r="U1640" s="11">
        <f t="shared" si="233"/>
        <v>1.054229934924078</v>
      </c>
      <c r="V1640" s="18">
        <f>ProductionData[[#This Row],[Profit]]/ProductionData[[#This Row],[Good Units]]</f>
        <v>24.88372093023256</v>
      </c>
      <c r="W1640" s="11">
        <f>ProductionData[[#This Row],[Good Units]]/ProductionData[[#This Row],[Operating Minutes]]</f>
        <v>1.0260303687635575</v>
      </c>
    </row>
    <row r="1641" spans="1:23">
      <c r="A1641" s="7">
        <v>46386</v>
      </c>
      <c r="B1641" s="8" t="s">
        <v>33</v>
      </c>
      <c r="C1641" s="8" t="s">
        <v>20</v>
      </c>
      <c r="D1641" s="8" t="s">
        <v>23</v>
      </c>
      <c r="E1641" s="8" t="s">
        <v>22</v>
      </c>
      <c r="F1641" s="9">
        <v>460</v>
      </c>
      <c r="G1641" s="9">
        <v>436</v>
      </c>
      <c r="H1641" s="9">
        <v>21</v>
      </c>
      <c r="I1641" s="9">
        <f t="shared" si="225"/>
        <v>415</v>
      </c>
      <c r="J1641" s="9">
        <v>54</v>
      </c>
      <c r="K1641" s="10">
        <f t="shared" si="226"/>
        <v>0.1125</v>
      </c>
      <c r="L1641" s="17">
        <v>100</v>
      </c>
      <c r="M1641" s="17">
        <v>30800</v>
      </c>
      <c r="N1641" s="17">
        <f t="shared" si="227"/>
        <v>41500</v>
      </c>
      <c r="O1641" s="17">
        <f t="shared" si="228"/>
        <v>10700</v>
      </c>
      <c r="P1641" s="10">
        <f t="shared" si="229"/>
        <v>0.94782608695652171</v>
      </c>
      <c r="Q1641" s="10">
        <f t="shared" si="230"/>
        <v>4.8165137614678902E-2</v>
      </c>
      <c r="R1641" s="10">
        <f t="shared" si="231"/>
        <v>0.25783132530120484</v>
      </c>
      <c r="S1641" s="18">
        <f t="shared" si="232"/>
        <v>74.216867469879517</v>
      </c>
      <c r="T1641" s="8">
        <f>480-ProductionData[[#This Row],[Downtime Minutes]]</f>
        <v>426</v>
      </c>
      <c r="U1641" s="11">
        <f t="shared" si="233"/>
        <v>1.0234741784037558</v>
      </c>
      <c r="V1641" s="18">
        <f>ProductionData[[#This Row],[Profit]]/ProductionData[[#This Row],[Good Units]]</f>
        <v>25.783132530120483</v>
      </c>
      <c r="W1641" s="11">
        <f>ProductionData[[#This Row],[Good Units]]/ProductionData[[#This Row],[Operating Minutes]]</f>
        <v>0.9741784037558685</v>
      </c>
    </row>
    <row r="1642" spans="1:23">
      <c r="A1642" s="7">
        <v>46386</v>
      </c>
      <c r="B1642" s="8" t="s">
        <v>33</v>
      </c>
      <c r="C1642" s="8" t="s">
        <v>20</v>
      </c>
      <c r="D1642" s="8" t="s">
        <v>25</v>
      </c>
      <c r="E1642" s="8" t="s">
        <v>24</v>
      </c>
      <c r="F1642" s="9">
        <v>400</v>
      </c>
      <c r="G1642" s="9">
        <v>356</v>
      </c>
      <c r="H1642" s="9">
        <v>12</v>
      </c>
      <c r="I1642" s="9">
        <f t="shared" si="225"/>
        <v>344</v>
      </c>
      <c r="J1642" s="9">
        <v>45</v>
      </c>
      <c r="K1642" s="10">
        <f t="shared" si="226"/>
        <v>9.375E-2</v>
      </c>
      <c r="L1642" s="17">
        <v>120</v>
      </c>
      <c r="M1642" s="17">
        <v>30800</v>
      </c>
      <c r="N1642" s="17">
        <f t="shared" si="227"/>
        <v>41280</v>
      </c>
      <c r="O1642" s="17">
        <f t="shared" si="228"/>
        <v>10480</v>
      </c>
      <c r="P1642" s="10">
        <f t="shared" si="229"/>
        <v>0.89</v>
      </c>
      <c r="Q1642" s="10">
        <f t="shared" si="230"/>
        <v>3.3707865168539325E-2</v>
      </c>
      <c r="R1642" s="10">
        <f t="shared" si="231"/>
        <v>0.25387596899224807</v>
      </c>
      <c r="S1642" s="18">
        <f t="shared" si="232"/>
        <v>89.534883720930239</v>
      </c>
      <c r="T1642" s="8">
        <f>480-ProductionData[[#This Row],[Downtime Minutes]]</f>
        <v>435</v>
      </c>
      <c r="U1642" s="11">
        <f t="shared" si="233"/>
        <v>0.81839080459770119</v>
      </c>
      <c r="V1642" s="18">
        <f>ProductionData[[#This Row],[Profit]]/ProductionData[[#This Row],[Good Units]]</f>
        <v>30.465116279069768</v>
      </c>
      <c r="W1642" s="11">
        <f>ProductionData[[#This Row],[Good Units]]/ProductionData[[#This Row],[Operating Minutes]]</f>
        <v>0.79080459770114941</v>
      </c>
    </row>
    <row r="1643" spans="1:23">
      <c r="A1643" s="7">
        <v>46386</v>
      </c>
      <c r="B1643" s="8" t="s">
        <v>33</v>
      </c>
      <c r="C1643" s="8" t="s">
        <v>27</v>
      </c>
      <c r="D1643" s="8" t="s">
        <v>21</v>
      </c>
      <c r="E1643" s="8" t="s">
        <v>22</v>
      </c>
      <c r="F1643" s="9">
        <v>450</v>
      </c>
      <c r="G1643" s="9">
        <v>406</v>
      </c>
      <c r="H1643" s="9">
        <v>25</v>
      </c>
      <c r="I1643" s="9">
        <f t="shared" si="225"/>
        <v>381</v>
      </c>
      <c r="J1643" s="9">
        <v>48</v>
      </c>
      <c r="K1643" s="10">
        <f t="shared" si="226"/>
        <v>0.1</v>
      </c>
      <c r="L1643" s="17">
        <v>100</v>
      </c>
      <c r="M1643" s="17">
        <v>30800</v>
      </c>
      <c r="N1643" s="17">
        <f t="shared" si="227"/>
        <v>38100</v>
      </c>
      <c r="O1643" s="17">
        <f t="shared" si="228"/>
        <v>7300</v>
      </c>
      <c r="P1643" s="10">
        <f t="shared" si="229"/>
        <v>0.90222222222222226</v>
      </c>
      <c r="Q1643" s="10">
        <f t="shared" si="230"/>
        <v>6.1576354679802957E-2</v>
      </c>
      <c r="R1643" s="10">
        <f t="shared" si="231"/>
        <v>0.19160104986876642</v>
      </c>
      <c r="S1643" s="18">
        <f t="shared" si="232"/>
        <v>80.839895013123353</v>
      </c>
      <c r="T1643" s="8">
        <f>480-ProductionData[[#This Row],[Downtime Minutes]]</f>
        <v>432</v>
      </c>
      <c r="U1643" s="11">
        <f t="shared" si="233"/>
        <v>0.93981481481481477</v>
      </c>
      <c r="V1643" s="18">
        <f>ProductionData[[#This Row],[Profit]]/ProductionData[[#This Row],[Good Units]]</f>
        <v>19.16010498687664</v>
      </c>
      <c r="W1643" s="11">
        <f>ProductionData[[#This Row],[Good Units]]/ProductionData[[#This Row],[Operating Minutes]]</f>
        <v>0.88194444444444442</v>
      </c>
    </row>
    <row r="1644" spans="1:23">
      <c r="A1644" s="7">
        <v>46386</v>
      </c>
      <c r="B1644" s="8" t="s">
        <v>33</v>
      </c>
      <c r="C1644" s="8" t="s">
        <v>27</v>
      </c>
      <c r="D1644" s="8" t="s">
        <v>23</v>
      </c>
      <c r="E1644" s="8" t="s">
        <v>24</v>
      </c>
      <c r="F1644" s="9">
        <v>390</v>
      </c>
      <c r="G1644" s="9">
        <v>359</v>
      </c>
      <c r="H1644" s="9">
        <v>19</v>
      </c>
      <c r="I1644" s="9">
        <f t="shared" si="225"/>
        <v>340</v>
      </c>
      <c r="J1644" s="9">
        <v>50</v>
      </c>
      <c r="K1644" s="10">
        <f t="shared" si="226"/>
        <v>0.10416666666666667</v>
      </c>
      <c r="L1644" s="17">
        <v>120</v>
      </c>
      <c r="M1644" s="17">
        <v>30800</v>
      </c>
      <c r="N1644" s="17">
        <f t="shared" si="227"/>
        <v>40800</v>
      </c>
      <c r="O1644" s="17">
        <f t="shared" si="228"/>
        <v>10000</v>
      </c>
      <c r="P1644" s="10">
        <f t="shared" si="229"/>
        <v>0.92051282051282046</v>
      </c>
      <c r="Q1644" s="10">
        <f t="shared" si="230"/>
        <v>5.2924791086350974E-2</v>
      </c>
      <c r="R1644" s="10">
        <f t="shared" si="231"/>
        <v>0.24509803921568626</v>
      </c>
      <c r="S1644" s="18">
        <f t="shared" si="232"/>
        <v>90.588235294117652</v>
      </c>
      <c r="T1644" s="8">
        <f>480-ProductionData[[#This Row],[Downtime Minutes]]</f>
        <v>430</v>
      </c>
      <c r="U1644" s="11">
        <f t="shared" si="233"/>
        <v>0.83488372093023255</v>
      </c>
      <c r="V1644" s="18">
        <f>ProductionData[[#This Row],[Profit]]/ProductionData[[#This Row],[Good Units]]</f>
        <v>29.411764705882351</v>
      </c>
      <c r="W1644" s="11">
        <f>ProductionData[[#This Row],[Good Units]]/ProductionData[[#This Row],[Operating Minutes]]</f>
        <v>0.79069767441860461</v>
      </c>
    </row>
    <row r="1645" spans="1:23">
      <c r="A1645" s="7">
        <v>46386</v>
      </c>
      <c r="B1645" s="8" t="s">
        <v>33</v>
      </c>
      <c r="C1645" s="8" t="s">
        <v>27</v>
      </c>
      <c r="D1645" s="8" t="s">
        <v>25</v>
      </c>
      <c r="E1645" s="8" t="s">
        <v>26</v>
      </c>
      <c r="F1645" s="9">
        <v>510</v>
      </c>
      <c r="G1645" s="9">
        <v>429</v>
      </c>
      <c r="H1645" s="9">
        <v>27</v>
      </c>
      <c r="I1645" s="9">
        <f t="shared" si="225"/>
        <v>402</v>
      </c>
      <c r="J1645" s="9">
        <v>58</v>
      </c>
      <c r="K1645" s="10">
        <f t="shared" si="226"/>
        <v>0.12083333333333333</v>
      </c>
      <c r="L1645" s="17">
        <v>90</v>
      </c>
      <c r="M1645" s="17">
        <v>30800</v>
      </c>
      <c r="N1645" s="17">
        <f t="shared" si="227"/>
        <v>36180</v>
      </c>
      <c r="O1645" s="17">
        <f t="shared" si="228"/>
        <v>5380</v>
      </c>
      <c r="P1645" s="10">
        <f t="shared" si="229"/>
        <v>0.8411764705882353</v>
      </c>
      <c r="Q1645" s="10">
        <f t="shared" si="230"/>
        <v>6.2937062937062943E-2</v>
      </c>
      <c r="R1645" s="10">
        <f t="shared" si="231"/>
        <v>0.14870093974571585</v>
      </c>
      <c r="S1645" s="18">
        <f t="shared" si="232"/>
        <v>76.616915422885569</v>
      </c>
      <c r="T1645" s="8">
        <f>480-ProductionData[[#This Row],[Downtime Minutes]]</f>
        <v>422</v>
      </c>
      <c r="U1645" s="11">
        <f t="shared" si="233"/>
        <v>1.0165876777251184</v>
      </c>
      <c r="V1645" s="18">
        <f>ProductionData[[#This Row],[Profit]]/ProductionData[[#This Row],[Good Units]]</f>
        <v>13.383084577114428</v>
      </c>
      <c r="W1645" s="11">
        <f>ProductionData[[#This Row],[Good Units]]/ProductionData[[#This Row],[Operating Minutes]]</f>
        <v>0.95260663507109</v>
      </c>
    </row>
    <row r="1646" spans="1:23">
      <c r="A1646" s="7">
        <v>46386</v>
      </c>
      <c r="B1646" s="8" t="s">
        <v>33</v>
      </c>
      <c r="C1646" s="8" t="s">
        <v>28</v>
      </c>
      <c r="D1646" s="8" t="s">
        <v>21</v>
      </c>
      <c r="E1646" s="8" t="s">
        <v>24</v>
      </c>
      <c r="F1646" s="9">
        <v>410</v>
      </c>
      <c r="G1646" s="9">
        <v>399</v>
      </c>
      <c r="H1646" s="9">
        <v>11</v>
      </c>
      <c r="I1646" s="9">
        <f t="shared" si="225"/>
        <v>388</v>
      </c>
      <c r="J1646" s="9">
        <v>14</v>
      </c>
      <c r="K1646" s="10">
        <f t="shared" si="226"/>
        <v>2.9166666666666667E-2</v>
      </c>
      <c r="L1646" s="17">
        <v>120</v>
      </c>
      <c r="M1646" s="17">
        <v>30800</v>
      </c>
      <c r="N1646" s="17">
        <f t="shared" si="227"/>
        <v>46560</v>
      </c>
      <c r="O1646" s="17">
        <f t="shared" si="228"/>
        <v>15760</v>
      </c>
      <c r="P1646" s="10">
        <f t="shared" si="229"/>
        <v>0.97317073170731705</v>
      </c>
      <c r="Q1646" s="10">
        <f t="shared" si="230"/>
        <v>2.7568922305764409E-2</v>
      </c>
      <c r="R1646" s="10">
        <f t="shared" si="231"/>
        <v>0.33848797250859108</v>
      </c>
      <c r="S1646" s="18">
        <f t="shared" si="232"/>
        <v>79.381443298969074</v>
      </c>
      <c r="T1646" s="8">
        <f>480-ProductionData[[#This Row],[Downtime Minutes]]</f>
        <v>466</v>
      </c>
      <c r="U1646" s="11">
        <f t="shared" si="233"/>
        <v>0.85622317596566522</v>
      </c>
      <c r="V1646" s="18">
        <f>ProductionData[[#This Row],[Profit]]/ProductionData[[#This Row],[Good Units]]</f>
        <v>40.618556701030926</v>
      </c>
      <c r="W1646" s="11">
        <f>ProductionData[[#This Row],[Good Units]]/ProductionData[[#This Row],[Operating Minutes]]</f>
        <v>0.83261802575107291</v>
      </c>
    </row>
    <row r="1647" spans="1:23">
      <c r="A1647" s="7">
        <v>46386</v>
      </c>
      <c r="B1647" s="8" t="s">
        <v>33</v>
      </c>
      <c r="C1647" s="8" t="s">
        <v>28</v>
      </c>
      <c r="D1647" s="8" t="s">
        <v>23</v>
      </c>
      <c r="E1647" s="8" t="s">
        <v>26</v>
      </c>
      <c r="F1647" s="9">
        <v>500</v>
      </c>
      <c r="G1647" s="9">
        <v>471</v>
      </c>
      <c r="H1647" s="9">
        <v>13</v>
      </c>
      <c r="I1647" s="9">
        <f t="shared" si="225"/>
        <v>458</v>
      </c>
      <c r="J1647" s="9">
        <v>25</v>
      </c>
      <c r="K1647" s="10">
        <f t="shared" si="226"/>
        <v>5.2083333333333336E-2</v>
      </c>
      <c r="L1647" s="17">
        <v>90</v>
      </c>
      <c r="M1647" s="17">
        <v>30800</v>
      </c>
      <c r="N1647" s="17">
        <f t="shared" si="227"/>
        <v>41220</v>
      </c>
      <c r="O1647" s="17">
        <f t="shared" si="228"/>
        <v>10420</v>
      </c>
      <c r="P1647" s="10">
        <f t="shared" si="229"/>
        <v>0.94199999999999995</v>
      </c>
      <c r="Q1647" s="10">
        <f t="shared" si="230"/>
        <v>2.7600849256900213E-2</v>
      </c>
      <c r="R1647" s="10">
        <f t="shared" si="231"/>
        <v>0.25278990781174188</v>
      </c>
      <c r="S1647" s="18">
        <f t="shared" si="232"/>
        <v>67.248908296943227</v>
      </c>
      <c r="T1647" s="8">
        <f>480-ProductionData[[#This Row],[Downtime Minutes]]</f>
        <v>455</v>
      </c>
      <c r="U1647" s="11">
        <f t="shared" si="233"/>
        <v>1.0351648351648353</v>
      </c>
      <c r="V1647" s="18">
        <f>ProductionData[[#This Row],[Profit]]/ProductionData[[#This Row],[Good Units]]</f>
        <v>22.751091703056769</v>
      </c>
      <c r="W1647" s="11">
        <f>ProductionData[[#This Row],[Good Units]]/ProductionData[[#This Row],[Operating Minutes]]</f>
        <v>1.0065934065934066</v>
      </c>
    </row>
    <row r="1648" spans="1:23">
      <c r="A1648" s="7">
        <v>46386</v>
      </c>
      <c r="B1648" s="8" t="s">
        <v>33</v>
      </c>
      <c r="C1648" s="8" t="s">
        <v>28</v>
      </c>
      <c r="D1648" s="8" t="s">
        <v>25</v>
      </c>
      <c r="E1648" s="8" t="s">
        <v>22</v>
      </c>
      <c r="F1648" s="9">
        <v>450</v>
      </c>
      <c r="G1648" s="9">
        <v>406</v>
      </c>
      <c r="H1648" s="9">
        <v>20</v>
      </c>
      <c r="I1648" s="9">
        <f t="shared" si="225"/>
        <v>386</v>
      </c>
      <c r="J1648" s="9">
        <v>47</v>
      </c>
      <c r="K1648" s="10">
        <f t="shared" si="226"/>
        <v>9.7916666666666666E-2</v>
      </c>
      <c r="L1648" s="17">
        <v>100</v>
      </c>
      <c r="M1648" s="17">
        <v>30800</v>
      </c>
      <c r="N1648" s="17">
        <f t="shared" si="227"/>
        <v>38600</v>
      </c>
      <c r="O1648" s="17">
        <f t="shared" si="228"/>
        <v>7800</v>
      </c>
      <c r="P1648" s="10">
        <f t="shared" si="229"/>
        <v>0.90222222222222226</v>
      </c>
      <c r="Q1648" s="10">
        <f t="shared" si="230"/>
        <v>4.9261083743842367E-2</v>
      </c>
      <c r="R1648" s="10">
        <f t="shared" si="231"/>
        <v>0.20207253886010362</v>
      </c>
      <c r="S1648" s="18">
        <f t="shared" si="232"/>
        <v>79.792746113989637</v>
      </c>
      <c r="T1648" s="8">
        <f>480-ProductionData[[#This Row],[Downtime Minutes]]</f>
        <v>433</v>
      </c>
      <c r="U1648" s="11">
        <f t="shared" si="233"/>
        <v>0.93764434180138567</v>
      </c>
      <c r="V1648" s="18">
        <f>ProductionData[[#This Row],[Profit]]/ProductionData[[#This Row],[Good Units]]</f>
        <v>20.207253886010363</v>
      </c>
      <c r="W1648" s="11">
        <f>ProductionData[[#This Row],[Good Units]]/ProductionData[[#This Row],[Operating Minutes]]</f>
        <v>0.89145496535796764</v>
      </c>
    </row>
    <row r="1649" spans="1:23">
      <c r="A1649" s="7">
        <v>46387</v>
      </c>
      <c r="B1649" s="8" t="s">
        <v>33</v>
      </c>
      <c r="C1649" s="8" t="s">
        <v>20</v>
      </c>
      <c r="D1649" s="8" t="s">
        <v>21</v>
      </c>
      <c r="E1649" s="8" t="s">
        <v>22</v>
      </c>
      <c r="F1649" s="9">
        <v>460</v>
      </c>
      <c r="G1649" s="9">
        <v>429</v>
      </c>
      <c r="H1649" s="9">
        <v>16</v>
      </c>
      <c r="I1649" s="9">
        <f t="shared" si="225"/>
        <v>413</v>
      </c>
      <c r="J1649" s="9">
        <v>38</v>
      </c>
      <c r="K1649" s="10">
        <f t="shared" si="226"/>
        <v>7.9166666666666663E-2</v>
      </c>
      <c r="L1649" s="17">
        <v>100</v>
      </c>
      <c r="M1649" s="17">
        <v>30800</v>
      </c>
      <c r="N1649" s="17">
        <f t="shared" si="227"/>
        <v>41300</v>
      </c>
      <c r="O1649" s="17">
        <f t="shared" si="228"/>
        <v>10500</v>
      </c>
      <c r="P1649" s="10">
        <f t="shared" si="229"/>
        <v>0.93260869565217386</v>
      </c>
      <c r="Q1649" s="10">
        <f t="shared" si="230"/>
        <v>3.7296037296037296E-2</v>
      </c>
      <c r="R1649" s="10">
        <f t="shared" si="231"/>
        <v>0.25423728813559321</v>
      </c>
      <c r="S1649" s="18">
        <f t="shared" si="232"/>
        <v>74.576271186440678</v>
      </c>
      <c r="T1649" s="8">
        <f>480-ProductionData[[#This Row],[Downtime Minutes]]</f>
        <v>442</v>
      </c>
      <c r="U1649" s="11">
        <f t="shared" si="233"/>
        <v>0.97058823529411764</v>
      </c>
      <c r="V1649" s="18">
        <f>ProductionData[[#This Row],[Profit]]/ProductionData[[#This Row],[Good Units]]</f>
        <v>25.423728813559322</v>
      </c>
      <c r="W1649" s="11">
        <f>ProductionData[[#This Row],[Good Units]]/ProductionData[[#This Row],[Operating Minutes]]</f>
        <v>0.93438914027149322</v>
      </c>
    </row>
    <row r="1650" spans="1:23">
      <c r="A1650" s="7">
        <v>46387</v>
      </c>
      <c r="B1650" s="8" t="s">
        <v>33</v>
      </c>
      <c r="C1650" s="8" t="s">
        <v>20</v>
      </c>
      <c r="D1650" s="8" t="s">
        <v>23</v>
      </c>
      <c r="E1650" s="8" t="s">
        <v>24</v>
      </c>
      <c r="F1650" s="9">
        <v>400</v>
      </c>
      <c r="G1650" s="9">
        <v>385</v>
      </c>
      <c r="H1650" s="9">
        <v>12</v>
      </c>
      <c r="I1650" s="9">
        <f t="shared" si="225"/>
        <v>373</v>
      </c>
      <c r="J1650" s="9">
        <v>36</v>
      </c>
      <c r="K1650" s="10">
        <f t="shared" si="226"/>
        <v>7.4999999999999997E-2</v>
      </c>
      <c r="L1650" s="17">
        <v>120</v>
      </c>
      <c r="M1650" s="17">
        <v>30800</v>
      </c>
      <c r="N1650" s="17">
        <f t="shared" si="227"/>
        <v>44760</v>
      </c>
      <c r="O1650" s="17">
        <f t="shared" si="228"/>
        <v>13960</v>
      </c>
      <c r="P1650" s="10">
        <f t="shared" si="229"/>
        <v>0.96250000000000002</v>
      </c>
      <c r="Q1650" s="10">
        <f t="shared" si="230"/>
        <v>3.1168831168831169E-2</v>
      </c>
      <c r="R1650" s="10">
        <f t="shared" si="231"/>
        <v>0.31188561215370869</v>
      </c>
      <c r="S1650" s="18">
        <f t="shared" si="232"/>
        <v>82.573726541554961</v>
      </c>
      <c r="T1650" s="8">
        <f>480-ProductionData[[#This Row],[Downtime Minutes]]</f>
        <v>444</v>
      </c>
      <c r="U1650" s="11">
        <f t="shared" si="233"/>
        <v>0.86711711711711714</v>
      </c>
      <c r="V1650" s="18">
        <f>ProductionData[[#This Row],[Profit]]/ProductionData[[#This Row],[Good Units]]</f>
        <v>37.426273458445039</v>
      </c>
      <c r="W1650" s="11">
        <f>ProductionData[[#This Row],[Good Units]]/ProductionData[[#This Row],[Operating Minutes]]</f>
        <v>0.84009009009009006</v>
      </c>
    </row>
    <row r="1651" spans="1:23">
      <c r="A1651" s="7">
        <v>46387</v>
      </c>
      <c r="B1651" s="8" t="s">
        <v>33</v>
      </c>
      <c r="C1651" s="8" t="s">
        <v>20</v>
      </c>
      <c r="D1651" s="8" t="s">
        <v>25</v>
      </c>
      <c r="E1651" s="8" t="s">
        <v>26</v>
      </c>
      <c r="F1651" s="9">
        <v>490</v>
      </c>
      <c r="G1651" s="9">
        <v>457</v>
      </c>
      <c r="H1651" s="9">
        <v>19</v>
      </c>
      <c r="I1651" s="9">
        <f t="shared" si="225"/>
        <v>438</v>
      </c>
      <c r="J1651" s="9">
        <v>31</v>
      </c>
      <c r="K1651" s="10">
        <f t="shared" si="226"/>
        <v>6.458333333333334E-2</v>
      </c>
      <c r="L1651" s="17">
        <v>90</v>
      </c>
      <c r="M1651" s="17">
        <v>30800</v>
      </c>
      <c r="N1651" s="17">
        <f t="shared" si="227"/>
        <v>39420</v>
      </c>
      <c r="O1651" s="17">
        <f t="shared" si="228"/>
        <v>8620</v>
      </c>
      <c r="P1651" s="10">
        <f t="shared" si="229"/>
        <v>0.93265306122448977</v>
      </c>
      <c r="Q1651" s="10">
        <f t="shared" si="230"/>
        <v>4.1575492341356671E-2</v>
      </c>
      <c r="R1651" s="10">
        <f t="shared" si="231"/>
        <v>0.21867072552004058</v>
      </c>
      <c r="S1651" s="18">
        <f t="shared" si="232"/>
        <v>70.319634703196343</v>
      </c>
      <c r="T1651" s="8">
        <f>480-ProductionData[[#This Row],[Downtime Minutes]]</f>
        <v>449</v>
      </c>
      <c r="U1651" s="11">
        <f t="shared" si="233"/>
        <v>1.0178173719376391</v>
      </c>
      <c r="V1651" s="18">
        <f>ProductionData[[#This Row],[Profit]]/ProductionData[[#This Row],[Good Units]]</f>
        <v>19.680365296803654</v>
      </c>
      <c r="W1651" s="11">
        <f>ProductionData[[#This Row],[Good Units]]/ProductionData[[#This Row],[Operating Minutes]]</f>
        <v>0.97550111358574609</v>
      </c>
    </row>
    <row r="1652" spans="1:23">
      <c r="A1652" s="7">
        <v>46387</v>
      </c>
      <c r="B1652" s="8" t="s">
        <v>33</v>
      </c>
      <c r="C1652" s="8" t="s">
        <v>27</v>
      </c>
      <c r="D1652" s="8" t="s">
        <v>21</v>
      </c>
      <c r="E1652" s="8" t="s">
        <v>24</v>
      </c>
      <c r="F1652" s="9">
        <v>400</v>
      </c>
      <c r="G1652" s="9">
        <v>356</v>
      </c>
      <c r="H1652" s="9">
        <v>16</v>
      </c>
      <c r="I1652" s="9">
        <f t="shared" si="225"/>
        <v>340</v>
      </c>
      <c r="J1652" s="9">
        <v>39</v>
      </c>
      <c r="K1652" s="10">
        <f t="shared" si="226"/>
        <v>8.1250000000000003E-2</v>
      </c>
      <c r="L1652" s="17">
        <v>120</v>
      </c>
      <c r="M1652" s="17">
        <v>30800</v>
      </c>
      <c r="N1652" s="17">
        <f t="shared" si="227"/>
        <v>40800</v>
      </c>
      <c r="O1652" s="17">
        <f t="shared" si="228"/>
        <v>10000</v>
      </c>
      <c r="P1652" s="10">
        <f t="shared" si="229"/>
        <v>0.89</v>
      </c>
      <c r="Q1652" s="10">
        <f t="shared" si="230"/>
        <v>4.49438202247191E-2</v>
      </c>
      <c r="R1652" s="10">
        <f t="shared" si="231"/>
        <v>0.24509803921568626</v>
      </c>
      <c r="S1652" s="18">
        <f t="shared" si="232"/>
        <v>90.588235294117652</v>
      </c>
      <c r="T1652" s="8">
        <f>480-ProductionData[[#This Row],[Downtime Minutes]]</f>
        <v>441</v>
      </c>
      <c r="U1652" s="11">
        <f t="shared" si="233"/>
        <v>0.80725623582766437</v>
      </c>
      <c r="V1652" s="18">
        <f>ProductionData[[#This Row],[Profit]]/ProductionData[[#This Row],[Good Units]]</f>
        <v>29.411764705882351</v>
      </c>
      <c r="W1652" s="11">
        <f>ProductionData[[#This Row],[Good Units]]/ProductionData[[#This Row],[Operating Minutes]]</f>
        <v>0.77097505668934241</v>
      </c>
    </row>
    <row r="1653" spans="1:23">
      <c r="A1653" s="7">
        <v>46387</v>
      </c>
      <c r="B1653" s="8" t="s">
        <v>33</v>
      </c>
      <c r="C1653" s="8" t="s">
        <v>27</v>
      </c>
      <c r="D1653" s="8" t="s">
        <v>23</v>
      </c>
      <c r="E1653" s="8" t="s">
        <v>26</v>
      </c>
      <c r="F1653" s="9">
        <v>510</v>
      </c>
      <c r="G1653" s="9">
        <v>470</v>
      </c>
      <c r="H1653" s="9">
        <v>29</v>
      </c>
      <c r="I1653" s="9">
        <f t="shared" si="225"/>
        <v>441</v>
      </c>
      <c r="J1653" s="9">
        <v>44</v>
      </c>
      <c r="K1653" s="10">
        <f t="shared" si="226"/>
        <v>9.166666666666666E-2</v>
      </c>
      <c r="L1653" s="17">
        <v>90</v>
      </c>
      <c r="M1653" s="17">
        <v>30800</v>
      </c>
      <c r="N1653" s="17">
        <f t="shared" si="227"/>
        <v>39690</v>
      </c>
      <c r="O1653" s="17">
        <f t="shared" si="228"/>
        <v>8890</v>
      </c>
      <c r="P1653" s="10">
        <f t="shared" si="229"/>
        <v>0.92156862745098034</v>
      </c>
      <c r="Q1653" s="10">
        <f t="shared" si="230"/>
        <v>6.1702127659574467E-2</v>
      </c>
      <c r="R1653" s="10">
        <f t="shared" si="231"/>
        <v>0.22398589065255731</v>
      </c>
      <c r="S1653" s="18">
        <f t="shared" si="232"/>
        <v>69.841269841269835</v>
      </c>
      <c r="T1653" s="8">
        <f>480-ProductionData[[#This Row],[Downtime Minutes]]</f>
        <v>436</v>
      </c>
      <c r="U1653" s="11">
        <f t="shared" si="233"/>
        <v>1.0779816513761469</v>
      </c>
      <c r="V1653" s="18">
        <f>ProductionData[[#This Row],[Profit]]/ProductionData[[#This Row],[Good Units]]</f>
        <v>20.158730158730158</v>
      </c>
      <c r="W1653" s="11">
        <f>ProductionData[[#This Row],[Good Units]]/ProductionData[[#This Row],[Operating Minutes]]</f>
        <v>1.011467889908257</v>
      </c>
    </row>
    <row r="1654" spans="1:23">
      <c r="A1654" s="7">
        <v>46387</v>
      </c>
      <c r="B1654" s="8" t="s">
        <v>33</v>
      </c>
      <c r="C1654" s="8" t="s">
        <v>27</v>
      </c>
      <c r="D1654" s="8" t="s">
        <v>25</v>
      </c>
      <c r="E1654" s="8" t="s">
        <v>22</v>
      </c>
      <c r="F1654" s="9">
        <v>450</v>
      </c>
      <c r="G1654" s="9">
        <v>396</v>
      </c>
      <c r="H1654" s="9">
        <v>32</v>
      </c>
      <c r="I1654" s="9">
        <f t="shared" si="225"/>
        <v>364</v>
      </c>
      <c r="J1654" s="9">
        <v>64</v>
      </c>
      <c r="K1654" s="10">
        <f t="shared" si="226"/>
        <v>0.13333333333333333</v>
      </c>
      <c r="L1654" s="17">
        <v>100</v>
      </c>
      <c r="M1654" s="17">
        <v>30800</v>
      </c>
      <c r="N1654" s="17">
        <f t="shared" si="227"/>
        <v>36400</v>
      </c>
      <c r="O1654" s="17">
        <f t="shared" si="228"/>
        <v>5600</v>
      </c>
      <c r="P1654" s="10">
        <f t="shared" si="229"/>
        <v>0.88</v>
      </c>
      <c r="Q1654" s="10">
        <f t="shared" si="230"/>
        <v>8.0808080808080815E-2</v>
      </c>
      <c r="R1654" s="10">
        <f t="shared" si="231"/>
        <v>0.15384615384615385</v>
      </c>
      <c r="S1654" s="18">
        <f t="shared" si="232"/>
        <v>84.615384615384613</v>
      </c>
      <c r="T1654" s="8">
        <f>480-ProductionData[[#This Row],[Downtime Minutes]]</f>
        <v>416</v>
      </c>
      <c r="U1654" s="11">
        <f t="shared" si="233"/>
        <v>0.95192307692307687</v>
      </c>
      <c r="V1654" s="18">
        <f>ProductionData[[#This Row],[Profit]]/ProductionData[[#This Row],[Good Units]]</f>
        <v>15.384615384615385</v>
      </c>
      <c r="W1654" s="11">
        <f>ProductionData[[#This Row],[Good Units]]/ProductionData[[#This Row],[Operating Minutes]]</f>
        <v>0.875</v>
      </c>
    </row>
    <row r="1655" spans="1:23">
      <c r="A1655" s="7">
        <v>46387</v>
      </c>
      <c r="B1655" s="8" t="s">
        <v>33</v>
      </c>
      <c r="C1655" s="8" t="s">
        <v>28</v>
      </c>
      <c r="D1655" s="8" t="s">
        <v>21</v>
      </c>
      <c r="E1655" s="8" t="s">
        <v>26</v>
      </c>
      <c r="F1655" s="9">
        <v>490</v>
      </c>
      <c r="G1655" s="9">
        <v>484</v>
      </c>
      <c r="H1655" s="9">
        <v>12</v>
      </c>
      <c r="I1655" s="9">
        <f t="shared" si="225"/>
        <v>472</v>
      </c>
      <c r="J1655" s="9">
        <v>12</v>
      </c>
      <c r="K1655" s="10">
        <f t="shared" si="226"/>
        <v>2.5000000000000001E-2</v>
      </c>
      <c r="L1655" s="17">
        <v>90</v>
      </c>
      <c r="M1655" s="17">
        <v>30800</v>
      </c>
      <c r="N1655" s="17">
        <f t="shared" si="227"/>
        <v>42480</v>
      </c>
      <c r="O1655" s="17">
        <f t="shared" si="228"/>
        <v>11680</v>
      </c>
      <c r="P1655" s="10">
        <f t="shared" si="229"/>
        <v>0.98775510204081629</v>
      </c>
      <c r="Q1655" s="10">
        <f t="shared" si="230"/>
        <v>2.4793388429752067E-2</v>
      </c>
      <c r="R1655" s="10">
        <f t="shared" si="231"/>
        <v>0.27495291902071561</v>
      </c>
      <c r="S1655" s="18">
        <f t="shared" si="232"/>
        <v>65.254237288135599</v>
      </c>
      <c r="T1655" s="8">
        <f>480-ProductionData[[#This Row],[Downtime Minutes]]</f>
        <v>468</v>
      </c>
      <c r="U1655" s="11">
        <f t="shared" si="233"/>
        <v>1.0341880341880343</v>
      </c>
      <c r="V1655" s="18">
        <f>ProductionData[[#This Row],[Profit]]/ProductionData[[#This Row],[Good Units]]</f>
        <v>24.745762711864408</v>
      </c>
      <c r="W1655" s="11">
        <f>ProductionData[[#This Row],[Good Units]]/ProductionData[[#This Row],[Operating Minutes]]</f>
        <v>1.0085470085470085</v>
      </c>
    </row>
    <row r="1656" spans="1:23">
      <c r="A1656" s="7">
        <v>46387</v>
      </c>
      <c r="B1656" s="8" t="s">
        <v>33</v>
      </c>
      <c r="C1656" s="8" t="s">
        <v>28</v>
      </c>
      <c r="D1656" s="8" t="s">
        <v>23</v>
      </c>
      <c r="E1656" s="8" t="s">
        <v>22</v>
      </c>
      <c r="F1656" s="9">
        <v>470</v>
      </c>
      <c r="G1656" s="9">
        <v>448</v>
      </c>
      <c r="H1656" s="9">
        <v>19</v>
      </c>
      <c r="I1656" s="9">
        <f t="shared" si="225"/>
        <v>429</v>
      </c>
      <c r="J1656" s="9">
        <v>41</v>
      </c>
      <c r="K1656" s="10">
        <f t="shared" si="226"/>
        <v>8.5416666666666669E-2</v>
      </c>
      <c r="L1656" s="17">
        <v>100</v>
      </c>
      <c r="M1656" s="17">
        <v>30800</v>
      </c>
      <c r="N1656" s="17">
        <f t="shared" si="227"/>
        <v>42900</v>
      </c>
      <c r="O1656" s="17">
        <f t="shared" si="228"/>
        <v>12100</v>
      </c>
      <c r="P1656" s="10">
        <f t="shared" si="229"/>
        <v>0.95319148936170217</v>
      </c>
      <c r="Q1656" s="10">
        <f t="shared" si="230"/>
        <v>4.2410714285714288E-2</v>
      </c>
      <c r="R1656" s="10">
        <f t="shared" si="231"/>
        <v>0.28205128205128205</v>
      </c>
      <c r="S1656" s="18">
        <f t="shared" si="232"/>
        <v>71.794871794871796</v>
      </c>
      <c r="T1656" s="8">
        <f>480-ProductionData[[#This Row],[Downtime Minutes]]</f>
        <v>439</v>
      </c>
      <c r="U1656" s="11">
        <f t="shared" si="233"/>
        <v>1.0205011389521641</v>
      </c>
      <c r="V1656" s="18">
        <f>ProductionData[[#This Row],[Profit]]/ProductionData[[#This Row],[Good Units]]</f>
        <v>28.205128205128204</v>
      </c>
      <c r="W1656" s="11">
        <f>ProductionData[[#This Row],[Good Units]]/ProductionData[[#This Row],[Operating Minutes]]</f>
        <v>0.97722095671981779</v>
      </c>
    </row>
    <row r="1657" spans="1:23">
      <c r="A1657" s="7">
        <v>46387</v>
      </c>
      <c r="B1657" s="8" t="s">
        <v>33</v>
      </c>
      <c r="C1657" s="8" t="s">
        <v>28</v>
      </c>
      <c r="D1657" s="8" t="s">
        <v>25</v>
      </c>
      <c r="E1657" s="8" t="s">
        <v>24</v>
      </c>
      <c r="F1657" s="9">
        <v>380</v>
      </c>
      <c r="G1657" s="9">
        <v>358</v>
      </c>
      <c r="H1657" s="9">
        <v>13</v>
      </c>
      <c r="I1657" s="9">
        <f t="shared" si="225"/>
        <v>345</v>
      </c>
      <c r="J1657" s="9">
        <v>23</v>
      </c>
      <c r="K1657" s="10">
        <f t="shared" si="226"/>
        <v>4.791666666666667E-2</v>
      </c>
      <c r="L1657" s="17">
        <v>120</v>
      </c>
      <c r="M1657" s="17">
        <v>30800</v>
      </c>
      <c r="N1657" s="17">
        <f t="shared" si="227"/>
        <v>41400</v>
      </c>
      <c r="O1657" s="17">
        <f t="shared" si="228"/>
        <v>10600</v>
      </c>
      <c r="P1657" s="10">
        <f t="shared" si="229"/>
        <v>0.94210526315789478</v>
      </c>
      <c r="Q1657" s="10">
        <f t="shared" si="230"/>
        <v>3.6312849162011177E-2</v>
      </c>
      <c r="R1657" s="10">
        <f t="shared" si="231"/>
        <v>0.2560386473429952</v>
      </c>
      <c r="S1657" s="18">
        <f t="shared" si="232"/>
        <v>89.275362318840578</v>
      </c>
      <c r="T1657" s="8">
        <f>480-ProductionData[[#This Row],[Downtime Minutes]]</f>
        <v>457</v>
      </c>
      <c r="U1657" s="11">
        <f t="shared" si="233"/>
        <v>0.78336980306345738</v>
      </c>
      <c r="V1657" s="18">
        <f>ProductionData[[#This Row],[Profit]]/ProductionData[[#This Row],[Good Units]]</f>
        <v>30.724637681159422</v>
      </c>
      <c r="W1657" s="11">
        <f>ProductionData[[#This Row],[Good Units]]/ProductionData[[#This Row],[Operating Minutes]]</f>
        <v>0.75492341356673964</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7B0E9-A65F-47CD-A268-9A3659AFDAE3}">
  <dimension ref="A1:H26"/>
  <sheetViews>
    <sheetView tabSelected="1" zoomScale="67" zoomScaleNormal="67" workbookViewId="0">
      <selection activeCell="A22" sqref="A22:H22"/>
    </sheetView>
  </sheetViews>
  <sheetFormatPr defaultRowHeight="13.8"/>
  <cols>
    <col min="1" max="8" width="14.69921875" customWidth="1"/>
  </cols>
  <sheetData>
    <row r="1" spans="1:8" ht="21">
      <c r="A1" s="21" t="s">
        <v>92</v>
      </c>
    </row>
    <row r="2" spans="1:8">
      <c r="A2" s="22" t="s">
        <v>93</v>
      </c>
    </row>
    <row r="4" spans="1:8" ht="16.8">
      <c r="A4" s="23" t="s">
        <v>94</v>
      </c>
    </row>
    <row r="5" spans="1:8" ht="44.4" customHeight="1">
      <c r="A5" s="24" t="s">
        <v>103</v>
      </c>
      <c r="B5" s="24"/>
      <c r="C5" s="24"/>
      <c r="D5" s="24"/>
      <c r="E5" s="24"/>
      <c r="F5" s="24"/>
      <c r="G5" s="24"/>
      <c r="H5" s="24"/>
    </row>
    <row r="7" spans="1:8" ht="16.8">
      <c r="A7" s="23" t="s">
        <v>95</v>
      </c>
    </row>
    <row r="8" spans="1:8" ht="57" customHeight="1">
      <c r="A8" s="26" t="s">
        <v>99</v>
      </c>
      <c r="B8" s="26"/>
      <c r="C8" s="26"/>
      <c r="D8" s="26"/>
      <c r="E8" s="26"/>
      <c r="F8" s="26"/>
      <c r="G8" s="26"/>
      <c r="H8" s="26"/>
    </row>
    <row r="10" spans="1:8" ht="16.8">
      <c r="A10" s="23" t="s">
        <v>101</v>
      </c>
    </row>
    <row r="11" spans="1:8">
      <c r="A11" s="24" t="s">
        <v>96</v>
      </c>
      <c r="B11" s="24"/>
      <c r="C11" s="24"/>
      <c r="D11" s="24"/>
      <c r="E11" s="24"/>
      <c r="F11" s="24"/>
      <c r="G11" s="24"/>
      <c r="H11" s="24"/>
    </row>
    <row r="12" spans="1:8">
      <c r="A12" s="24" t="s">
        <v>97</v>
      </c>
      <c r="B12" s="24"/>
      <c r="C12" s="24"/>
      <c r="D12" s="24"/>
      <c r="E12" s="24"/>
      <c r="F12" s="24"/>
      <c r="G12" s="24"/>
      <c r="H12" s="24"/>
    </row>
    <row r="13" spans="1:8" ht="30" customHeight="1">
      <c r="A13" s="24" t="s">
        <v>98</v>
      </c>
      <c r="B13" s="24"/>
      <c r="C13" s="24"/>
      <c r="D13" s="24"/>
      <c r="E13" s="24"/>
      <c r="F13" s="24"/>
      <c r="G13" s="24"/>
      <c r="H13" s="24"/>
    </row>
    <row r="14" spans="1:8">
      <c r="A14" s="24" t="s">
        <v>111</v>
      </c>
      <c r="B14" s="24"/>
      <c r="C14" s="24"/>
      <c r="D14" s="24"/>
      <c r="E14" s="24"/>
      <c r="F14" s="24"/>
      <c r="G14" s="24"/>
      <c r="H14" s="24"/>
    </row>
    <row r="15" spans="1:8" ht="30" customHeight="1">
      <c r="A15" s="24" t="s">
        <v>100</v>
      </c>
      <c r="B15" s="24"/>
      <c r="C15" s="24"/>
      <c r="D15" s="24"/>
      <c r="E15" s="24"/>
      <c r="F15" s="24"/>
      <c r="G15" s="24"/>
      <c r="H15" s="24"/>
    </row>
    <row r="17" spans="1:8" ht="16.8">
      <c r="A17" s="23" t="s">
        <v>102</v>
      </c>
    </row>
    <row r="18" spans="1:8" ht="70.8" customHeight="1">
      <c r="A18" s="24" t="s">
        <v>104</v>
      </c>
      <c r="B18" s="24"/>
      <c r="C18" s="24"/>
      <c r="D18" s="24"/>
      <c r="E18" s="24"/>
      <c r="F18" s="24"/>
      <c r="G18" s="24"/>
      <c r="H18" s="24"/>
    </row>
    <row r="19" spans="1:8" ht="16.2" customHeight="1">
      <c r="A19" s="25" t="s">
        <v>105</v>
      </c>
      <c r="B19" s="24"/>
      <c r="C19" s="24"/>
      <c r="D19" s="24"/>
      <c r="E19" s="24"/>
      <c r="F19" s="24"/>
      <c r="G19" s="24"/>
      <c r="H19" s="24"/>
    </row>
    <row r="21" spans="1:8" ht="16.8">
      <c r="A21" s="23" t="s">
        <v>106</v>
      </c>
    </row>
    <row r="22" spans="1:8" ht="30.6" customHeight="1">
      <c r="A22" s="24" t="s">
        <v>107</v>
      </c>
      <c r="B22" s="24"/>
      <c r="C22" s="24"/>
      <c r="D22" s="24"/>
      <c r="E22" s="24"/>
      <c r="F22" s="24"/>
      <c r="G22" s="24"/>
      <c r="H22" s="24"/>
    </row>
    <row r="23" spans="1:8" ht="29.4" customHeight="1">
      <c r="A23" s="24" t="s">
        <v>108</v>
      </c>
      <c r="B23" s="24"/>
      <c r="C23" s="24"/>
      <c r="D23" s="24"/>
      <c r="E23" s="24"/>
      <c r="F23" s="24"/>
      <c r="G23" s="24"/>
      <c r="H23" s="24"/>
    </row>
    <row r="25" spans="1:8" ht="16.8">
      <c r="A25" s="23" t="s">
        <v>109</v>
      </c>
    </row>
    <row r="26" spans="1:8" ht="31.2" customHeight="1">
      <c r="A26" s="24" t="s">
        <v>110</v>
      </c>
      <c r="B26" s="24"/>
      <c r="C26" s="24"/>
      <c r="D26" s="24"/>
      <c r="E26" s="24"/>
      <c r="F26" s="24"/>
      <c r="G26" s="24"/>
      <c r="H26" s="24"/>
    </row>
  </sheetData>
  <mergeCells count="12">
    <mergeCell ref="A26:H26"/>
    <mergeCell ref="A5:H5"/>
    <mergeCell ref="A8:H8"/>
    <mergeCell ref="A11:H11"/>
    <mergeCell ref="A12:H12"/>
    <mergeCell ref="A13:H13"/>
    <mergeCell ref="A14:H14"/>
    <mergeCell ref="A15:H15"/>
    <mergeCell ref="A18:H18"/>
    <mergeCell ref="A19:H19"/>
    <mergeCell ref="A22:H22"/>
    <mergeCell ref="A23:H2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EB184-00AD-493C-82DB-9589EF49D0B2}">
  <dimension ref="A1:A2"/>
  <sheetViews>
    <sheetView zoomScale="65" zoomScaleNormal="65" workbookViewId="0">
      <selection activeCell="AF26" sqref="AF26"/>
    </sheetView>
  </sheetViews>
  <sheetFormatPr defaultRowHeight="13.8"/>
  <sheetData>
    <row r="1" spans="1:1" ht="21">
      <c r="A1" s="21" t="s">
        <v>90</v>
      </c>
    </row>
    <row r="2" spans="1:1">
      <c r="A2" s="22" t="s">
        <v>91</v>
      </c>
    </row>
  </sheetData>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election activeCell="C12" sqref="C12"/>
    </sheetView>
  </sheetViews>
  <sheetFormatPr defaultRowHeight="13.8"/>
  <cols>
    <col min="1" max="1" width="27.69921875" bestFit="1" customWidth="1"/>
    <col min="2" max="2" width="38" customWidth="1"/>
    <col min="3" max="3" width="58" customWidth="1"/>
  </cols>
  <sheetData>
    <row r="1" spans="1:3">
      <c r="A1" s="5" t="s">
        <v>34</v>
      </c>
      <c r="B1" s="5" t="s">
        <v>35</v>
      </c>
      <c r="C1" s="5" t="s">
        <v>36</v>
      </c>
    </row>
    <row r="2" spans="1:3">
      <c r="A2" s="6" t="s">
        <v>8</v>
      </c>
      <c r="B2" s="6" t="s">
        <v>37</v>
      </c>
      <c r="C2" s="6" t="s">
        <v>38</v>
      </c>
    </row>
    <row r="3" spans="1:3">
      <c r="A3" s="6" t="s">
        <v>15</v>
      </c>
      <c r="B3" s="6" t="s">
        <v>39</v>
      </c>
      <c r="C3" s="6" t="s">
        <v>40</v>
      </c>
    </row>
    <row r="4" spans="1:3">
      <c r="A4" s="6" t="s">
        <v>16</v>
      </c>
      <c r="B4" s="6" t="s">
        <v>41</v>
      </c>
      <c r="C4" s="6" t="s">
        <v>42</v>
      </c>
    </row>
    <row r="5" spans="1:3">
      <c r="A5" s="6" t="s">
        <v>10</v>
      </c>
      <c r="B5" s="6" t="s">
        <v>43</v>
      </c>
      <c r="C5" s="6" t="s">
        <v>44</v>
      </c>
    </row>
    <row r="6" spans="1:3">
      <c r="A6" s="6" t="s">
        <v>13</v>
      </c>
      <c r="B6" s="6" t="s">
        <v>45</v>
      </c>
      <c r="C6" s="6" t="s">
        <v>46</v>
      </c>
    </row>
    <row r="7" spans="1:3">
      <c r="A7" s="6" t="s">
        <v>14</v>
      </c>
      <c r="B7" s="6" t="s">
        <v>47</v>
      </c>
      <c r="C7" s="6" t="s">
        <v>48</v>
      </c>
    </row>
    <row r="8" spans="1:3">
      <c r="A8" s="6" t="s">
        <v>17</v>
      </c>
      <c r="B8" s="6" t="s">
        <v>49</v>
      </c>
      <c r="C8" s="6" t="s">
        <v>50</v>
      </c>
    </row>
    <row r="9" spans="1:3">
      <c r="A9" s="6" t="s">
        <v>18</v>
      </c>
      <c r="B9" s="6" t="s">
        <v>51</v>
      </c>
      <c r="C9" s="6" t="s">
        <v>52</v>
      </c>
    </row>
    <row r="10" spans="1:3">
      <c r="A10" t="s">
        <v>74</v>
      </c>
      <c r="B10" t="s">
        <v>112</v>
      </c>
      <c r="C10" t="s">
        <v>113</v>
      </c>
    </row>
    <row r="11" spans="1:3">
      <c r="A11" t="s">
        <v>85</v>
      </c>
      <c r="B11" t="s">
        <v>114</v>
      </c>
      <c r="C11" t="s">
        <v>115</v>
      </c>
    </row>
    <row r="12" spans="1:3">
      <c r="A12" s="20" t="s">
        <v>76</v>
      </c>
      <c r="B12" t="s">
        <v>116</v>
      </c>
      <c r="C12" t="s">
        <v>117</v>
      </c>
    </row>
    <row r="13" spans="1:3">
      <c r="A13" s="20"/>
    </row>
    <row r="14" spans="1:3">
      <c r="A14" s="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Line_Efficiency_Analysis</vt:lpstr>
      <vt:lpstr>Insights</vt:lpstr>
      <vt:lpstr>Line_Downtime_Analysis</vt:lpstr>
      <vt:lpstr>Product_Defect_Analysis</vt:lpstr>
      <vt:lpstr>Product_Profit_Analysis</vt:lpstr>
      <vt:lpstr>Line_Profit_Analysis</vt:lpstr>
      <vt:lpstr>Shift_Profit_Analysis</vt:lpstr>
      <vt:lpstr>Shift_Efficiency_Analysis</vt:lpstr>
      <vt:lpstr>Shift_Downtime_Analysis</vt:lpstr>
      <vt:lpstr>Line_Shift_Downtime</vt:lpstr>
      <vt:lpstr>Product_Cost_Analysis</vt:lpstr>
      <vt:lpstr>Monthly_Profit_Trend</vt:lpstr>
      <vt:lpstr>Product_Margin_Analysis</vt:lpstr>
      <vt:lpstr>Line2_Night_Savings_Model</vt:lpstr>
      <vt:lpstr>Raw_Data</vt:lpstr>
      <vt:lpstr>Executive_Report</vt:lpstr>
      <vt:lpstr>Dashboard</vt:lpstr>
      <vt:lpstr>KPI_Definitions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modified xsi:type="dcterms:W3CDTF">2026-07-05T19:34:19Z</dcterms:modified>
</cp:coreProperties>
</file>